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17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rfp437/Work/CityLevelTransmission/CLT_BaseModel/generic_core/examples/MA_vax/data/original/"/>
    </mc:Choice>
  </mc:AlternateContent>
  <xr:revisionPtr revIDLastSave="0" documentId="13_ncr:9_{C1691C4F-ABFA-674A-A40F-83A9634E9DE0}" xr6:coauthVersionLast="47" xr6:coauthVersionMax="47" xr10:uidLastSave="{00000000-0000-0000-0000-000000000000}"/>
  <bookViews>
    <workbookView xWindow="18000" yWindow="880" windowWidth="18000" windowHeight="21220" firstSheet="1" activeTab="5" xr2:uid="{591BBDCA-3CF0-1446-BB17-EF6AF38BA734}"/>
  </bookViews>
  <sheets>
    <sheet name="daily_scaled" sheetId="6" r:id="rId1"/>
    <sheet name="daily_original_wrong" sheetId="1" r:id="rId2"/>
    <sheet name="faster_schedule" sheetId="2" r:id="rId3"/>
    <sheet name="faster_comparison" sheetId="3" r:id="rId4"/>
    <sheet name="source" sheetId="4" r:id="rId5"/>
    <sheet name="total_from_MA_dashboard" sheetId="5" r:id="rId6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J12" i="5" l="1"/>
  <c r="K27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K41" i="6"/>
  <c r="K42" i="6"/>
  <c r="K43" i="6"/>
  <c r="K44" i="6"/>
  <c r="K45" i="6"/>
  <c r="K46" i="6"/>
  <c r="K47" i="6"/>
  <c r="K48" i="6"/>
  <c r="K49" i="6"/>
  <c r="K50" i="6"/>
  <c r="K51" i="6"/>
  <c r="K52" i="6"/>
  <c r="K53" i="6"/>
  <c r="K54" i="6"/>
  <c r="K55" i="6"/>
  <c r="K56" i="6"/>
  <c r="K57" i="6"/>
  <c r="K58" i="6"/>
  <c r="K59" i="6"/>
  <c r="K60" i="6"/>
  <c r="K61" i="6"/>
  <c r="K62" i="6"/>
  <c r="K63" i="6"/>
  <c r="K64" i="6"/>
  <c r="K65" i="6"/>
  <c r="K66" i="6"/>
  <c r="K67" i="6"/>
  <c r="K68" i="6"/>
  <c r="K69" i="6"/>
  <c r="K70" i="6"/>
  <c r="K71" i="6"/>
  <c r="K72" i="6"/>
  <c r="K73" i="6"/>
  <c r="K74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88" i="6"/>
  <c r="K89" i="6"/>
  <c r="K90" i="6"/>
  <c r="K91" i="6"/>
  <c r="K92" i="6"/>
  <c r="K93" i="6"/>
  <c r="K94" i="6"/>
  <c r="K95" i="6"/>
  <c r="K96" i="6"/>
  <c r="K97" i="6"/>
  <c r="K98" i="6"/>
  <c r="K99" i="6"/>
  <c r="K100" i="6"/>
  <c r="K101" i="6"/>
  <c r="K102" i="6"/>
  <c r="K103" i="6"/>
  <c r="K104" i="6"/>
  <c r="K105" i="6"/>
  <c r="K106" i="6"/>
  <c r="K107" i="6"/>
  <c r="K108" i="6"/>
  <c r="K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K130" i="6"/>
  <c r="K131" i="6"/>
  <c r="K132" i="6"/>
  <c r="K133" i="6"/>
  <c r="K134" i="6"/>
  <c r="K135" i="6"/>
  <c r="K136" i="6"/>
  <c r="K137" i="6"/>
  <c r="K138" i="6"/>
  <c r="K139" i="6"/>
  <c r="K140" i="6"/>
  <c r="K141" i="6"/>
  <c r="K142" i="6"/>
  <c r="K143" i="6"/>
  <c r="K144" i="6"/>
  <c r="K145" i="6"/>
  <c r="K146" i="6"/>
  <c r="K147" i="6"/>
  <c r="K148" i="6"/>
  <c r="K149" i="6"/>
  <c r="K150" i="6"/>
  <c r="K151" i="6"/>
  <c r="K152" i="6"/>
  <c r="K153" i="6"/>
  <c r="K154" i="6"/>
  <c r="K155" i="6"/>
  <c r="K156" i="6"/>
  <c r="K157" i="6"/>
  <c r="K158" i="6"/>
  <c r="K159" i="6"/>
  <c r="K160" i="6"/>
  <c r="K161" i="6"/>
  <c r="K162" i="6"/>
  <c r="K163" i="6"/>
  <c r="K164" i="6"/>
  <c r="K165" i="6"/>
  <c r="K166" i="6"/>
  <c r="K167" i="6"/>
  <c r="K168" i="6"/>
  <c r="K169" i="6"/>
  <c r="K170" i="6"/>
  <c r="K171" i="6"/>
  <c r="K172" i="6"/>
  <c r="K173" i="6"/>
  <c r="K174" i="6"/>
  <c r="K175" i="6"/>
  <c r="K176" i="6"/>
  <c r="K177" i="6"/>
  <c r="K178" i="6"/>
  <c r="K179" i="6"/>
  <c r="K180" i="6"/>
  <c r="K181" i="6"/>
  <c r="K182" i="6"/>
  <c r="K183" i="6"/>
  <c r="K184" i="6"/>
  <c r="K185" i="6"/>
  <c r="K186" i="6"/>
  <c r="K187" i="6"/>
  <c r="K188" i="6"/>
  <c r="K189" i="6"/>
  <c r="K190" i="6"/>
  <c r="K191" i="6"/>
  <c r="K192" i="6"/>
  <c r="K193" i="6"/>
  <c r="K194" i="6"/>
  <c r="K195" i="6"/>
  <c r="K196" i="6"/>
  <c r="K197" i="6"/>
  <c r="K198" i="6"/>
  <c r="K199" i="6"/>
  <c r="K200" i="6"/>
  <c r="K201" i="6"/>
  <c r="K202" i="6"/>
  <c r="K203" i="6"/>
  <c r="K204" i="6"/>
  <c r="K205" i="6"/>
  <c r="K206" i="6"/>
  <c r="K207" i="6"/>
  <c r="K208" i="6"/>
  <c r="K209" i="6"/>
  <c r="K210" i="6"/>
  <c r="K211" i="6"/>
  <c r="K212" i="6"/>
  <c r="K213" i="6"/>
  <c r="K214" i="6"/>
  <c r="K215" i="6"/>
  <c r="K216" i="6"/>
  <c r="K217" i="6"/>
  <c r="K218" i="6"/>
  <c r="K219" i="6"/>
  <c r="K220" i="6"/>
  <c r="K221" i="6"/>
  <c r="K222" i="6"/>
  <c r="K223" i="6"/>
  <c r="K224" i="6"/>
  <c r="K225" i="6"/>
  <c r="K226" i="6"/>
  <c r="K227" i="6"/>
  <c r="K228" i="6"/>
  <c r="K229" i="6"/>
  <c r="K230" i="6"/>
  <c r="K231" i="6"/>
  <c r="K232" i="6"/>
  <c r="K233" i="6"/>
  <c r="K234" i="6"/>
  <c r="K235" i="6"/>
  <c r="K236" i="6"/>
  <c r="K237" i="6"/>
  <c r="K238" i="6"/>
  <c r="K239" i="6"/>
  <c r="K240" i="6"/>
  <c r="K241" i="6"/>
  <c r="K242" i="6"/>
  <c r="K243" i="6"/>
  <c r="K244" i="6"/>
  <c r="K245" i="6"/>
  <c r="K246" i="6"/>
  <c r="K247" i="6"/>
  <c r="K248" i="6"/>
  <c r="K249" i="6"/>
  <c r="K250" i="6"/>
  <c r="K251" i="6"/>
  <c r="K252" i="6"/>
  <c r="K253" i="6"/>
  <c r="K254" i="6"/>
  <c r="K255" i="6"/>
  <c r="K256" i="6"/>
  <c r="K257" i="6"/>
  <c r="K258" i="6"/>
  <c r="K259" i="6"/>
  <c r="K260" i="6"/>
  <c r="K261" i="6"/>
  <c r="K262" i="6"/>
  <c r="K263" i="6"/>
  <c r="K264" i="6"/>
  <c r="K265" i="6"/>
  <c r="K266" i="6"/>
  <c r="K267" i="6"/>
  <c r="K268" i="6"/>
  <c r="K269" i="6"/>
  <c r="K270" i="6"/>
  <c r="K271" i="6"/>
  <c r="K272" i="6"/>
  <c r="K273" i="6"/>
  <c r="K274" i="6"/>
  <c r="K275" i="6"/>
  <c r="K276" i="6"/>
  <c r="K277" i="6"/>
  <c r="K278" i="6"/>
  <c r="K279" i="6"/>
  <c r="K280" i="6"/>
  <c r="K281" i="6"/>
  <c r="K282" i="6"/>
  <c r="K283" i="6"/>
  <c r="K284" i="6"/>
  <c r="K285" i="6"/>
  <c r="K286" i="6"/>
  <c r="K287" i="6"/>
  <c r="K288" i="6"/>
  <c r="K289" i="6"/>
  <c r="K290" i="6"/>
  <c r="K291" i="6"/>
  <c r="K292" i="6"/>
  <c r="K293" i="6"/>
  <c r="K294" i="6"/>
  <c r="K295" i="6"/>
  <c r="K296" i="6"/>
  <c r="K297" i="6"/>
  <c r="K298" i="6"/>
  <c r="K299" i="6"/>
  <c r="K300" i="6"/>
  <c r="K301" i="6"/>
  <c r="K302" i="6"/>
  <c r="K2" i="6"/>
  <c r="C18" i="5"/>
  <c r="D18" i="5"/>
  <c r="E18" i="5"/>
  <c r="F18" i="5"/>
  <c r="G18" i="5"/>
  <c r="H18" i="5"/>
  <c r="B18" i="5"/>
  <c r="B23" i="5" s="1"/>
  <c r="A19" i="5"/>
  <c r="A18" i="5"/>
  <c r="A23" i="5" s="1"/>
  <c r="C304" i="1"/>
  <c r="C19" i="5" s="1"/>
  <c r="D304" i="1"/>
  <c r="D19" i="5" s="1"/>
  <c r="E304" i="1"/>
  <c r="E19" i="5" s="1"/>
  <c r="F304" i="1"/>
  <c r="F19" i="5" s="1"/>
  <c r="G304" i="1"/>
  <c r="G19" i="5" s="1"/>
  <c r="H304" i="1"/>
  <c r="H19" i="5" s="1"/>
  <c r="B304" i="1"/>
  <c r="R302" i="6"/>
  <c r="J302" i="6"/>
  <c r="R301" i="6"/>
  <c r="J301" i="6"/>
  <c r="R300" i="6"/>
  <c r="J300" i="6"/>
  <c r="R299" i="6"/>
  <c r="J299" i="6"/>
  <c r="R298" i="6"/>
  <c r="J298" i="6"/>
  <c r="R297" i="6"/>
  <c r="J297" i="6"/>
  <c r="R296" i="6"/>
  <c r="J296" i="6"/>
  <c r="R295" i="6"/>
  <c r="J295" i="6"/>
  <c r="R294" i="6"/>
  <c r="J294" i="6"/>
  <c r="R293" i="6"/>
  <c r="J293" i="6"/>
  <c r="R292" i="6"/>
  <c r="J292" i="6"/>
  <c r="R291" i="6"/>
  <c r="J291" i="6"/>
  <c r="R290" i="6"/>
  <c r="J290" i="6"/>
  <c r="R289" i="6"/>
  <c r="J289" i="6"/>
  <c r="R288" i="6"/>
  <c r="J288" i="6"/>
  <c r="R287" i="6"/>
  <c r="J287" i="6"/>
  <c r="R286" i="6"/>
  <c r="J286" i="6"/>
  <c r="R285" i="6"/>
  <c r="J285" i="6"/>
  <c r="R284" i="6"/>
  <c r="J284" i="6"/>
  <c r="R283" i="6"/>
  <c r="J283" i="6"/>
  <c r="R282" i="6"/>
  <c r="J282" i="6"/>
  <c r="R281" i="6"/>
  <c r="J281" i="6"/>
  <c r="R280" i="6"/>
  <c r="J280" i="6"/>
  <c r="R279" i="6"/>
  <c r="J279" i="6"/>
  <c r="R278" i="6"/>
  <c r="J278" i="6"/>
  <c r="R277" i="6"/>
  <c r="J277" i="6"/>
  <c r="R276" i="6"/>
  <c r="J276" i="6"/>
  <c r="R275" i="6"/>
  <c r="J275" i="6"/>
  <c r="R274" i="6"/>
  <c r="J274" i="6"/>
  <c r="R273" i="6"/>
  <c r="J273" i="6"/>
  <c r="R272" i="6"/>
  <c r="J272" i="6"/>
  <c r="R271" i="6"/>
  <c r="J271" i="6"/>
  <c r="R270" i="6"/>
  <c r="J270" i="6"/>
  <c r="R269" i="6"/>
  <c r="J269" i="6"/>
  <c r="R268" i="6"/>
  <c r="J268" i="6"/>
  <c r="R267" i="6"/>
  <c r="J267" i="6"/>
  <c r="R266" i="6"/>
  <c r="J266" i="6"/>
  <c r="R265" i="6"/>
  <c r="J265" i="6"/>
  <c r="R264" i="6"/>
  <c r="J264" i="6"/>
  <c r="R263" i="6"/>
  <c r="J263" i="6"/>
  <c r="R262" i="6"/>
  <c r="J262" i="6"/>
  <c r="R261" i="6"/>
  <c r="J261" i="6"/>
  <c r="R260" i="6"/>
  <c r="J260" i="6"/>
  <c r="R259" i="6"/>
  <c r="J259" i="6"/>
  <c r="R258" i="6"/>
  <c r="J258" i="6"/>
  <c r="R257" i="6"/>
  <c r="J257" i="6"/>
  <c r="R256" i="6"/>
  <c r="J256" i="6"/>
  <c r="R255" i="6"/>
  <c r="J255" i="6"/>
  <c r="R254" i="6"/>
  <c r="J254" i="6"/>
  <c r="R253" i="6"/>
  <c r="J253" i="6"/>
  <c r="R252" i="6"/>
  <c r="J252" i="6"/>
  <c r="R251" i="6"/>
  <c r="J251" i="6"/>
  <c r="R250" i="6"/>
  <c r="J250" i="6"/>
  <c r="R249" i="6"/>
  <c r="J249" i="6"/>
  <c r="R248" i="6"/>
  <c r="J248" i="6"/>
  <c r="R247" i="6"/>
  <c r="J247" i="6"/>
  <c r="R246" i="6"/>
  <c r="J246" i="6"/>
  <c r="R245" i="6"/>
  <c r="J245" i="6"/>
  <c r="R244" i="6"/>
  <c r="J244" i="6"/>
  <c r="R243" i="6"/>
  <c r="J243" i="6"/>
  <c r="R242" i="6"/>
  <c r="J242" i="6"/>
  <c r="R241" i="6"/>
  <c r="J241" i="6"/>
  <c r="R240" i="6"/>
  <c r="J240" i="6"/>
  <c r="R239" i="6"/>
  <c r="J239" i="6"/>
  <c r="R238" i="6"/>
  <c r="J238" i="6"/>
  <c r="R237" i="6"/>
  <c r="J237" i="6"/>
  <c r="R236" i="6"/>
  <c r="J236" i="6"/>
  <c r="R235" i="6"/>
  <c r="J235" i="6"/>
  <c r="R234" i="6"/>
  <c r="J234" i="6"/>
  <c r="R233" i="6"/>
  <c r="J233" i="6"/>
  <c r="R232" i="6"/>
  <c r="J232" i="6"/>
  <c r="R231" i="6"/>
  <c r="J231" i="6"/>
  <c r="R230" i="6"/>
  <c r="J230" i="6"/>
  <c r="R229" i="6"/>
  <c r="J229" i="6"/>
  <c r="R228" i="6"/>
  <c r="J228" i="6"/>
  <c r="R227" i="6"/>
  <c r="J227" i="6"/>
  <c r="R226" i="6"/>
  <c r="J226" i="6"/>
  <c r="R225" i="6"/>
  <c r="J225" i="6"/>
  <c r="R224" i="6"/>
  <c r="J224" i="6"/>
  <c r="R223" i="6"/>
  <c r="J223" i="6"/>
  <c r="R222" i="6"/>
  <c r="J222" i="6"/>
  <c r="R221" i="6"/>
  <c r="J221" i="6"/>
  <c r="R220" i="6"/>
  <c r="J220" i="6"/>
  <c r="R219" i="6"/>
  <c r="J219" i="6"/>
  <c r="R218" i="6"/>
  <c r="J218" i="6"/>
  <c r="R217" i="6"/>
  <c r="J217" i="6"/>
  <c r="R216" i="6"/>
  <c r="J216" i="6"/>
  <c r="R215" i="6"/>
  <c r="J215" i="6"/>
  <c r="R214" i="6"/>
  <c r="J214" i="6"/>
  <c r="R213" i="6"/>
  <c r="J213" i="6"/>
  <c r="R212" i="6"/>
  <c r="J212" i="6"/>
  <c r="R211" i="6"/>
  <c r="J211" i="6"/>
  <c r="R210" i="6"/>
  <c r="J210" i="6"/>
  <c r="R209" i="6"/>
  <c r="J209" i="6"/>
  <c r="R208" i="6"/>
  <c r="J208" i="6"/>
  <c r="R207" i="6"/>
  <c r="J207" i="6"/>
  <c r="R206" i="6"/>
  <c r="J206" i="6"/>
  <c r="R205" i="6"/>
  <c r="J205" i="6"/>
  <c r="R204" i="6"/>
  <c r="J204" i="6"/>
  <c r="R203" i="6"/>
  <c r="J203" i="6"/>
  <c r="R202" i="6"/>
  <c r="J202" i="6"/>
  <c r="R201" i="6"/>
  <c r="J201" i="6"/>
  <c r="R200" i="6"/>
  <c r="J200" i="6"/>
  <c r="R199" i="6"/>
  <c r="J199" i="6"/>
  <c r="R198" i="6"/>
  <c r="J198" i="6"/>
  <c r="R197" i="6"/>
  <c r="J197" i="6"/>
  <c r="R196" i="6"/>
  <c r="J196" i="6"/>
  <c r="R195" i="6"/>
  <c r="J195" i="6"/>
  <c r="R194" i="6"/>
  <c r="J194" i="6"/>
  <c r="R193" i="6"/>
  <c r="J193" i="6"/>
  <c r="R192" i="6"/>
  <c r="J192" i="6"/>
  <c r="R191" i="6"/>
  <c r="J191" i="6"/>
  <c r="R190" i="6"/>
  <c r="J190" i="6"/>
  <c r="R189" i="6"/>
  <c r="J189" i="6"/>
  <c r="R188" i="6"/>
  <c r="J188" i="6"/>
  <c r="R187" i="6"/>
  <c r="J187" i="6"/>
  <c r="R186" i="6"/>
  <c r="J186" i="6"/>
  <c r="R185" i="6"/>
  <c r="J185" i="6"/>
  <c r="R184" i="6"/>
  <c r="J184" i="6"/>
  <c r="R183" i="6"/>
  <c r="J183" i="6"/>
  <c r="R182" i="6"/>
  <c r="J182" i="6"/>
  <c r="R181" i="6"/>
  <c r="J181" i="6"/>
  <c r="R180" i="6"/>
  <c r="J180" i="6"/>
  <c r="R179" i="6"/>
  <c r="J179" i="6"/>
  <c r="R178" i="6"/>
  <c r="J178" i="6"/>
  <c r="R177" i="6"/>
  <c r="J177" i="6"/>
  <c r="R176" i="6"/>
  <c r="J176" i="6"/>
  <c r="R175" i="6"/>
  <c r="J175" i="6"/>
  <c r="R174" i="6"/>
  <c r="J174" i="6"/>
  <c r="R173" i="6"/>
  <c r="J173" i="6"/>
  <c r="R172" i="6"/>
  <c r="J172" i="6"/>
  <c r="R171" i="6"/>
  <c r="J171" i="6"/>
  <c r="R170" i="6"/>
  <c r="J170" i="6"/>
  <c r="R169" i="6"/>
  <c r="J169" i="6"/>
  <c r="R168" i="6"/>
  <c r="J168" i="6"/>
  <c r="R167" i="6"/>
  <c r="J167" i="6"/>
  <c r="R166" i="6"/>
  <c r="J166" i="6"/>
  <c r="R165" i="6"/>
  <c r="J165" i="6"/>
  <c r="R164" i="6"/>
  <c r="J164" i="6"/>
  <c r="R163" i="6"/>
  <c r="J163" i="6"/>
  <c r="R162" i="6"/>
  <c r="J162" i="6"/>
  <c r="R161" i="6"/>
  <c r="J161" i="6"/>
  <c r="R160" i="6"/>
  <c r="J160" i="6"/>
  <c r="R159" i="6"/>
  <c r="J159" i="6"/>
  <c r="R158" i="6"/>
  <c r="J158" i="6"/>
  <c r="R157" i="6"/>
  <c r="J157" i="6"/>
  <c r="R156" i="6"/>
  <c r="J156" i="6"/>
  <c r="R155" i="6"/>
  <c r="J155" i="6"/>
  <c r="R154" i="6"/>
  <c r="J154" i="6"/>
  <c r="R153" i="6"/>
  <c r="J153" i="6"/>
  <c r="R152" i="6"/>
  <c r="J152" i="6"/>
  <c r="R151" i="6"/>
  <c r="J151" i="6"/>
  <c r="R150" i="6"/>
  <c r="J150" i="6"/>
  <c r="R149" i="6"/>
  <c r="J149" i="6"/>
  <c r="R148" i="6"/>
  <c r="J148" i="6"/>
  <c r="R147" i="6"/>
  <c r="J147" i="6"/>
  <c r="R146" i="6"/>
  <c r="J146" i="6"/>
  <c r="R145" i="6"/>
  <c r="J145" i="6"/>
  <c r="R144" i="6"/>
  <c r="J144" i="6"/>
  <c r="R143" i="6"/>
  <c r="J143" i="6"/>
  <c r="R142" i="6"/>
  <c r="J142" i="6"/>
  <c r="R141" i="6"/>
  <c r="J141" i="6"/>
  <c r="R140" i="6"/>
  <c r="J140" i="6"/>
  <c r="R139" i="6"/>
  <c r="J139" i="6"/>
  <c r="R138" i="6"/>
  <c r="J138" i="6"/>
  <c r="R137" i="6"/>
  <c r="J137" i="6"/>
  <c r="R136" i="6"/>
  <c r="J136" i="6"/>
  <c r="R135" i="6"/>
  <c r="J135" i="6"/>
  <c r="R134" i="6"/>
  <c r="J134" i="6"/>
  <c r="R133" i="6"/>
  <c r="J133" i="6"/>
  <c r="R132" i="6"/>
  <c r="J132" i="6"/>
  <c r="R131" i="6"/>
  <c r="J131" i="6"/>
  <c r="R130" i="6"/>
  <c r="J130" i="6"/>
  <c r="R129" i="6"/>
  <c r="J129" i="6"/>
  <c r="R128" i="6"/>
  <c r="J128" i="6"/>
  <c r="R127" i="6"/>
  <c r="J127" i="6"/>
  <c r="R126" i="6"/>
  <c r="J126" i="6"/>
  <c r="R125" i="6"/>
  <c r="J125" i="6"/>
  <c r="R124" i="6"/>
  <c r="J124" i="6"/>
  <c r="R123" i="6"/>
  <c r="J123" i="6"/>
  <c r="R122" i="6"/>
  <c r="J122" i="6"/>
  <c r="R121" i="6"/>
  <c r="J121" i="6"/>
  <c r="R120" i="6"/>
  <c r="J120" i="6"/>
  <c r="R119" i="6"/>
  <c r="J119" i="6"/>
  <c r="R118" i="6"/>
  <c r="J118" i="6"/>
  <c r="R117" i="6"/>
  <c r="J117" i="6"/>
  <c r="R116" i="6"/>
  <c r="J116" i="6"/>
  <c r="R115" i="6"/>
  <c r="J115" i="6"/>
  <c r="R114" i="6"/>
  <c r="J114" i="6"/>
  <c r="R113" i="6"/>
  <c r="J113" i="6"/>
  <c r="R112" i="6"/>
  <c r="J112" i="6"/>
  <c r="R111" i="6"/>
  <c r="J111" i="6"/>
  <c r="R110" i="6"/>
  <c r="J110" i="6"/>
  <c r="R109" i="6"/>
  <c r="J109" i="6"/>
  <c r="R108" i="6"/>
  <c r="J108" i="6"/>
  <c r="R107" i="6"/>
  <c r="J107" i="6"/>
  <c r="R106" i="6"/>
  <c r="J106" i="6"/>
  <c r="R105" i="6"/>
  <c r="J105" i="6"/>
  <c r="R104" i="6"/>
  <c r="J104" i="6"/>
  <c r="R103" i="6"/>
  <c r="J103" i="6"/>
  <c r="R102" i="6"/>
  <c r="J102" i="6"/>
  <c r="R101" i="6"/>
  <c r="J101" i="6"/>
  <c r="R100" i="6"/>
  <c r="J100" i="6"/>
  <c r="R99" i="6"/>
  <c r="J99" i="6"/>
  <c r="R98" i="6"/>
  <c r="J98" i="6"/>
  <c r="R97" i="6"/>
  <c r="J97" i="6"/>
  <c r="R96" i="6"/>
  <c r="J96" i="6"/>
  <c r="R95" i="6"/>
  <c r="J95" i="6"/>
  <c r="R94" i="6"/>
  <c r="J94" i="6"/>
  <c r="R93" i="6"/>
  <c r="J93" i="6"/>
  <c r="R92" i="6"/>
  <c r="J92" i="6"/>
  <c r="R91" i="6"/>
  <c r="J91" i="6"/>
  <c r="R90" i="6"/>
  <c r="J90" i="6"/>
  <c r="R89" i="6"/>
  <c r="J89" i="6"/>
  <c r="R88" i="6"/>
  <c r="J88" i="6"/>
  <c r="R87" i="6"/>
  <c r="J87" i="6"/>
  <c r="R86" i="6"/>
  <c r="J86" i="6"/>
  <c r="R85" i="6"/>
  <c r="J85" i="6"/>
  <c r="R84" i="6"/>
  <c r="J84" i="6"/>
  <c r="R83" i="6"/>
  <c r="J83" i="6"/>
  <c r="R82" i="6"/>
  <c r="J82" i="6"/>
  <c r="R81" i="6"/>
  <c r="J81" i="6"/>
  <c r="R80" i="6"/>
  <c r="J80" i="6"/>
  <c r="R79" i="6"/>
  <c r="J79" i="6"/>
  <c r="R78" i="6"/>
  <c r="J78" i="6"/>
  <c r="R77" i="6"/>
  <c r="J77" i="6"/>
  <c r="R76" i="6"/>
  <c r="J76" i="6"/>
  <c r="R75" i="6"/>
  <c r="J75" i="6"/>
  <c r="R74" i="6"/>
  <c r="J74" i="6"/>
  <c r="R73" i="6"/>
  <c r="J73" i="6"/>
  <c r="R72" i="6"/>
  <c r="J72" i="6"/>
  <c r="R71" i="6"/>
  <c r="J71" i="6"/>
  <c r="R70" i="6"/>
  <c r="J70" i="6"/>
  <c r="R69" i="6"/>
  <c r="J69" i="6"/>
  <c r="R68" i="6"/>
  <c r="J68" i="6"/>
  <c r="R67" i="6"/>
  <c r="J67" i="6"/>
  <c r="R66" i="6"/>
  <c r="J66" i="6"/>
  <c r="R65" i="6"/>
  <c r="J65" i="6"/>
  <c r="R64" i="6"/>
  <c r="J64" i="6"/>
  <c r="R63" i="6"/>
  <c r="J63" i="6"/>
  <c r="R62" i="6"/>
  <c r="J62" i="6"/>
  <c r="R61" i="6"/>
  <c r="J61" i="6"/>
  <c r="R60" i="6"/>
  <c r="J60" i="6"/>
  <c r="R59" i="6"/>
  <c r="J59" i="6"/>
  <c r="R58" i="6"/>
  <c r="J58" i="6"/>
  <c r="R57" i="6"/>
  <c r="J57" i="6"/>
  <c r="R56" i="6"/>
  <c r="J56" i="6"/>
  <c r="R55" i="6"/>
  <c r="J55" i="6"/>
  <c r="R54" i="6"/>
  <c r="J54" i="6"/>
  <c r="R53" i="6"/>
  <c r="J53" i="6"/>
  <c r="R52" i="6"/>
  <c r="J52" i="6"/>
  <c r="R51" i="6"/>
  <c r="J51" i="6"/>
  <c r="R50" i="6"/>
  <c r="J50" i="6"/>
  <c r="R49" i="6"/>
  <c r="J49" i="6"/>
  <c r="R48" i="6"/>
  <c r="J48" i="6"/>
  <c r="R47" i="6"/>
  <c r="J47" i="6"/>
  <c r="R46" i="6"/>
  <c r="J46" i="6"/>
  <c r="R45" i="6"/>
  <c r="J45" i="6"/>
  <c r="R44" i="6"/>
  <c r="J44" i="6"/>
  <c r="R43" i="6"/>
  <c r="J43" i="6"/>
  <c r="R42" i="6"/>
  <c r="J42" i="6"/>
  <c r="R41" i="6"/>
  <c r="J41" i="6"/>
  <c r="R40" i="6"/>
  <c r="J40" i="6"/>
  <c r="R39" i="6"/>
  <c r="J39" i="6"/>
  <c r="R38" i="6"/>
  <c r="J38" i="6"/>
  <c r="R37" i="6"/>
  <c r="J37" i="6"/>
  <c r="R36" i="6"/>
  <c r="J36" i="6"/>
  <c r="R35" i="6"/>
  <c r="J35" i="6"/>
  <c r="R34" i="6"/>
  <c r="J34" i="6"/>
  <c r="R33" i="6"/>
  <c r="J33" i="6"/>
  <c r="R32" i="6"/>
  <c r="J32" i="6"/>
  <c r="R31" i="6"/>
  <c r="J31" i="6"/>
  <c r="R30" i="6"/>
  <c r="J30" i="6"/>
  <c r="R29" i="6"/>
  <c r="J29" i="6"/>
  <c r="R28" i="6"/>
  <c r="J28" i="6"/>
  <c r="R27" i="6"/>
  <c r="J27" i="6"/>
  <c r="R26" i="6"/>
  <c r="J26" i="6"/>
  <c r="R25" i="6"/>
  <c r="J25" i="6"/>
  <c r="R24" i="6"/>
  <c r="J24" i="6"/>
  <c r="R23" i="6"/>
  <c r="J23" i="6"/>
  <c r="R22" i="6"/>
  <c r="J22" i="6"/>
  <c r="R21" i="6"/>
  <c r="J21" i="6"/>
  <c r="R20" i="6"/>
  <c r="J20" i="6"/>
  <c r="R19" i="6"/>
  <c r="J19" i="6"/>
  <c r="R18" i="6"/>
  <c r="J18" i="6"/>
  <c r="R17" i="6"/>
  <c r="J17" i="6"/>
  <c r="R16" i="6"/>
  <c r="J16" i="6"/>
  <c r="R15" i="6"/>
  <c r="J15" i="6"/>
  <c r="R14" i="6"/>
  <c r="J14" i="6"/>
  <c r="R13" i="6"/>
  <c r="J13" i="6"/>
  <c r="R12" i="6"/>
  <c r="J12" i="6"/>
  <c r="R11" i="6"/>
  <c r="J11" i="6"/>
  <c r="R10" i="6"/>
  <c r="J10" i="6"/>
  <c r="R9" i="6"/>
  <c r="J9" i="6"/>
  <c r="R8" i="6"/>
  <c r="J8" i="6"/>
  <c r="R7" i="6"/>
  <c r="J7" i="6"/>
  <c r="R6" i="6"/>
  <c r="J6" i="6"/>
  <c r="R5" i="6"/>
  <c r="J5" i="6"/>
  <c r="R4" i="6"/>
  <c r="J4" i="6"/>
  <c r="R3" i="6"/>
  <c r="J3" i="6"/>
  <c r="R2" i="6"/>
  <c r="J2" i="6"/>
  <c r="Q1" i="6"/>
  <c r="P1" i="6"/>
  <c r="O1" i="6"/>
  <c r="N1" i="6"/>
  <c r="M1" i="6"/>
  <c r="L1" i="6"/>
  <c r="K1" i="6"/>
  <c r="M4" i="5"/>
  <c r="M5" i="5"/>
  <c r="L5" i="5"/>
  <c r="L4" i="5"/>
  <c r="K5" i="5"/>
  <c r="C10" i="5"/>
  <c r="D10" i="5"/>
  <c r="E10" i="5"/>
  <c r="F10" i="5"/>
  <c r="G10" i="5"/>
  <c r="H10" i="5"/>
  <c r="B10" i="5"/>
  <c r="E3" i="5"/>
  <c r="F3" i="5"/>
  <c r="G3" i="5"/>
  <c r="H3" i="5"/>
  <c r="B3" i="5"/>
  <c r="C3" i="5"/>
  <c r="D3" i="5"/>
  <c r="Q102" i="5"/>
  <c r="G12" i="5"/>
  <c r="G24" i="5" s="1"/>
  <c r="E12" i="5"/>
  <c r="E24" i="5" s="1"/>
  <c r="D12" i="5"/>
  <c r="D24" i="5" s="1"/>
  <c r="B12" i="5"/>
  <c r="C12" i="5"/>
  <c r="C24" i="5" s="1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K1" i="2"/>
  <c r="L1" i="2"/>
  <c r="M1" i="2"/>
  <c r="N1" i="2"/>
  <c r="O1" i="2"/>
  <c r="P1" i="2"/>
  <c r="Q1" i="2"/>
  <c r="J2" i="2"/>
  <c r="K2" i="2"/>
  <c r="L2" i="2"/>
  <c r="M2" i="2"/>
  <c r="N2" i="2"/>
  <c r="O2" i="2"/>
  <c r="P2" i="2"/>
  <c r="Q2" i="2"/>
  <c r="R2" i="2"/>
  <c r="S2" i="2"/>
  <c r="J3" i="2"/>
  <c r="K3" i="2"/>
  <c r="L3" i="2"/>
  <c r="M3" i="2"/>
  <c r="N3" i="2"/>
  <c r="O3" i="2"/>
  <c r="P3" i="2"/>
  <c r="Q3" i="2"/>
  <c r="R3" i="2"/>
  <c r="S3" i="2"/>
  <c r="J4" i="2"/>
  <c r="K4" i="2"/>
  <c r="L4" i="2"/>
  <c r="M4" i="2"/>
  <c r="N4" i="2"/>
  <c r="O4" i="2"/>
  <c r="P4" i="2"/>
  <c r="Q4" i="2"/>
  <c r="R4" i="2"/>
  <c r="S4" i="2"/>
  <c r="J5" i="2"/>
  <c r="K5" i="2"/>
  <c r="L5" i="2"/>
  <c r="M5" i="2"/>
  <c r="N5" i="2"/>
  <c r="O5" i="2"/>
  <c r="P5" i="2"/>
  <c r="Q5" i="2"/>
  <c r="R5" i="2"/>
  <c r="S5" i="2"/>
  <c r="J6" i="2"/>
  <c r="K6" i="2"/>
  <c r="L6" i="2"/>
  <c r="M6" i="2"/>
  <c r="N6" i="2"/>
  <c r="O6" i="2"/>
  <c r="P6" i="2"/>
  <c r="Q6" i="2"/>
  <c r="R6" i="2"/>
  <c r="S6" i="2"/>
  <c r="J7" i="2"/>
  <c r="K7" i="2"/>
  <c r="L7" i="2"/>
  <c r="M7" i="2"/>
  <c r="N7" i="2"/>
  <c r="O7" i="2"/>
  <c r="P7" i="2"/>
  <c r="Q7" i="2"/>
  <c r="R7" i="2"/>
  <c r="S7" i="2"/>
  <c r="J8" i="2"/>
  <c r="K8" i="2"/>
  <c r="L8" i="2"/>
  <c r="M8" i="2"/>
  <c r="N8" i="2"/>
  <c r="O8" i="2"/>
  <c r="P8" i="2"/>
  <c r="Q8" i="2"/>
  <c r="R8" i="2"/>
  <c r="S8" i="2"/>
  <c r="J9" i="2"/>
  <c r="K9" i="2"/>
  <c r="L9" i="2"/>
  <c r="M9" i="2"/>
  <c r="N9" i="2"/>
  <c r="O9" i="2"/>
  <c r="P9" i="2"/>
  <c r="Q9" i="2"/>
  <c r="R9" i="2"/>
  <c r="S9" i="2"/>
  <c r="J10" i="2"/>
  <c r="K10" i="2"/>
  <c r="L10" i="2"/>
  <c r="M10" i="2"/>
  <c r="N10" i="2"/>
  <c r="O10" i="2"/>
  <c r="P10" i="2"/>
  <c r="Q10" i="2"/>
  <c r="R10" i="2"/>
  <c r="S10" i="2"/>
  <c r="J11" i="2"/>
  <c r="K11" i="2"/>
  <c r="L11" i="2"/>
  <c r="M11" i="2"/>
  <c r="N11" i="2"/>
  <c r="O11" i="2"/>
  <c r="P11" i="2"/>
  <c r="Q11" i="2"/>
  <c r="R11" i="2"/>
  <c r="S11" i="2"/>
  <c r="J12" i="2"/>
  <c r="K12" i="2"/>
  <c r="L12" i="2"/>
  <c r="M12" i="2"/>
  <c r="N12" i="2"/>
  <c r="O12" i="2"/>
  <c r="P12" i="2"/>
  <c r="Q12" i="2"/>
  <c r="R12" i="2"/>
  <c r="S12" i="2"/>
  <c r="J13" i="2"/>
  <c r="K13" i="2"/>
  <c r="L13" i="2"/>
  <c r="M13" i="2"/>
  <c r="N13" i="2"/>
  <c r="O13" i="2"/>
  <c r="P13" i="2"/>
  <c r="Q13" i="2"/>
  <c r="R13" i="2"/>
  <c r="S13" i="2"/>
  <c r="J14" i="2"/>
  <c r="K14" i="2"/>
  <c r="L14" i="2"/>
  <c r="M14" i="2"/>
  <c r="N14" i="2"/>
  <c r="O14" i="2"/>
  <c r="P14" i="2"/>
  <c r="Q14" i="2"/>
  <c r="R14" i="2"/>
  <c r="S14" i="2"/>
  <c r="J15" i="2"/>
  <c r="K15" i="2"/>
  <c r="L15" i="2"/>
  <c r="M15" i="2"/>
  <c r="N15" i="2"/>
  <c r="O15" i="2"/>
  <c r="P15" i="2"/>
  <c r="Q15" i="2"/>
  <c r="R15" i="2"/>
  <c r="S15" i="2"/>
  <c r="J16" i="2"/>
  <c r="K16" i="2"/>
  <c r="L16" i="2"/>
  <c r="M16" i="2"/>
  <c r="N16" i="2"/>
  <c r="O16" i="2"/>
  <c r="P16" i="2"/>
  <c r="Q16" i="2"/>
  <c r="R16" i="2"/>
  <c r="S16" i="2"/>
  <c r="J17" i="2"/>
  <c r="K17" i="2"/>
  <c r="L17" i="2"/>
  <c r="M17" i="2"/>
  <c r="N17" i="2"/>
  <c r="O17" i="2"/>
  <c r="P17" i="2"/>
  <c r="Q17" i="2"/>
  <c r="R17" i="2"/>
  <c r="S17" i="2"/>
  <c r="J18" i="2"/>
  <c r="K18" i="2"/>
  <c r="L18" i="2"/>
  <c r="M18" i="2"/>
  <c r="N18" i="2"/>
  <c r="O18" i="2"/>
  <c r="P18" i="2"/>
  <c r="Q18" i="2"/>
  <c r="R18" i="2"/>
  <c r="S18" i="2"/>
  <c r="J19" i="2"/>
  <c r="K19" i="2"/>
  <c r="L19" i="2"/>
  <c r="M19" i="2"/>
  <c r="N19" i="2"/>
  <c r="O19" i="2"/>
  <c r="P19" i="2"/>
  <c r="Q19" i="2"/>
  <c r="R19" i="2"/>
  <c r="S19" i="2"/>
  <c r="J20" i="2"/>
  <c r="K20" i="2"/>
  <c r="L20" i="2"/>
  <c r="M20" i="2"/>
  <c r="N20" i="2"/>
  <c r="O20" i="2"/>
  <c r="P20" i="2"/>
  <c r="Q20" i="2"/>
  <c r="R20" i="2"/>
  <c r="S20" i="2"/>
  <c r="J21" i="2"/>
  <c r="K21" i="2"/>
  <c r="L21" i="2"/>
  <c r="M21" i="2"/>
  <c r="N21" i="2"/>
  <c r="O21" i="2"/>
  <c r="P21" i="2"/>
  <c r="Q21" i="2"/>
  <c r="R21" i="2"/>
  <c r="S21" i="2"/>
  <c r="J22" i="2"/>
  <c r="K22" i="2"/>
  <c r="L22" i="2"/>
  <c r="M22" i="2"/>
  <c r="N22" i="2"/>
  <c r="O22" i="2"/>
  <c r="P22" i="2"/>
  <c r="Q22" i="2"/>
  <c r="R22" i="2"/>
  <c r="S22" i="2"/>
  <c r="B23" i="2"/>
  <c r="K23" i="2" s="1"/>
  <c r="C23" i="2"/>
  <c r="L23" i="2" s="1"/>
  <c r="D23" i="2"/>
  <c r="M23" i="2" s="1"/>
  <c r="E23" i="2"/>
  <c r="F23" i="2"/>
  <c r="O23" i="2" s="1"/>
  <c r="G23" i="2"/>
  <c r="P23" i="2" s="1"/>
  <c r="H23" i="2"/>
  <c r="Q23" i="2" s="1"/>
  <c r="J23" i="2"/>
  <c r="N23" i="2"/>
  <c r="R23" i="2"/>
  <c r="B24" i="2"/>
  <c r="C24" i="2"/>
  <c r="L24" i="2" s="1"/>
  <c r="D24" i="2"/>
  <c r="M24" i="2" s="1"/>
  <c r="E24" i="2"/>
  <c r="N24" i="2" s="1"/>
  <c r="F24" i="2"/>
  <c r="O24" i="2" s="1"/>
  <c r="G24" i="2"/>
  <c r="P24" i="2" s="1"/>
  <c r="H24" i="2"/>
  <c r="Q24" i="2" s="1"/>
  <c r="J24" i="2"/>
  <c r="K24" i="2"/>
  <c r="R24" i="2"/>
  <c r="B25" i="2"/>
  <c r="K25" i="2" s="1"/>
  <c r="C25" i="2"/>
  <c r="L25" i="2" s="1"/>
  <c r="D25" i="2"/>
  <c r="M25" i="2" s="1"/>
  <c r="E25" i="2"/>
  <c r="N25" i="2" s="1"/>
  <c r="F25" i="2"/>
  <c r="O25" i="2" s="1"/>
  <c r="G25" i="2"/>
  <c r="P25" i="2" s="1"/>
  <c r="H25" i="2"/>
  <c r="Q25" i="2" s="1"/>
  <c r="J25" i="2"/>
  <c r="R25" i="2"/>
  <c r="B26" i="2"/>
  <c r="K26" i="2" s="1"/>
  <c r="C26" i="2"/>
  <c r="L26" i="2" s="1"/>
  <c r="D26" i="2"/>
  <c r="M26" i="2" s="1"/>
  <c r="E26" i="2"/>
  <c r="N26" i="2" s="1"/>
  <c r="F26" i="2"/>
  <c r="O26" i="2" s="1"/>
  <c r="G26" i="2"/>
  <c r="P26" i="2" s="1"/>
  <c r="H26" i="2"/>
  <c r="Q26" i="2" s="1"/>
  <c r="J26" i="2"/>
  <c r="R26" i="2"/>
  <c r="B27" i="2"/>
  <c r="C27" i="2"/>
  <c r="L27" i="2" s="1"/>
  <c r="D27" i="2"/>
  <c r="M27" i="2" s="1"/>
  <c r="E27" i="2"/>
  <c r="N27" i="2" s="1"/>
  <c r="F27" i="2"/>
  <c r="O27" i="2" s="1"/>
  <c r="G27" i="2"/>
  <c r="P27" i="2" s="1"/>
  <c r="H27" i="2"/>
  <c r="Q27" i="2" s="1"/>
  <c r="J27" i="2"/>
  <c r="K27" i="2"/>
  <c r="R27" i="2"/>
  <c r="B28" i="2"/>
  <c r="C28" i="2"/>
  <c r="L28" i="2" s="1"/>
  <c r="D28" i="2"/>
  <c r="E28" i="2"/>
  <c r="N28" i="2" s="1"/>
  <c r="F28" i="2"/>
  <c r="O28" i="2" s="1"/>
  <c r="G28" i="2"/>
  <c r="P28" i="2" s="1"/>
  <c r="H28" i="2"/>
  <c r="Q28" i="2" s="1"/>
  <c r="J28" i="2"/>
  <c r="K28" i="2"/>
  <c r="M28" i="2"/>
  <c r="R28" i="2"/>
  <c r="B29" i="2"/>
  <c r="C29" i="2"/>
  <c r="L29" i="2" s="1"/>
  <c r="D29" i="2"/>
  <c r="E29" i="2"/>
  <c r="F29" i="2"/>
  <c r="O29" i="2" s="1"/>
  <c r="G29" i="2"/>
  <c r="P29" i="2" s="1"/>
  <c r="H29" i="2"/>
  <c r="Q29" i="2" s="1"/>
  <c r="J29" i="2"/>
  <c r="K29" i="2"/>
  <c r="M29" i="2"/>
  <c r="N29" i="2"/>
  <c r="R29" i="2"/>
  <c r="B30" i="2"/>
  <c r="K30" i="2" s="1"/>
  <c r="C30" i="2"/>
  <c r="L30" i="2" s="1"/>
  <c r="D30" i="2"/>
  <c r="E30" i="2"/>
  <c r="N30" i="2" s="1"/>
  <c r="F30" i="2"/>
  <c r="O30" i="2" s="1"/>
  <c r="G30" i="2"/>
  <c r="P30" i="2" s="1"/>
  <c r="H30" i="2"/>
  <c r="Q30" i="2" s="1"/>
  <c r="J30" i="2"/>
  <c r="M30" i="2"/>
  <c r="R30" i="2"/>
  <c r="B31" i="2"/>
  <c r="K31" i="2" s="1"/>
  <c r="C31" i="2"/>
  <c r="L31" i="2" s="1"/>
  <c r="D31" i="2"/>
  <c r="M31" i="2" s="1"/>
  <c r="E31" i="2"/>
  <c r="N31" i="2" s="1"/>
  <c r="F31" i="2"/>
  <c r="O31" i="2" s="1"/>
  <c r="G31" i="2"/>
  <c r="P31" i="2" s="1"/>
  <c r="H31" i="2"/>
  <c r="Q31" i="2" s="1"/>
  <c r="J31" i="2"/>
  <c r="R31" i="2"/>
  <c r="B32" i="2"/>
  <c r="K32" i="2" s="1"/>
  <c r="C32" i="2"/>
  <c r="L32" i="2" s="1"/>
  <c r="D32" i="2"/>
  <c r="M32" i="2" s="1"/>
  <c r="E32" i="2"/>
  <c r="N32" i="2" s="1"/>
  <c r="F32" i="2"/>
  <c r="O32" i="2" s="1"/>
  <c r="G32" i="2"/>
  <c r="P32" i="2" s="1"/>
  <c r="H32" i="2"/>
  <c r="Q32" i="2" s="1"/>
  <c r="J32" i="2"/>
  <c r="R32" i="2"/>
  <c r="B33" i="2"/>
  <c r="C33" i="2"/>
  <c r="L33" i="2" s="1"/>
  <c r="D33" i="2"/>
  <c r="M33" i="2" s="1"/>
  <c r="E33" i="2"/>
  <c r="N33" i="2" s="1"/>
  <c r="F33" i="2"/>
  <c r="O33" i="2" s="1"/>
  <c r="G33" i="2"/>
  <c r="P33" i="2" s="1"/>
  <c r="H33" i="2"/>
  <c r="Q33" i="2" s="1"/>
  <c r="J33" i="2"/>
  <c r="K33" i="2"/>
  <c r="R33" i="2"/>
  <c r="B34" i="2"/>
  <c r="K34" i="2" s="1"/>
  <c r="C34" i="2"/>
  <c r="L34" i="2" s="1"/>
  <c r="D34" i="2"/>
  <c r="E34" i="2"/>
  <c r="N34" i="2" s="1"/>
  <c r="F34" i="2"/>
  <c r="O34" i="2" s="1"/>
  <c r="G34" i="2"/>
  <c r="P34" i="2" s="1"/>
  <c r="H34" i="2"/>
  <c r="Q34" i="2" s="1"/>
  <c r="J34" i="2"/>
  <c r="M34" i="2"/>
  <c r="R34" i="2"/>
  <c r="B35" i="2"/>
  <c r="K35" i="2" s="1"/>
  <c r="C35" i="2"/>
  <c r="L35" i="2" s="1"/>
  <c r="D35" i="2"/>
  <c r="M35" i="2" s="1"/>
  <c r="E35" i="2"/>
  <c r="N35" i="2" s="1"/>
  <c r="F35" i="2"/>
  <c r="O35" i="2" s="1"/>
  <c r="G35" i="2"/>
  <c r="P35" i="2" s="1"/>
  <c r="H35" i="2"/>
  <c r="Q35" i="2" s="1"/>
  <c r="J35" i="2"/>
  <c r="R35" i="2"/>
  <c r="B36" i="2"/>
  <c r="K36" i="2" s="1"/>
  <c r="C36" i="2"/>
  <c r="L36" i="2" s="1"/>
  <c r="D36" i="2"/>
  <c r="M36" i="2" s="1"/>
  <c r="E36" i="2"/>
  <c r="N36" i="2" s="1"/>
  <c r="F36" i="2"/>
  <c r="O36" i="2" s="1"/>
  <c r="G36" i="2"/>
  <c r="P36" i="2" s="1"/>
  <c r="H36" i="2"/>
  <c r="Q36" i="2" s="1"/>
  <c r="J36" i="2"/>
  <c r="R36" i="2"/>
  <c r="B37" i="2"/>
  <c r="K37" i="2" s="1"/>
  <c r="C37" i="2"/>
  <c r="L37" i="2" s="1"/>
  <c r="D37" i="2"/>
  <c r="M37" i="2" s="1"/>
  <c r="E37" i="2"/>
  <c r="N37" i="2" s="1"/>
  <c r="F37" i="2"/>
  <c r="O37" i="2" s="1"/>
  <c r="G37" i="2"/>
  <c r="P37" i="2" s="1"/>
  <c r="H37" i="2"/>
  <c r="Q37" i="2" s="1"/>
  <c r="J37" i="2"/>
  <c r="R37" i="2"/>
  <c r="B38" i="2"/>
  <c r="C38" i="2"/>
  <c r="D38" i="2"/>
  <c r="M38" i="2" s="1"/>
  <c r="E38" i="2"/>
  <c r="F38" i="2"/>
  <c r="O38" i="2" s="1"/>
  <c r="G38" i="2"/>
  <c r="P38" i="2" s="1"/>
  <c r="H38" i="2"/>
  <c r="J38" i="2"/>
  <c r="K38" i="2"/>
  <c r="L38" i="2"/>
  <c r="N38" i="2"/>
  <c r="Q38" i="2"/>
  <c r="R38" i="2"/>
  <c r="B39" i="2"/>
  <c r="C39" i="2"/>
  <c r="L39" i="2" s="1"/>
  <c r="D39" i="2"/>
  <c r="M39" i="2" s="1"/>
  <c r="E39" i="2"/>
  <c r="N39" i="2" s="1"/>
  <c r="F39" i="2"/>
  <c r="G39" i="2"/>
  <c r="P39" i="2" s="1"/>
  <c r="H39" i="2"/>
  <c r="Q39" i="2" s="1"/>
  <c r="J39" i="2"/>
  <c r="K39" i="2"/>
  <c r="O39" i="2"/>
  <c r="R39" i="2"/>
  <c r="B40" i="2"/>
  <c r="C40" i="2"/>
  <c r="D40" i="2"/>
  <c r="E40" i="2"/>
  <c r="N40" i="2" s="1"/>
  <c r="F40" i="2"/>
  <c r="O40" i="2" s="1"/>
  <c r="G40" i="2"/>
  <c r="P40" i="2" s="1"/>
  <c r="H40" i="2"/>
  <c r="Q40" i="2" s="1"/>
  <c r="J40" i="2"/>
  <c r="K40" i="2"/>
  <c r="L40" i="2"/>
  <c r="M40" i="2"/>
  <c r="R40" i="2"/>
  <c r="B41" i="2"/>
  <c r="C41" i="2"/>
  <c r="D41" i="2"/>
  <c r="E41" i="2"/>
  <c r="N41" i="2" s="1"/>
  <c r="F41" i="2"/>
  <c r="G41" i="2"/>
  <c r="P41" i="2" s="1"/>
  <c r="H41" i="2"/>
  <c r="Q41" i="2" s="1"/>
  <c r="J41" i="2"/>
  <c r="K41" i="2"/>
  <c r="L41" i="2"/>
  <c r="M41" i="2"/>
  <c r="O41" i="2"/>
  <c r="R41" i="2"/>
  <c r="B42" i="2"/>
  <c r="K42" i="2" s="1"/>
  <c r="C42" i="2"/>
  <c r="L42" i="2" s="1"/>
  <c r="D42" i="2"/>
  <c r="M42" i="2" s="1"/>
  <c r="E42" i="2"/>
  <c r="N42" i="2" s="1"/>
  <c r="F42" i="2"/>
  <c r="O42" i="2" s="1"/>
  <c r="G42" i="2"/>
  <c r="P42" i="2" s="1"/>
  <c r="H42" i="2"/>
  <c r="Q42" i="2" s="1"/>
  <c r="J42" i="2"/>
  <c r="R42" i="2"/>
  <c r="B43" i="2"/>
  <c r="K43" i="2" s="1"/>
  <c r="C43" i="2"/>
  <c r="L43" i="2" s="1"/>
  <c r="D43" i="2"/>
  <c r="E43" i="2"/>
  <c r="F43" i="2"/>
  <c r="O43" i="2" s="1"/>
  <c r="G43" i="2"/>
  <c r="P43" i="2" s="1"/>
  <c r="H43" i="2"/>
  <c r="Q43" i="2" s="1"/>
  <c r="J43" i="2"/>
  <c r="M43" i="2"/>
  <c r="N43" i="2"/>
  <c r="R43" i="2"/>
  <c r="B44" i="2"/>
  <c r="C44" i="2"/>
  <c r="L44" i="2" s="1"/>
  <c r="D44" i="2"/>
  <c r="E44" i="2"/>
  <c r="N44" i="2" s="1"/>
  <c r="F44" i="2"/>
  <c r="O44" i="2" s="1"/>
  <c r="G44" i="2"/>
  <c r="P44" i="2" s="1"/>
  <c r="H44" i="2"/>
  <c r="Q44" i="2" s="1"/>
  <c r="J44" i="2"/>
  <c r="K44" i="2"/>
  <c r="M44" i="2"/>
  <c r="R44" i="2"/>
  <c r="B45" i="2"/>
  <c r="C45" i="2"/>
  <c r="D45" i="2"/>
  <c r="M45" i="2" s="1"/>
  <c r="E45" i="2"/>
  <c r="F45" i="2"/>
  <c r="O45" i="2" s="1"/>
  <c r="G45" i="2"/>
  <c r="P45" i="2" s="1"/>
  <c r="H45" i="2"/>
  <c r="Q45" i="2" s="1"/>
  <c r="J45" i="2"/>
  <c r="K45" i="2"/>
  <c r="L45" i="2"/>
  <c r="N45" i="2"/>
  <c r="R45" i="2"/>
  <c r="B46" i="2"/>
  <c r="K46" i="2" s="1"/>
  <c r="C46" i="2"/>
  <c r="L46" i="2" s="1"/>
  <c r="D46" i="2"/>
  <c r="M46" i="2" s="1"/>
  <c r="E46" i="2"/>
  <c r="N46" i="2" s="1"/>
  <c r="F46" i="2"/>
  <c r="G46" i="2"/>
  <c r="P46" i="2" s="1"/>
  <c r="H46" i="2"/>
  <c r="Q46" i="2" s="1"/>
  <c r="J46" i="2"/>
  <c r="O46" i="2"/>
  <c r="R46" i="2"/>
  <c r="B47" i="2"/>
  <c r="K47" i="2" s="1"/>
  <c r="C47" i="2"/>
  <c r="D47" i="2"/>
  <c r="M47" i="2" s="1"/>
  <c r="E47" i="2"/>
  <c r="F47" i="2"/>
  <c r="O47" i="2" s="1"/>
  <c r="G47" i="2"/>
  <c r="P47" i="2" s="1"/>
  <c r="H47" i="2"/>
  <c r="Q47" i="2" s="1"/>
  <c r="J47" i="2"/>
  <c r="L47" i="2"/>
  <c r="N47" i="2"/>
  <c r="R47" i="2"/>
  <c r="B48" i="2"/>
  <c r="K48" i="2" s="1"/>
  <c r="C48" i="2"/>
  <c r="L48" i="2" s="1"/>
  <c r="D48" i="2"/>
  <c r="M48" i="2" s="1"/>
  <c r="E48" i="2"/>
  <c r="N48" i="2" s="1"/>
  <c r="F48" i="2"/>
  <c r="O48" i="2" s="1"/>
  <c r="G48" i="2"/>
  <c r="P48" i="2" s="1"/>
  <c r="H48" i="2"/>
  <c r="Q48" i="2" s="1"/>
  <c r="J48" i="2"/>
  <c r="R48" i="2"/>
  <c r="B49" i="2"/>
  <c r="K49" i="2" s="1"/>
  <c r="C49" i="2"/>
  <c r="L49" i="2" s="1"/>
  <c r="D49" i="2"/>
  <c r="M49" i="2" s="1"/>
  <c r="E49" i="2"/>
  <c r="N49" i="2" s="1"/>
  <c r="F49" i="2"/>
  <c r="O49" i="2" s="1"/>
  <c r="G49" i="2"/>
  <c r="P49" i="2" s="1"/>
  <c r="H49" i="2"/>
  <c r="Q49" i="2" s="1"/>
  <c r="J49" i="2"/>
  <c r="R49" i="2"/>
  <c r="B50" i="2"/>
  <c r="C50" i="2"/>
  <c r="D50" i="2"/>
  <c r="M50" i="2" s="1"/>
  <c r="E50" i="2"/>
  <c r="F50" i="2"/>
  <c r="O50" i="2" s="1"/>
  <c r="G50" i="2"/>
  <c r="P50" i="2" s="1"/>
  <c r="H50" i="2"/>
  <c r="Q50" i="2" s="1"/>
  <c r="J50" i="2"/>
  <c r="K50" i="2"/>
  <c r="L50" i="2"/>
  <c r="N50" i="2"/>
  <c r="R50" i="2"/>
  <c r="B51" i="2"/>
  <c r="K51" i="2" s="1"/>
  <c r="C51" i="2"/>
  <c r="L51" i="2" s="1"/>
  <c r="D51" i="2"/>
  <c r="M51" i="2" s="1"/>
  <c r="E51" i="2"/>
  <c r="N51" i="2" s="1"/>
  <c r="F51" i="2"/>
  <c r="O51" i="2" s="1"/>
  <c r="G51" i="2"/>
  <c r="P51" i="2" s="1"/>
  <c r="H51" i="2"/>
  <c r="Q51" i="2" s="1"/>
  <c r="J51" i="2"/>
  <c r="R51" i="2"/>
  <c r="B52" i="2"/>
  <c r="K52" i="2" s="1"/>
  <c r="C52" i="2"/>
  <c r="L52" i="2" s="1"/>
  <c r="D52" i="2"/>
  <c r="M52" i="2" s="1"/>
  <c r="E52" i="2"/>
  <c r="N52" i="2" s="1"/>
  <c r="F52" i="2"/>
  <c r="O52" i="2" s="1"/>
  <c r="G52" i="2"/>
  <c r="P52" i="2" s="1"/>
  <c r="H52" i="2"/>
  <c r="Q52" i="2" s="1"/>
  <c r="J52" i="2"/>
  <c r="R52" i="2"/>
  <c r="B53" i="2"/>
  <c r="K53" i="2" s="1"/>
  <c r="C53" i="2"/>
  <c r="D53" i="2"/>
  <c r="M53" i="2" s="1"/>
  <c r="E53" i="2"/>
  <c r="F53" i="2"/>
  <c r="O53" i="2" s="1"/>
  <c r="G53" i="2"/>
  <c r="P53" i="2" s="1"/>
  <c r="H53" i="2"/>
  <c r="Q53" i="2" s="1"/>
  <c r="J53" i="2"/>
  <c r="L53" i="2"/>
  <c r="N53" i="2"/>
  <c r="R53" i="2"/>
  <c r="B54" i="2"/>
  <c r="K54" i="2" s="1"/>
  <c r="C54" i="2"/>
  <c r="L54" i="2" s="1"/>
  <c r="D54" i="2"/>
  <c r="M54" i="2" s="1"/>
  <c r="E54" i="2"/>
  <c r="N54" i="2" s="1"/>
  <c r="F54" i="2"/>
  <c r="O54" i="2" s="1"/>
  <c r="G54" i="2"/>
  <c r="P54" i="2" s="1"/>
  <c r="H54" i="2"/>
  <c r="Q54" i="2" s="1"/>
  <c r="J54" i="2"/>
  <c r="R54" i="2"/>
  <c r="B55" i="2"/>
  <c r="K55" i="2" s="1"/>
  <c r="C55" i="2"/>
  <c r="L55" i="2" s="1"/>
  <c r="D55" i="2"/>
  <c r="M55" i="2" s="1"/>
  <c r="E55" i="2"/>
  <c r="N55" i="2" s="1"/>
  <c r="F55" i="2"/>
  <c r="O55" i="2" s="1"/>
  <c r="G55" i="2"/>
  <c r="P55" i="2" s="1"/>
  <c r="H55" i="2"/>
  <c r="Q55" i="2" s="1"/>
  <c r="J55" i="2"/>
  <c r="R55" i="2"/>
  <c r="B56" i="2"/>
  <c r="C56" i="2"/>
  <c r="L56" i="2" s="1"/>
  <c r="D56" i="2"/>
  <c r="M56" i="2" s="1"/>
  <c r="E56" i="2"/>
  <c r="N56" i="2" s="1"/>
  <c r="F56" i="2"/>
  <c r="O56" i="2" s="1"/>
  <c r="G56" i="2"/>
  <c r="P56" i="2" s="1"/>
  <c r="H56" i="2"/>
  <c r="Q56" i="2" s="1"/>
  <c r="J56" i="2"/>
  <c r="K56" i="2"/>
  <c r="R56" i="2"/>
  <c r="B57" i="2"/>
  <c r="K57" i="2" s="1"/>
  <c r="C57" i="2"/>
  <c r="L57" i="2" s="1"/>
  <c r="D57" i="2"/>
  <c r="M57" i="2" s="1"/>
  <c r="E57" i="2"/>
  <c r="N57" i="2" s="1"/>
  <c r="F57" i="2"/>
  <c r="O57" i="2" s="1"/>
  <c r="G57" i="2"/>
  <c r="P57" i="2" s="1"/>
  <c r="H57" i="2"/>
  <c r="Q57" i="2" s="1"/>
  <c r="J57" i="2"/>
  <c r="R57" i="2"/>
  <c r="B58" i="2"/>
  <c r="C58" i="2"/>
  <c r="D58" i="2"/>
  <c r="E58" i="2"/>
  <c r="F58" i="2"/>
  <c r="O58" i="2" s="1"/>
  <c r="G58" i="2"/>
  <c r="P58" i="2" s="1"/>
  <c r="H58" i="2"/>
  <c r="Q58" i="2" s="1"/>
  <c r="J58" i="2"/>
  <c r="K58" i="2"/>
  <c r="L58" i="2"/>
  <c r="M58" i="2"/>
  <c r="N58" i="2"/>
  <c r="R58" i="2"/>
  <c r="B59" i="2"/>
  <c r="K59" i="2" s="1"/>
  <c r="C59" i="2"/>
  <c r="L59" i="2" s="1"/>
  <c r="D59" i="2"/>
  <c r="M59" i="2" s="1"/>
  <c r="E59" i="2"/>
  <c r="N59" i="2" s="1"/>
  <c r="F59" i="2"/>
  <c r="O59" i="2" s="1"/>
  <c r="G59" i="2"/>
  <c r="P59" i="2" s="1"/>
  <c r="H59" i="2"/>
  <c r="Q59" i="2" s="1"/>
  <c r="J59" i="2"/>
  <c r="R59" i="2"/>
  <c r="B60" i="2"/>
  <c r="C60" i="2"/>
  <c r="L60" i="2" s="1"/>
  <c r="D60" i="2"/>
  <c r="M60" i="2" s="1"/>
  <c r="E60" i="2"/>
  <c r="N60" i="2" s="1"/>
  <c r="F60" i="2"/>
  <c r="O60" i="2" s="1"/>
  <c r="G60" i="2"/>
  <c r="P60" i="2" s="1"/>
  <c r="H60" i="2"/>
  <c r="Q60" i="2" s="1"/>
  <c r="J60" i="2"/>
  <c r="K60" i="2"/>
  <c r="R60" i="2"/>
  <c r="B61" i="2"/>
  <c r="C61" i="2"/>
  <c r="L61" i="2" s="1"/>
  <c r="D61" i="2"/>
  <c r="M61" i="2" s="1"/>
  <c r="E61" i="2"/>
  <c r="N61" i="2" s="1"/>
  <c r="F61" i="2"/>
  <c r="O61" i="2" s="1"/>
  <c r="G61" i="2"/>
  <c r="P61" i="2" s="1"/>
  <c r="H61" i="2"/>
  <c r="Q61" i="2" s="1"/>
  <c r="J61" i="2"/>
  <c r="K61" i="2"/>
  <c r="R61" i="2"/>
  <c r="B62" i="2"/>
  <c r="K62" i="2" s="1"/>
  <c r="C62" i="2"/>
  <c r="L62" i="2" s="1"/>
  <c r="D62" i="2"/>
  <c r="M62" i="2" s="1"/>
  <c r="E62" i="2"/>
  <c r="N62" i="2" s="1"/>
  <c r="F62" i="2"/>
  <c r="O62" i="2" s="1"/>
  <c r="G62" i="2"/>
  <c r="P62" i="2" s="1"/>
  <c r="H62" i="2"/>
  <c r="Q62" i="2" s="1"/>
  <c r="J62" i="2"/>
  <c r="R62" i="2"/>
  <c r="B63" i="2"/>
  <c r="K63" i="2" s="1"/>
  <c r="C63" i="2"/>
  <c r="L63" i="2" s="1"/>
  <c r="D63" i="2"/>
  <c r="M63" i="2" s="1"/>
  <c r="E63" i="2"/>
  <c r="N63" i="2" s="1"/>
  <c r="F63" i="2"/>
  <c r="O63" i="2" s="1"/>
  <c r="G63" i="2"/>
  <c r="P63" i="2" s="1"/>
  <c r="H63" i="2"/>
  <c r="Q63" i="2" s="1"/>
  <c r="J63" i="2"/>
  <c r="R63" i="2"/>
  <c r="B64" i="2"/>
  <c r="K64" i="2" s="1"/>
  <c r="C64" i="2"/>
  <c r="L64" i="2" s="1"/>
  <c r="D64" i="2"/>
  <c r="M64" i="2" s="1"/>
  <c r="E64" i="2"/>
  <c r="N64" i="2" s="1"/>
  <c r="F64" i="2"/>
  <c r="O64" i="2" s="1"/>
  <c r="G64" i="2"/>
  <c r="P64" i="2" s="1"/>
  <c r="H64" i="2"/>
  <c r="Q64" i="2" s="1"/>
  <c r="J64" i="2"/>
  <c r="R64" i="2"/>
  <c r="B65" i="2"/>
  <c r="C65" i="2"/>
  <c r="L65" i="2" s="1"/>
  <c r="D65" i="2"/>
  <c r="M65" i="2" s="1"/>
  <c r="E65" i="2"/>
  <c r="N65" i="2" s="1"/>
  <c r="F65" i="2"/>
  <c r="O65" i="2" s="1"/>
  <c r="G65" i="2"/>
  <c r="P65" i="2" s="1"/>
  <c r="H65" i="2"/>
  <c r="Q65" i="2" s="1"/>
  <c r="J65" i="2"/>
  <c r="K65" i="2"/>
  <c r="R65" i="2"/>
  <c r="B66" i="2"/>
  <c r="K66" i="2" s="1"/>
  <c r="C66" i="2"/>
  <c r="L66" i="2" s="1"/>
  <c r="D66" i="2"/>
  <c r="M66" i="2" s="1"/>
  <c r="E66" i="2"/>
  <c r="N66" i="2" s="1"/>
  <c r="F66" i="2"/>
  <c r="O66" i="2" s="1"/>
  <c r="G66" i="2"/>
  <c r="P66" i="2" s="1"/>
  <c r="H66" i="2"/>
  <c r="Q66" i="2" s="1"/>
  <c r="J66" i="2"/>
  <c r="R66" i="2"/>
  <c r="B67" i="2"/>
  <c r="C67" i="2"/>
  <c r="L67" i="2" s="1"/>
  <c r="D67" i="2"/>
  <c r="M67" i="2" s="1"/>
  <c r="E67" i="2"/>
  <c r="N67" i="2" s="1"/>
  <c r="F67" i="2"/>
  <c r="O67" i="2" s="1"/>
  <c r="G67" i="2"/>
  <c r="P67" i="2" s="1"/>
  <c r="H67" i="2"/>
  <c r="Q67" i="2" s="1"/>
  <c r="J67" i="2"/>
  <c r="K67" i="2"/>
  <c r="R67" i="2"/>
  <c r="B68" i="2"/>
  <c r="K68" i="2" s="1"/>
  <c r="C68" i="2"/>
  <c r="D68" i="2"/>
  <c r="M68" i="2" s="1"/>
  <c r="E68" i="2"/>
  <c r="N68" i="2" s="1"/>
  <c r="F68" i="2"/>
  <c r="O68" i="2" s="1"/>
  <c r="G68" i="2"/>
  <c r="P68" i="2" s="1"/>
  <c r="H68" i="2"/>
  <c r="Q68" i="2" s="1"/>
  <c r="J68" i="2"/>
  <c r="L68" i="2"/>
  <c r="R68" i="2"/>
  <c r="B69" i="2"/>
  <c r="K69" i="2" s="1"/>
  <c r="C69" i="2"/>
  <c r="L69" i="2" s="1"/>
  <c r="D69" i="2"/>
  <c r="M69" i="2" s="1"/>
  <c r="E69" i="2"/>
  <c r="N69" i="2" s="1"/>
  <c r="F69" i="2"/>
  <c r="O69" i="2" s="1"/>
  <c r="G69" i="2"/>
  <c r="P69" i="2" s="1"/>
  <c r="H69" i="2"/>
  <c r="Q69" i="2" s="1"/>
  <c r="J69" i="2"/>
  <c r="R69" i="2"/>
  <c r="B70" i="2"/>
  <c r="K70" i="2" s="1"/>
  <c r="C70" i="2"/>
  <c r="L70" i="2" s="1"/>
  <c r="D70" i="2"/>
  <c r="M70" i="2" s="1"/>
  <c r="E70" i="2"/>
  <c r="N70" i="2" s="1"/>
  <c r="F70" i="2"/>
  <c r="O70" i="2" s="1"/>
  <c r="G70" i="2"/>
  <c r="P70" i="2" s="1"/>
  <c r="H70" i="2"/>
  <c r="Q70" i="2" s="1"/>
  <c r="J70" i="2"/>
  <c r="R70" i="2"/>
  <c r="B71" i="2"/>
  <c r="K71" i="2" s="1"/>
  <c r="C71" i="2"/>
  <c r="L71" i="2" s="1"/>
  <c r="D71" i="2"/>
  <c r="M71" i="2" s="1"/>
  <c r="E71" i="2"/>
  <c r="N71" i="2" s="1"/>
  <c r="F71" i="2"/>
  <c r="O71" i="2" s="1"/>
  <c r="G71" i="2"/>
  <c r="P71" i="2" s="1"/>
  <c r="H71" i="2"/>
  <c r="Q71" i="2" s="1"/>
  <c r="J71" i="2"/>
  <c r="R71" i="2"/>
  <c r="B72" i="2"/>
  <c r="C72" i="2"/>
  <c r="L72" i="2" s="1"/>
  <c r="D72" i="2"/>
  <c r="M72" i="2" s="1"/>
  <c r="E72" i="2"/>
  <c r="N72" i="2" s="1"/>
  <c r="F72" i="2"/>
  <c r="O72" i="2" s="1"/>
  <c r="G72" i="2"/>
  <c r="P72" i="2" s="1"/>
  <c r="H72" i="2"/>
  <c r="Q72" i="2" s="1"/>
  <c r="J72" i="2"/>
  <c r="K72" i="2"/>
  <c r="R72" i="2"/>
  <c r="B73" i="2"/>
  <c r="K73" i="2" s="1"/>
  <c r="C73" i="2"/>
  <c r="L73" i="2" s="1"/>
  <c r="D73" i="2"/>
  <c r="M73" i="2" s="1"/>
  <c r="E73" i="2"/>
  <c r="N73" i="2" s="1"/>
  <c r="F73" i="2"/>
  <c r="O73" i="2" s="1"/>
  <c r="G73" i="2"/>
  <c r="P73" i="2" s="1"/>
  <c r="H73" i="2"/>
  <c r="Q73" i="2" s="1"/>
  <c r="J73" i="2"/>
  <c r="R73" i="2"/>
  <c r="B74" i="2"/>
  <c r="K74" i="2" s="1"/>
  <c r="C74" i="2"/>
  <c r="L74" i="2" s="1"/>
  <c r="D74" i="2"/>
  <c r="M74" i="2" s="1"/>
  <c r="E74" i="2"/>
  <c r="N74" i="2" s="1"/>
  <c r="F74" i="2"/>
  <c r="O74" i="2" s="1"/>
  <c r="G74" i="2"/>
  <c r="P74" i="2" s="1"/>
  <c r="H74" i="2"/>
  <c r="Q74" i="2" s="1"/>
  <c r="J74" i="2"/>
  <c r="R74" i="2"/>
  <c r="B75" i="2"/>
  <c r="K75" i="2" s="1"/>
  <c r="C75" i="2"/>
  <c r="L75" i="2" s="1"/>
  <c r="D75" i="2"/>
  <c r="M75" i="2" s="1"/>
  <c r="E75" i="2"/>
  <c r="N75" i="2" s="1"/>
  <c r="F75" i="2"/>
  <c r="O75" i="2" s="1"/>
  <c r="G75" i="2"/>
  <c r="P75" i="2" s="1"/>
  <c r="H75" i="2"/>
  <c r="Q75" i="2" s="1"/>
  <c r="J75" i="2"/>
  <c r="R75" i="2"/>
  <c r="B76" i="2"/>
  <c r="K76" i="2" s="1"/>
  <c r="C76" i="2"/>
  <c r="L76" i="2" s="1"/>
  <c r="D76" i="2"/>
  <c r="M76" i="2" s="1"/>
  <c r="E76" i="2"/>
  <c r="N76" i="2" s="1"/>
  <c r="F76" i="2"/>
  <c r="O76" i="2" s="1"/>
  <c r="G76" i="2"/>
  <c r="P76" i="2" s="1"/>
  <c r="H76" i="2"/>
  <c r="Q76" i="2" s="1"/>
  <c r="J76" i="2"/>
  <c r="R76" i="2"/>
  <c r="B77" i="2"/>
  <c r="K77" i="2" s="1"/>
  <c r="C77" i="2"/>
  <c r="L77" i="2" s="1"/>
  <c r="D77" i="2"/>
  <c r="M77" i="2" s="1"/>
  <c r="E77" i="2"/>
  <c r="N77" i="2" s="1"/>
  <c r="F77" i="2"/>
  <c r="O77" i="2" s="1"/>
  <c r="G77" i="2"/>
  <c r="P77" i="2" s="1"/>
  <c r="H77" i="2"/>
  <c r="Q77" i="2" s="1"/>
  <c r="J77" i="2"/>
  <c r="R77" i="2"/>
  <c r="B78" i="2"/>
  <c r="K78" i="2" s="1"/>
  <c r="C78" i="2"/>
  <c r="L78" i="2" s="1"/>
  <c r="D78" i="2"/>
  <c r="M78" i="2" s="1"/>
  <c r="E78" i="2"/>
  <c r="N78" i="2" s="1"/>
  <c r="F78" i="2"/>
  <c r="O78" i="2" s="1"/>
  <c r="G78" i="2"/>
  <c r="P78" i="2" s="1"/>
  <c r="H78" i="2"/>
  <c r="Q78" i="2" s="1"/>
  <c r="J78" i="2"/>
  <c r="R78" i="2"/>
  <c r="B79" i="2"/>
  <c r="K79" i="2" s="1"/>
  <c r="C79" i="2"/>
  <c r="L79" i="2" s="1"/>
  <c r="D79" i="2"/>
  <c r="M79" i="2" s="1"/>
  <c r="E79" i="2"/>
  <c r="N79" i="2" s="1"/>
  <c r="F79" i="2"/>
  <c r="O79" i="2" s="1"/>
  <c r="G79" i="2"/>
  <c r="P79" i="2" s="1"/>
  <c r="H79" i="2"/>
  <c r="Q79" i="2" s="1"/>
  <c r="J79" i="2"/>
  <c r="R79" i="2"/>
  <c r="B80" i="2"/>
  <c r="K80" i="2" s="1"/>
  <c r="C80" i="2"/>
  <c r="L80" i="2" s="1"/>
  <c r="D80" i="2"/>
  <c r="M80" i="2" s="1"/>
  <c r="E80" i="2"/>
  <c r="N80" i="2" s="1"/>
  <c r="F80" i="2"/>
  <c r="O80" i="2" s="1"/>
  <c r="G80" i="2"/>
  <c r="P80" i="2" s="1"/>
  <c r="H80" i="2"/>
  <c r="Q80" i="2" s="1"/>
  <c r="J80" i="2"/>
  <c r="R80" i="2"/>
  <c r="B81" i="2"/>
  <c r="K81" i="2" s="1"/>
  <c r="C81" i="2"/>
  <c r="L81" i="2" s="1"/>
  <c r="D81" i="2"/>
  <c r="M81" i="2" s="1"/>
  <c r="E81" i="2"/>
  <c r="N81" i="2" s="1"/>
  <c r="F81" i="2"/>
  <c r="O81" i="2" s="1"/>
  <c r="G81" i="2"/>
  <c r="P81" i="2" s="1"/>
  <c r="H81" i="2"/>
  <c r="Q81" i="2" s="1"/>
  <c r="J81" i="2"/>
  <c r="R81" i="2"/>
  <c r="B82" i="2"/>
  <c r="K82" i="2" s="1"/>
  <c r="C82" i="2"/>
  <c r="L82" i="2" s="1"/>
  <c r="D82" i="2"/>
  <c r="M82" i="2" s="1"/>
  <c r="E82" i="2"/>
  <c r="N82" i="2" s="1"/>
  <c r="F82" i="2"/>
  <c r="O82" i="2" s="1"/>
  <c r="G82" i="2"/>
  <c r="P82" i="2" s="1"/>
  <c r="H82" i="2"/>
  <c r="Q82" i="2" s="1"/>
  <c r="J82" i="2"/>
  <c r="R82" i="2"/>
  <c r="B83" i="2"/>
  <c r="K83" i="2" s="1"/>
  <c r="C83" i="2"/>
  <c r="L83" i="2" s="1"/>
  <c r="D83" i="2"/>
  <c r="M83" i="2" s="1"/>
  <c r="E83" i="2"/>
  <c r="N83" i="2" s="1"/>
  <c r="F83" i="2"/>
  <c r="O83" i="2" s="1"/>
  <c r="G83" i="2"/>
  <c r="P83" i="2" s="1"/>
  <c r="H83" i="2"/>
  <c r="Q83" i="2" s="1"/>
  <c r="J83" i="2"/>
  <c r="R83" i="2"/>
  <c r="B84" i="2"/>
  <c r="C84" i="2"/>
  <c r="L84" i="2" s="1"/>
  <c r="D84" i="2"/>
  <c r="M84" i="2" s="1"/>
  <c r="E84" i="2"/>
  <c r="N84" i="2" s="1"/>
  <c r="F84" i="2"/>
  <c r="O84" i="2" s="1"/>
  <c r="G84" i="2"/>
  <c r="P84" i="2" s="1"/>
  <c r="H84" i="2"/>
  <c r="Q84" i="2" s="1"/>
  <c r="J84" i="2"/>
  <c r="K84" i="2"/>
  <c r="R84" i="2"/>
  <c r="B85" i="2"/>
  <c r="C85" i="2"/>
  <c r="L85" i="2" s="1"/>
  <c r="D85" i="2"/>
  <c r="M85" i="2" s="1"/>
  <c r="E85" i="2"/>
  <c r="N85" i="2" s="1"/>
  <c r="F85" i="2"/>
  <c r="O85" i="2" s="1"/>
  <c r="G85" i="2"/>
  <c r="P85" i="2" s="1"/>
  <c r="H85" i="2"/>
  <c r="Q85" i="2" s="1"/>
  <c r="J85" i="2"/>
  <c r="K85" i="2"/>
  <c r="R85" i="2"/>
  <c r="B86" i="2"/>
  <c r="K86" i="2" s="1"/>
  <c r="C86" i="2"/>
  <c r="D86" i="2"/>
  <c r="M86" i="2" s="1"/>
  <c r="E86" i="2"/>
  <c r="N86" i="2" s="1"/>
  <c r="F86" i="2"/>
  <c r="G86" i="2"/>
  <c r="P86" i="2" s="1"/>
  <c r="H86" i="2"/>
  <c r="Q86" i="2" s="1"/>
  <c r="J86" i="2"/>
  <c r="L86" i="2"/>
  <c r="O86" i="2"/>
  <c r="R86" i="2"/>
  <c r="B87" i="2"/>
  <c r="K87" i="2" s="1"/>
  <c r="C87" i="2"/>
  <c r="L87" i="2" s="1"/>
  <c r="D87" i="2"/>
  <c r="M87" i="2" s="1"/>
  <c r="E87" i="2"/>
  <c r="N87" i="2" s="1"/>
  <c r="F87" i="2"/>
  <c r="O87" i="2" s="1"/>
  <c r="G87" i="2"/>
  <c r="P87" i="2" s="1"/>
  <c r="H87" i="2"/>
  <c r="Q87" i="2" s="1"/>
  <c r="J87" i="2"/>
  <c r="R87" i="2"/>
  <c r="B88" i="2"/>
  <c r="C88" i="2"/>
  <c r="L88" i="2" s="1"/>
  <c r="D88" i="2"/>
  <c r="E88" i="2"/>
  <c r="N88" i="2" s="1"/>
  <c r="F88" i="2"/>
  <c r="O88" i="2" s="1"/>
  <c r="G88" i="2"/>
  <c r="P88" i="2" s="1"/>
  <c r="H88" i="2"/>
  <c r="Q88" i="2" s="1"/>
  <c r="J88" i="2"/>
  <c r="K88" i="2"/>
  <c r="M88" i="2"/>
  <c r="R88" i="2"/>
  <c r="B89" i="2"/>
  <c r="C89" i="2"/>
  <c r="D89" i="2"/>
  <c r="M89" i="2" s="1"/>
  <c r="E89" i="2"/>
  <c r="N89" i="2" s="1"/>
  <c r="F89" i="2"/>
  <c r="O89" i="2" s="1"/>
  <c r="G89" i="2"/>
  <c r="P89" i="2" s="1"/>
  <c r="H89" i="2"/>
  <c r="Q89" i="2" s="1"/>
  <c r="J89" i="2"/>
  <c r="K89" i="2"/>
  <c r="L89" i="2"/>
  <c r="R89" i="2"/>
  <c r="B90" i="2"/>
  <c r="K90" i="2" s="1"/>
  <c r="C90" i="2"/>
  <c r="D90" i="2"/>
  <c r="E90" i="2"/>
  <c r="N90" i="2" s="1"/>
  <c r="F90" i="2"/>
  <c r="O90" i="2" s="1"/>
  <c r="G90" i="2"/>
  <c r="P90" i="2" s="1"/>
  <c r="H90" i="2"/>
  <c r="Q90" i="2" s="1"/>
  <c r="J90" i="2"/>
  <c r="L90" i="2"/>
  <c r="M90" i="2"/>
  <c r="R90" i="2"/>
  <c r="B91" i="2"/>
  <c r="K91" i="2" s="1"/>
  <c r="C91" i="2"/>
  <c r="D91" i="2"/>
  <c r="E91" i="2"/>
  <c r="N91" i="2" s="1"/>
  <c r="F91" i="2"/>
  <c r="O91" i="2" s="1"/>
  <c r="G91" i="2"/>
  <c r="P91" i="2" s="1"/>
  <c r="H91" i="2"/>
  <c r="Q91" i="2" s="1"/>
  <c r="J91" i="2"/>
  <c r="L91" i="2"/>
  <c r="M91" i="2"/>
  <c r="R91" i="2"/>
  <c r="B92" i="2"/>
  <c r="K92" i="2" s="1"/>
  <c r="C92" i="2"/>
  <c r="L92" i="2" s="1"/>
  <c r="D92" i="2"/>
  <c r="M92" i="2" s="1"/>
  <c r="E92" i="2"/>
  <c r="N92" i="2" s="1"/>
  <c r="F92" i="2"/>
  <c r="O92" i="2" s="1"/>
  <c r="G92" i="2"/>
  <c r="P92" i="2" s="1"/>
  <c r="H92" i="2"/>
  <c r="Q92" i="2" s="1"/>
  <c r="J92" i="2"/>
  <c r="R92" i="2"/>
  <c r="B93" i="2"/>
  <c r="K93" i="2" s="1"/>
  <c r="C93" i="2"/>
  <c r="L93" i="2" s="1"/>
  <c r="D93" i="2"/>
  <c r="M93" i="2" s="1"/>
  <c r="E93" i="2"/>
  <c r="N93" i="2" s="1"/>
  <c r="F93" i="2"/>
  <c r="O93" i="2" s="1"/>
  <c r="G93" i="2"/>
  <c r="P93" i="2" s="1"/>
  <c r="H93" i="2"/>
  <c r="Q93" i="2" s="1"/>
  <c r="J93" i="2"/>
  <c r="R93" i="2"/>
  <c r="B94" i="2"/>
  <c r="C94" i="2"/>
  <c r="L94" i="2" s="1"/>
  <c r="D94" i="2"/>
  <c r="M94" i="2" s="1"/>
  <c r="E94" i="2"/>
  <c r="N94" i="2" s="1"/>
  <c r="F94" i="2"/>
  <c r="O94" i="2" s="1"/>
  <c r="G94" i="2"/>
  <c r="P94" i="2" s="1"/>
  <c r="H94" i="2"/>
  <c r="Q94" i="2" s="1"/>
  <c r="J94" i="2"/>
  <c r="K94" i="2"/>
  <c r="R94" i="2"/>
  <c r="B95" i="2"/>
  <c r="K95" i="2" s="1"/>
  <c r="C95" i="2"/>
  <c r="L95" i="2" s="1"/>
  <c r="D95" i="2"/>
  <c r="M95" i="2" s="1"/>
  <c r="E95" i="2"/>
  <c r="N95" i="2" s="1"/>
  <c r="F95" i="2"/>
  <c r="O95" i="2" s="1"/>
  <c r="G95" i="2"/>
  <c r="P95" i="2" s="1"/>
  <c r="H95" i="2"/>
  <c r="Q95" i="2" s="1"/>
  <c r="J95" i="2"/>
  <c r="R95" i="2"/>
  <c r="B96" i="2"/>
  <c r="K96" i="2" s="1"/>
  <c r="C96" i="2"/>
  <c r="L96" i="2" s="1"/>
  <c r="D96" i="2"/>
  <c r="M96" i="2" s="1"/>
  <c r="E96" i="2"/>
  <c r="N96" i="2" s="1"/>
  <c r="F96" i="2"/>
  <c r="O96" i="2" s="1"/>
  <c r="G96" i="2"/>
  <c r="P96" i="2" s="1"/>
  <c r="H96" i="2"/>
  <c r="Q96" i="2" s="1"/>
  <c r="J96" i="2"/>
  <c r="R96" i="2"/>
  <c r="B97" i="2"/>
  <c r="K97" i="2" s="1"/>
  <c r="C97" i="2"/>
  <c r="L97" i="2" s="1"/>
  <c r="D97" i="2"/>
  <c r="M97" i="2" s="1"/>
  <c r="E97" i="2"/>
  <c r="N97" i="2" s="1"/>
  <c r="F97" i="2"/>
  <c r="O97" i="2" s="1"/>
  <c r="G97" i="2"/>
  <c r="P97" i="2" s="1"/>
  <c r="H97" i="2"/>
  <c r="Q97" i="2" s="1"/>
  <c r="J97" i="2"/>
  <c r="R97" i="2"/>
  <c r="B98" i="2"/>
  <c r="K98" i="2" s="1"/>
  <c r="C98" i="2"/>
  <c r="L98" i="2" s="1"/>
  <c r="D98" i="2"/>
  <c r="M98" i="2" s="1"/>
  <c r="E98" i="2"/>
  <c r="N98" i="2" s="1"/>
  <c r="F98" i="2"/>
  <c r="O98" i="2" s="1"/>
  <c r="G98" i="2"/>
  <c r="P98" i="2" s="1"/>
  <c r="H98" i="2"/>
  <c r="Q98" i="2" s="1"/>
  <c r="J98" i="2"/>
  <c r="R98" i="2"/>
  <c r="B99" i="2"/>
  <c r="K99" i="2" s="1"/>
  <c r="C99" i="2"/>
  <c r="L99" i="2" s="1"/>
  <c r="D99" i="2"/>
  <c r="M99" i="2" s="1"/>
  <c r="E99" i="2"/>
  <c r="N99" i="2" s="1"/>
  <c r="F99" i="2"/>
  <c r="O99" i="2" s="1"/>
  <c r="G99" i="2"/>
  <c r="P99" i="2" s="1"/>
  <c r="H99" i="2"/>
  <c r="Q99" i="2" s="1"/>
  <c r="J99" i="2"/>
  <c r="R99" i="2"/>
  <c r="B100" i="2"/>
  <c r="K100" i="2" s="1"/>
  <c r="C100" i="2"/>
  <c r="L100" i="2" s="1"/>
  <c r="D100" i="2"/>
  <c r="M100" i="2" s="1"/>
  <c r="E100" i="2"/>
  <c r="N100" i="2" s="1"/>
  <c r="F100" i="2"/>
  <c r="O100" i="2" s="1"/>
  <c r="G100" i="2"/>
  <c r="P100" i="2" s="1"/>
  <c r="H100" i="2"/>
  <c r="Q100" i="2" s="1"/>
  <c r="J100" i="2"/>
  <c r="R100" i="2"/>
  <c r="B101" i="2"/>
  <c r="K101" i="2" s="1"/>
  <c r="C101" i="2"/>
  <c r="L101" i="2" s="1"/>
  <c r="D101" i="2"/>
  <c r="M101" i="2" s="1"/>
  <c r="E101" i="2"/>
  <c r="N101" i="2" s="1"/>
  <c r="F101" i="2"/>
  <c r="O101" i="2" s="1"/>
  <c r="G101" i="2"/>
  <c r="P101" i="2" s="1"/>
  <c r="H101" i="2"/>
  <c r="Q101" i="2" s="1"/>
  <c r="J101" i="2"/>
  <c r="R101" i="2"/>
  <c r="B102" i="2"/>
  <c r="K102" i="2" s="1"/>
  <c r="C102" i="2"/>
  <c r="L102" i="2" s="1"/>
  <c r="D102" i="2"/>
  <c r="M102" i="2" s="1"/>
  <c r="E102" i="2"/>
  <c r="N102" i="2" s="1"/>
  <c r="F102" i="2"/>
  <c r="O102" i="2" s="1"/>
  <c r="G102" i="2"/>
  <c r="P102" i="2" s="1"/>
  <c r="H102" i="2"/>
  <c r="Q102" i="2" s="1"/>
  <c r="J102" i="2"/>
  <c r="R102" i="2"/>
  <c r="B103" i="2"/>
  <c r="K103" i="2" s="1"/>
  <c r="C103" i="2"/>
  <c r="L103" i="2" s="1"/>
  <c r="D103" i="2"/>
  <c r="M103" i="2" s="1"/>
  <c r="E103" i="2"/>
  <c r="N103" i="2" s="1"/>
  <c r="F103" i="2"/>
  <c r="O103" i="2" s="1"/>
  <c r="G103" i="2"/>
  <c r="P103" i="2" s="1"/>
  <c r="H103" i="2"/>
  <c r="Q103" i="2" s="1"/>
  <c r="J103" i="2"/>
  <c r="R103" i="2"/>
  <c r="B104" i="2"/>
  <c r="K104" i="2" s="1"/>
  <c r="C104" i="2"/>
  <c r="L104" i="2" s="1"/>
  <c r="D104" i="2"/>
  <c r="M104" i="2" s="1"/>
  <c r="E104" i="2"/>
  <c r="N104" i="2" s="1"/>
  <c r="F104" i="2"/>
  <c r="O104" i="2" s="1"/>
  <c r="G104" i="2"/>
  <c r="P104" i="2" s="1"/>
  <c r="H104" i="2"/>
  <c r="Q104" i="2" s="1"/>
  <c r="J104" i="2"/>
  <c r="R104" i="2"/>
  <c r="B105" i="2"/>
  <c r="K105" i="2" s="1"/>
  <c r="C105" i="2"/>
  <c r="L105" i="2" s="1"/>
  <c r="D105" i="2"/>
  <c r="M105" i="2" s="1"/>
  <c r="E105" i="2"/>
  <c r="N105" i="2" s="1"/>
  <c r="F105" i="2"/>
  <c r="O105" i="2" s="1"/>
  <c r="G105" i="2"/>
  <c r="P105" i="2" s="1"/>
  <c r="H105" i="2"/>
  <c r="Q105" i="2" s="1"/>
  <c r="J105" i="2"/>
  <c r="R105" i="2"/>
  <c r="B106" i="2"/>
  <c r="K106" i="2" s="1"/>
  <c r="C106" i="2"/>
  <c r="L106" i="2" s="1"/>
  <c r="D106" i="2"/>
  <c r="M106" i="2" s="1"/>
  <c r="E106" i="2"/>
  <c r="N106" i="2" s="1"/>
  <c r="F106" i="2"/>
  <c r="O106" i="2" s="1"/>
  <c r="G106" i="2"/>
  <c r="P106" i="2" s="1"/>
  <c r="H106" i="2"/>
  <c r="Q106" i="2" s="1"/>
  <c r="J106" i="2"/>
  <c r="R106" i="2"/>
  <c r="B107" i="2"/>
  <c r="K107" i="2" s="1"/>
  <c r="C107" i="2"/>
  <c r="L107" i="2" s="1"/>
  <c r="D107" i="2"/>
  <c r="M107" i="2" s="1"/>
  <c r="E107" i="2"/>
  <c r="N107" i="2" s="1"/>
  <c r="F107" i="2"/>
  <c r="O107" i="2" s="1"/>
  <c r="G107" i="2"/>
  <c r="P107" i="2" s="1"/>
  <c r="H107" i="2"/>
  <c r="Q107" i="2" s="1"/>
  <c r="J107" i="2"/>
  <c r="R107" i="2"/>
  <c r="B108" i="2"/>
  <c r="C108" i="2"/>
  <c r="L108" i="2" s="1"/>
  <c r="D108" i="2"/>
  <c r="M108" i="2" s="1"/>
  <c r="E108" i="2"/>
  <c r="N108" i="2" s="1"/>
  <c r="F108" i="2"/>
  <c r="O108" i="2" s="1"/>
  <c r="G108" i="2"/>
  <c r="P108" i="2" s="1"/>
  <c r="H108" i="2"/>
  <c r="Q108" i="2" s="1"/>
  <c r="J108" i="2"/>
  <c r="K108" i="2"/>
  <c r="R108" i="2"/>
  <c r="B109" i="2"/>
  <c r="K109" i="2" s="1"/>
  <c r="C109" i="2"/>
  <c r="L109" i="2" s="1"/>
  <c r="D109" i="2"/>
  <c r="M109" i="2" s="1"/>
  <c r="E109" i="2"/>
  <c r="N109" i="2" s="1"/>
  <c r="F109" i="2"/>
  <c r="O109" i="2" s="1"/>
  <c r="G109" i="2"/>
  <c r="P109" i="2" s="1"/>
  <c r="H109" i="2"/>
  <c r="Q109" i="2" s="1"/>
  <c r="J109" i="2"/>
  <c r="R109" i="2"/>
  <c r="B110" i="2"/>
  <c r="K110" i="2" s="1"/>
  <c r="C110" i="2"/>
  <c r="L110" i="2" s="1"/>
  <c r="D110" i="2"/>
  <c r="M110" i="2" s="1"/>
  <c r="E110" i="2"/>
  <c r="N110" i="2" s="1"/>
  <c r="F110" i="2"/>
  <c r="O110" i="2" s="1"/>
  <c r="G110" i="2"/>
  <c r="P110" i="2" s="1"/>
  <c r="H110" i="2"/>
  <c r="Q110" i="2" s="1"/>
  <c r="J110" i="2"/>
  <c r="R110" i="2"/>
  <c r="B111" i="2"/>
  <c r="K111" i="2" s="1"/>
  <c r="C111" i="2"/>
  <c r="L111" i="2" s="1"/>
  <c r="D111" i="2"/>
  <c r="M111" i="2" s="1"/>
  <c r="E111" i="2"/>
  <c r="N111" i="2" s="1"/>
  <c r="F111" i="2"/>
  <c r="O111" i="2" s="1"/>
  <c r="G111" i="2"/>
  <c r="P111" i="2" s="1"/>
  <c r="H111" i="2"/>
  <c r="Q111" i="2" s="1"/>
  <c r="J111" i="2"/>
  <c r="R111" i="2"/>
  <c r="B112" i="2"/>
  <c r="K112" i="2" s="1"/>
  <c r="C112" i="2"/>
  <c r="L112" i="2" s="1"/>
  <c r="D112" i="2"/>
  <c r="M112" i="2" s="1"/>
  <c r="E112" i="2"/>
  <c r="N112" i="2" s="1"/>
  <c r="F112" i="2"/>
  <c r="O112" i="2" s="1"/>
  <c r="G112" i="2"/>
  <c r="P112" i="2" s="1"/>
  <c r="H112" i="2"/>
  <c r="Q112" i="2" s="1"/>
  <c r="J112" i="2"/>
  <c r="R112" i="2"/>
  <c r="B113" i="2"/>
  <c r="K113" i="2" s="1"/>
  <c r="C113" i="2"/>
  <c r="L113" i="2" s="1"/>
  <c r="D113" i="2"/>
  <c r="M113" i="2" s="1"/>
  <c r="E113" i="2"/>
  <c r="N113" i="2" s="1"/>
  <c r="F113" i="2"/>
  <c r="O113" i="2" s="1"/>
  <c r="G113" i="2"/>
  <c r="P113" i="2" s="1"/>
  <c r="H113" i="2"/>
  <c r="Q113" i="2" s="1"/>
  <c r="J113" i="2"/>
  <c r="R113" i="2"/>
  <c r="B114" i="2"/>
  <c r="K114" i="2" s="1"/>
  <c r="C114" i="2"/>
  <c r="L114" i="2" s="1"/>
  <c r="D114" i="2"/>
  <c r="M114" i="2" s="1"/>
  <c r="E114" i="2"/>
  <c r="N114" i="2" s="1"/>
  <c r="F114" i="2"/>
  <c r="O114" i="2" s="1"/>
  <c r="G114" i="2"/>
  <c r="P114" i="2" s="1"/>
  <c r="H114" i="2"/>
  <c r="Q114" i="2" s="1"/>
  <c r="J114" i="2"/>
  <c r="R114" i="2"/>
  <c r="B115" i="2"/>
  <c r="K115" i="2" s="1"/>
  <c r="C115" i="2"/>
  <c r="L115" i="2" s="1"/>
  <c r="D115" i="2"/>
  <c r="M115" i="2" s="1"/>
  <c r="E115" i="2"/>
  <c r="N115" i="2" s="1"/>
  <c r="F115" i="2"/>
  <c r="O115" i="2" s="1"/>
  <c r="G115" i="2"/>
  <c r="P115" i="2" s="1"/>
  <c r="H115" i="2"/>
  <c r="Q115" i="2" s="1"/>
  <c r="J115" i="2"/>
  <c r="R115" i="2"/>
  <c r="B116" i="2"/>
  <c r="K116" i="2" s="1"/>
  <c r="C116" i="2"/>
  <c r="L116" i="2" s="1"/>
  <c r="D116" i="2"/>
  <c r="M116" i="2" s="1"/>
  <c r="E116" i="2"/>
  <c r="N116" i="2" s="1"/>
  <c r="F116" i="2"/>
  <c r="O116" i="2" s="1"/>
  <c r="G116" i="2"/>
  <c r="P116" i="2" s="1"/>
  <c r="H116" i="2"/>
  <c r="Q116" i="2" s="1"/>
  <c r="J116" i="2"/>
  <c r="R116" i="2"/>
  <c r="B117" i="2"/>
  <c r="K117" i="2" s="1"/>
  <c r="C117" i="2"/>
  <c r="L117" i="2" s="1"/>
  <c r="D117" i="2"/>
  <c r="M117" i="2" s="1"/>
  <c r="E117" i="2"/>
  <c r="N117" i="2" s="1"/>
  <c r="F117" i="2"/>
  <c r="O117" i="2" s="1"/>
  <c r="G117" i="2"/>
  <c r="P117" i="2" s="1"/>
  <c r="H117" i="2"/>
  <c r="Q117" i="2" s="1"/>
  <c r="J117" i="2"/>
  <c r="R117" i="2"/>
  <c r="B118" i="2"/>
  <c r="K118" i="2" s="1"/>
  <c r="C118" i="2"/>
  <c r="L118" i="2" s="1"/>
  <c r="D118" i="2"/>
  <c r="M118" i="2" s="1"/>
  <c r="E118" i="2"/>
  <c r="N118" i="2" s="1"/>
  <c r="F118" i="2"/>
  <c r="O118" i="2" s="1"/>
  <c r="G118" i="2"/>
  <c r="P118" i="2" s="1"/>
  <c r="H118" i="2"/>
  <c r="Q118" i="2" s="1"/>
  <c r="J118" i="2"/>
  <c r="R118" i="2"/>
  <c r="B119" i="2"/>
  <c r="K119" i="2" s="1"/>
  <c r="C119" i="2"/>
  <c r="L119" i="2" s="1"/>
  <c r="D119" i="2"/>
  <c r="M119" i="2" s="1"/>
  <c r="E119" i="2"/>
  <c r="N119" i="2" s="1"/>
  <c r="F119" i="2"/>
  <c r="O119" i="2" s="1"/>
  <c r="G119" i="2"/>
  <c r="P119" i="2" s="1"/>
  <c r="H119" i="2"/>
  <c r="Q119" i="2" s="1"/>
  <c r="J119" i="2"/>
  <c r="R119" i="2"/>
  <c r="B120" i="2"/>
  <c r="K120" i="2" s="1"/>
  <c r="C120" i="2"/>
  <c r="L120" i="2" s="1"/>
  <c r="D120" i="2"/>
  <c r="M120" i="2" s="1"/>
  <c r="E120" i="2"/>
  <c r="N120" i="2" s="1"/>
  <c r="F120" i="2"/>
  <c r="O120" i="2" s="1"/>
  <c r="G120" i="2"/>
  <c r="P120" i="2" s="1"/>
  <c r="H120" i="2"/>
  <c r="Q120" i="2" s="1"/>
  <c r="J120" i="2"/>
  <c r="R120" i="2"/>
  <c r="B121" i="2"/>
  <c r="K121" i="2" s="1"/>
  <c r="C121" i="2"/>
  <c r="L121" i="2" s="1"/>
  <c r="D121" i="2"/>
  <c r="M121" i="2" s="1"/>
  <c r="E121" i="2"/>
  <c r="N121" i="2" s="1"/>
  <c r="F121" i="2"/>
  <c r="O121" i="2" s="1"/>
  <c r="G121" i="2"/>
  <c r="P121" i="2" s="1"/>
  <c r="H121" i="2"/>
  <c r="Q121" i="2" s="1"/>
  <c r="J121" i="2"/>
  <c r="R121" i="2"/>
  <c r="B122" i="2"/>
  <c r="K122" i="2" s="1"/>
  <c r="C122" i="2"/>
  <c r="L122" i="2" s="1"/>
  <c r="D122" i="2"/>
  <c r="M122" i="2" s="1"/>
  <c r="E122" i="2"/>
  <c r="N122" i="2" s="1"/>
  <c r="F122" i="2"/>
  <c r="O122" i="2" s="1"/>
  <c r="G122" i="2"/>
  <c r="P122" i="2" s="1"/>
  <c r="H122" i="2"/>
  <c r="Q122" i="2" s="1"/>
  <c r="J122" i="2"/>
  <c r="R122" i="2"/>
  <c r="B123" i="2"/>
  <c r="K123" i="2" s="1"/>
  <c r="C123" i="2"/>
  <c r="L123" i="2" s="1"/>
  <c r="D123" i="2"/>
  <c r="M123" i="2" s="1"/>
  <c r="E123" i="2"/>
  <c r="N123" i="2" s="1"/>
  <c r="F123" i="2"/>
  <c r="O123" i="2" s="1"/>
  <c r="G123" i="2"/>
  <c r="P123" i="2" s="1"/>
  <c r="H123" i="2"/>
  <c r="Q123" i="2" s="1"/>
  <c r="J123" i="2"/>
  <c r="R123" i="2"/>
  <c r="B124" i="2"/>
  <c r="K124" i="2" s="1"/>
  <c r="C124" i="2"/>
  <c r="L124" i="2" s="1"/>
  <c r="D124" i="2"/>
  <c r="M124" i="2" s="1"/>
  <c r="E124" i="2"/>
  <c r="N124" i="2" s="1"/>
  <c r="F124" i="2"/>
  <c r="O124" i="2" s="1"/>
  <c r="G124" i="2"/>
  <c r="P124" i="2" s="1"/>
  <c r="H124" i="2"/>
  <c r="Q124" i="2" s="1"/>
  <c r="J124" i="2"/>
  <c r="R124" i="2"/>
  <c r="B125" i="2"/>
  <c r="K125" i="2" s="1"/>
  <c r="C125" i="2"/>
  <c r="L125" i="2" s="1"/>
  <c r="D125" i="2"/>
  <c r="M125" i="2" s="1"/>
  <c r="E125" i="2"/>
  <c r="N125" i="2" s="1"/>
  <c r="F125" i="2"/>
  <c r="O125" i="2" s="1"/>
  <c r="G125" i="2"/>
  <c r="P125" i="2" s="1"/>
  <c r="H125" i="2"/>
  <c r="Q125" i="2" s="1"/>
  <c r="J125" i="2"/>
  <c r="R125" i="2"/>
  <c r="B126" i="2"/>
  <c r="K126" i="2" s="1"/>
  <c r="C126" i="2"/>
  <c r="L126" i="2" s="1"/>
  <c r="D126" i="2"/>
  <c r="M126" i="2" s="1"/>
  <c r="E126" i="2"/>
  <c r="N126" i="2" s="1"/>
  <c r="F126" i="2"/>
  <c r="O126" i="2" s="1"/>
  <c r="G126" i="2"/>
  <c r="P126" i="2" s="1"/>
  <c r="H126" i="2"/>
  <c r="Q126" i="2" s="1"/>
  <c r="J126" i="2"/>
  <c r="R126" i="2"/>
  <c r="B127" i="2"/>
  <c r="K127" i="2" s="1"/>
  <c r="C127" i="2"/>
  <c r="L127" i="2" s="1"/>
  <c r="D127" i="2"/>
  <c r="M127" i="2" s="1"/>
  <c r="E127" i="2"/>
  <c r="N127" i="2" s="1"/>
  <c r="F127" i="2"/>
  <c r="O127" i="2" s="1"/>
  <c r="G127" i="2"/>
  <c r="P127" i="2" s="1"/>
  <c r="H127" i="2"/>
  <c r="Q127" i="2" s="1"/>
  <c r="J127" i="2"/>
  <c r="R127" i="2"/>
  <c r="B128" i="2"/>
  <c r="K128" i="2" s="1"/>
  <c r="C128" i="2"/>
  <c r="L128" i="2" s="1"/>
  <c r="D128" i="2"/>
  <c r="M128" i="2" s="1"/>
  <c r="E128" i="2"/>
  <c r="N128" i="2" s="1"/>
  <c r="F128" i="2"/>
  <c r="O128" i="2" s="1"/>
  <c r="G128" i="2"/>
  <c r="P128" i="2" s="1"/>
  <c r="H128" i="2"/>
  <c r="Q128" i="2" s="1"/>
  <c r="J128" i="2"/>
  <c r="R128" i="2"/>
  <c r="B129" i="2"/>
  <c r="K129" i="2" s="1"/>
  <c r="C129" i="2"/>
  <c r="L129" i="2" s="1"/>
  <c r="D129" i="2"/>
  <c r="M129" i="2" s="1"/>
  <c r="E129" i="2"/>
  <c r="N129" i="2" s="1"/>
  <c r="F129" i="2"/>
  <c r="O129" i="2" s="1"/>
  <c r="G129" i="2"/>
  <c r="P129" i="2" s="1"/>
  <c r="H129" i="2"/>
  <c r="Q129" i="2" s="1"/>
  <c r="J129" i="2"/>
  <c r="R129" i="2"/>
  <c r="B130" i="2"/>
  <c r="K130" i="2" s="1"/>
  <c r="C130" i="2"/>
  <c r="L130" i="2" s="1"/>
  <c r="D130" i="2"/>
  <c r="M130" i="2" s="1"/>
  <c r="E130" i="2"/>
  <c r="N130" i="2" s="1"/>
  <c r="F130" i="2"/>
  <c r="O130" i="2" s="1"/>
  <c r="G130" i="2"/>
  <c r="P130" i="2" s="1"/>
  <c r="H130" i="2"/>
  <c r="Q130" i="2" s="1"/>
  <c r="J130" i="2"/>
  <c r="R130" i="2"/>
  <c r="B131" i="2"/>
  <c r="K131" i="2" s="1"/>
  <c r="C131" i="2"/>
  <c r="L131" i="2" s="1"/>
  <c r="D131" i="2"/>
  <c r="M131" i="2" s="1"/>
  <c r="E131" i="2"/>
  <c r="N131" i="2" s="1"/>
  <c r="F131" i="2"/>
  <c r="O131" i="2" s="1"/>
  <c r="G131" i="2"/>
  <c r="P131" i="2" s="1"/>
  <c r="H131" i="2"/>
  <c r="Q131" i="2" s="1"/>
  <c r="J131" i="2"/>
  <c r="R131" i="2"/>
  <c r="B132" i="2"/>
  <c r="K132" i="2" s="1"/>
  <c r="C132" i="2"/>
  <c r="L132" i="2" s="1"/>
  <c r="D132" i="2"/>
  <c r="M132" i="2" s="1"/>
  <c r="E132" i="2"/>
  <c r="F132" i="2"/>
  <c r="O132" i="2" s="1"/>
  <c r="G132" i="2"/>
  <c r="P132" i="2" s="1"/>
  <c r="H132" i="2"/>
  <c r="Q132" i="2" s="1"/>
  <c r="J132" i="2"/>
  <c r="N132" i="2"/>
  <c r="R132" i="2"/>
  <c r="B133" i="2"/>
  <c r="K133" i="2" s="1"/>
  <c r="C133" i="2"/>
  <c r="L133" i="2" s="1"/>
  <c r="D133" i="2"/>
  <c r="M133" i="2" s="1"/>
  <c r="E133" i="2"/>
  <c r="N133" i="2" s="1"/>
  <c r="F133" i="2"/>
  <c r="O133" i="2" s="1"/>
  <c r="G133" i="2"/>
  <c r="P133" i="2" s="1"/>
  <c r="H133" i="2"/>
  <c r="Q133" i="2" s="1"/>
  <c r="J133" i="2"/>
  <c r="R133" i="2"/>
  <c r="B134" i="2"/>
  <c r="C134" i="2"/>
  <c r="D134" i="2"/>
  <c r="M134" i="2" s="1"/>
  <c r="E134" i="2"/>
  <c r="N134" i="2" s="1"/>
  <c r="F134" i="2"/>
  <c r="O134" i="2" s="1"/>
  <c r="G134" i="2"/>
  <c r="P134" i="2" s="1"/>
  <c r="H134" i="2"/>
  <c r="Q134" i="2" s="1"/>
  <c r="J134" i="2"/>
  <c r="K134" i="2"/>
  <c r="L134" i="2"/>
  <c r="R134" i="2"/>
  <c r="B135" i="2"/>
  <c r="K135" i="2" s="1"/>
  <c r="C135" i="2"/>
  <c r="D135" i="2"/>
  <c r="E135" i="2"/>
  <c r="F135" i="2"/>
  <c r="O135" i="2" s="1"/>
  <c r="G135" i="2"/>
  <c r="P135" i="2" s="1"/>
  <c r="H135" i="2"/>
  <c r="Q135" i="2" s="1"/>
  <c r="J135" i="2"/>
  <c r="L135" i="2"/>
  <c r="M135" i="2"/>
  <c r="N135" i="2"/>
  <c r="R135" i="2"/>
  <c r="B136" i="2"/>
  <c r="K136" i="2" s="1"/>
  <c r="C136" i="2"/>
  <c r="L136" i="2" s="1"/>
  <c r="D136" i="2"/>
  <c r="E136" i="2"/>
  <c r="N136" i="2" s="1"/>
  <c r="F136" i="2"/>
  <c r="O136" i="2" s="1"/>
  <c r="G136" i="2"/>
  <c r="P136" i="2" s="1"/>
  <c r="H136" i="2"/>
  <c r="Q136" i="2" s="1"/>
  <c r="J136" i="2"/>
  <c r="M136" i="2"/>
  <c r="R136" i="2"/>
  <c r="B137" i="2"/>
  <c r="K137" i="2" s="1"/>
  <c r="C137" i="2"/>
  <c r="D137" i="2"/>
  <c r="M137" i="2" s="1"/>
  <c r="E137" i="2"/>
  <c r="N137" i="2" s="1"/>
  <c r="F137" i="2"/>
  <c r="O137" i="2" s="1"/>
  <c r="G137" i="2"/>
  <c r="P137" i="2" s="1"/>
  <c r="H137" i="2"/>
  <c r="Q137" i="2" s="1"/>
  <c r="J137" i="2"/>
  <c r="L137" i="2"/>
  <c r="R137" i="2"/>
  <c r="B138" i="2"/>
  <c r="K138" i="2" s="1"/>
  <c r="C138" i="2"/>
  <c r="L138" i="2" s="1"/>
  <c r="D138" i="2"/>
  <c r="M138" i="2" s="1"/>
  <c r="E138" i="2"/>
  <c r="N138" i="2" s="1"/>
  <c r="F138" i="2"/>
  <c r="O138" i="2" s="1"/>
  <c r="G138" i="2"/>
  <c r="P138" i="2" s="1"/>
  <c r="H138" i="2"/>
  <c r="Q138" i="2" s="1"/>
  <c r="J138" i="2"/>
  <c r="R138" i="2"/>
  <c r="B139" i="2"/>
  <c r="K139" i="2" s="1"/>
  <c r="C139" i="2"/>
  <c r="L139" i="2" s="1"/>
  <c r="D139" i="2"/>
  <c r="M139" i="2" s="1"/>
  <c r="E139" i="2"/>
  <c r="N139" i="2" s="1"/>
  <c r="F139" i="2"/>
  <c r="O139" i="2" s="1"/>
  <c r="G139" i="2"/>
  <c r="P139" i="2" s="1"/>
  <c r="H139" i="2"/>
  <c r="Q139" i="2" s="1"/>
  <c r="J139" i="2"/>
  <c r="R139" i="2"/>
  <c r="B140" i="2"/>
  <c r="K140" i="2" s="1"/>
  <c r="C140" i="2"/>
  <c r="L140" i="2" s="1"/>
  <c r="D140" i="2"/>
  <c r="M140" i="2" s="1"/>
  <c r="E140" i="2"/>
  <c r="N140" i="2" s="1"/>
  <c r="F140" i="2"/>
  <c r="O140" i="2" s="1"/>
  <c r="G140" i="2"/>
  <c r="P140" i="2" s="1"/>
  <c r="H140" i="2"/>
  <c r="Q140" i="2" s="1"/>
  <c r="J140" i="2"/>
  <c r="R140" i="2"/>
  <c r="B141" i="2"/>
  <c r="K141" i="2" s="1"/>
  <c r="C141" i="2"/>
  <c r="L141" i="2" s="1"/>
  <c r="D141" i="2"/>
  <c r="M141" i="2" s="1"/>
  <c r="E141" i="2"/>
  <c r="N141" i="2" s="1"/>
  <c r="F141" i="2"/>
  <c r="O141" i="2" s="1"/>
  <c r="G141" i="2"/>
  <c r="P141" i="2" s="1"/>
  <c r="H141" i="2"/>
  <c r="Q141" i="2" s="1"/>
  <c r="J141" i="2"/>
  <c r="R141" i="2"/>
  <c r="B142" i="2"/>
  <c r="K142" i="2" s="1"/>
  <c r="C142" i="2"/>
  <c r="L142" i="2" s="1"/>
  <c r="D142" i="2"/>
  <c r="M142" i="2" s="1"/>
  <c r="E142" i="2"/>
  <c r="N142" i="2" s="1"/>
  <c r="F142" i="2"/>
  <c r="O142" i="2" s="1"/>
  <c r="G142" i="2"/>
  <c r="P142" i="2" s="1"/>
  <c r="H142" i="2"/>
  <c r="Q142" i="2" s="1"/>
  <c r="J142" i="2"/>
  <c r="R142" i="2"/>
  <c r="B143" i="2"/>
  <c r="K143" i="2" s="1"/>
  <c r="C143" i="2"/>
  <c r="L143" i="2" s="1"/>
  <c r="D143" i="2"/>
  <c r="M143" i="2" s="1"/>
  <c r="E143" i="2"/>
  <c r="N143" i="2" s="1"/>
  <c r="F143" i="2"/>
  <c r="O143" i="2" s="1"/>
  <c r="G143" i="2"/>
  <c r="P143" i="2" s="1"/>
  <c r="H143" i="2"/>
  <c r="Q143" i="2" s="1"/>
  <c r="J143" i="2"/>
  <c r="R143" i="2"/>
  <c r="B144" i="2"/>
  <c r="K144" i="2" s="1"/>
  <c r="C144" i="2"/>
  <c r="L144" i="2" s="1"/>
  <c r="D144" i="2"/>
  <c r="M144" i="2" s="1"/>
  <c r="E144" i="2"/>
  <c r="N144" i="2" s="1"/>
  <c r="F144" i="2"/>
  <c r="O144" i="2" s="1"/>
  <c r="G144" i="2"/>
  <c r="P144" i="2" s="1"/>
  <c r="H144" i="2"/>
  <c r="Q144" i="2" s="1"/>
  <c r="J144" i="2"/>
  <c r="R144" i="2"/>
  <c r="B145" i="2"/>
  <c r="K145" i="2" s="1"/>
  <c r="C145" i="2"/>
  <c r="L145" i="2" s="1"/>
  <c r="D145" i="2"/>
  <c r="M145" i="2" s="1"/>
  <c r="E145" i="2"/>
  <c r="N145" i="2" s="1"/>
  <c r="F145" i="2"/>
  <c r="O145" i="2" s="1"/>
  <c r="G145" i="2"/>
  <c r="P145" i="2" s="1"/>
  <c r="H145" i="2"/>
  <c r="Q145" i="2" s="1"/>
  <c r="J145" i="2"/>
  <c r="R145" i="2"/>
  <c r="B146" i="2"/>
  <c r="K146" i="2" s="1"/>
  <c r="C146" i="2"/>
  <c r="L146" i="2" s="1"/>
  <c r="D146" i="2"/>
  <c r="M146" i="2" s="1"/>
  <c r="E146" i="2"/>
  <c r="N146" i="2" s="1"/>
  <c r="F146" i="2"/>
  <c r="O146" i="2" s="1"/>
  <c r="G146" i="2"/>
  <c r="P146" i="2" s="1"/>
  <c r="H146" i="2"/>
  <c r="Q146" i="2" s="1"/>
  <c r="J146" i="2"/>
  <c r="R146" i="2"/>
  <c r="B147" i="2"/>
  <c r="K147" i="2" s="1"/>
  <c r="C147" i="2"/>
  <c r="L147" i="2" s="1"/>
  <c r="D147" i="2"/>
  <c r="M147" i="2" s="1"/>
  <c r="E147" i="2"/>
  <c r="N147" i="2" s="1"/>
  <c r="F147" i="2"/>
  <c r="O147" i="2" s="1"/>
  <c r="G147" i="2"/>
  <c r="P147" i="2" s="1"/>
  <c r="H147" i="2"/>
  <c r="Q147" i="2" s="1"/>
  <c r="J147" i="2"/>
  <c r="R147" i="2"/>
  <c r="B148" i="2"/>
  <c r="K148" i="2" s="1"/>
  <c r="C148" i="2"/>
  <c r="L148" i="2" s="1"/>
  <c r="D148" i="2"/>
  <c r="M148" i="2" s="1"/>
  <c r="E148" i="2"/>
  <c r="N148" i="2" s="1"/>
  <c r="F148" i="2"/>
  <c r="O148" i="2" s="1"/>
  <c r="G148" i="2"/>
  <c r="P148" i="2" s="1"/>
  <c r="H148" i="2"/>
  <c r="Q148" i="2" s="1"/>
  <c r="J148" i="2"/>
  <c r="R148" i="2"/>
  <c r="B149" i="2"/>
  <c r="K149" i="2" s="1"/>
  <c r="C149" i="2"/>
  <c r="L149" i="2" s="1"/>
  <c r="D149" i="2"/>
  <c r="M149" i="2" s="1"/>
  <c r="E149" i="2"/>
  <c r="N149" i="2" s="1"/>
  <c r="F149" i="2"/>
  <c r="O149" i="2" s="1"/>
  <c r="G149" i="2"/>
  <c r="P149" i="2" s="1"/>
  <c r="H149" i="2"/>
  <c r="Q149" i="2" s="1"/>
  <c r="J149" i="2"/>
  <c r="R149" i="2"/>
  <c r="B150" i="2"/>
  <c r="K150" i="2" s="1"/>
  <c r="C150" i="2"/>
  <c r="L150" i="2" s="1"/>
  <c r="D150" i="2"/>
  <c r="M150" i="2" s="1"/>
  <c r="E150" i="2"/>
  <c r="N150" i="2" s="1"/>
  <c r="F150" i="2"/>
  <c r="O150" i="2" s="1"/>
  <c r="G150" i="2"/>
  <c r="P150" i="2" s="1"/>
  <c r="H150" i="2"/>
  <c r="Q150" i="2" s="1"/>
  <c r="J150" i="2"/>
  <c r="R150" i="2"/>
  <c r="B151" i="2"/>
  <c r="K151" i="2" s="1"/>
  <c r="C151" i="2"/>
  <c r="L151" i="2" s="1"/>
  <c r="D151" i="2"/>
  <c r="M151" i="2" s="1"/>
  <c r="E151" i="2"/>
  <c r="N151" i="2" s="1"/>
  <c r="F151" i="2"/>
  <c r="O151" i="2" s="1"/>
  <c r="G151" i="2"/>
  <c r="P151" i="2" s="1"/>
  <c r="H151" i="2"/>
  <c r="Q151" i="2" s="1"/>
  <c r="J151" i="2"/>
  <c r="R151" i="2"/>
  <c r="B152" i="2"/>
  <c r="K152" i="2" s="1"/>
  <c r="C152" i="2"/>
  <c r="L152" i="2" s="1"/>
  <c r="D152" i="2"/>
  <c r="M152" i="2" s="1"/>
  <c r="E152" i="2"/>
  <c r="N152" i="2" s="1"/>
  <c r="F152" i="2"/>
  <c r="O152" i="2" s="1"/>
  <c r="G152" i="2"/>
  <c r="P152" i="2" s="1"/>
  <c r="H152" i="2"/>
  <c r="Q152" i="2" s="1"/>
  <c r="J152" i="2"/>
  <c r="R152" i="2"/>
  <c r="B153" i="2"/>
  <c r="K153" i="2" s="1"/>
  <c r="C153" i="2"/>
  <c r="L153" i="2" s="1"/>
  <c r="D153" i="2"/>
  <c r="M153" i="2" s="1"/>
  <c r="E153" i="2"/>
  <c r="N153" i="2" s="1"/>
  <c r="F153" i="2"/>
  <c r="O153" i="2" s="1"/>
  <c r="G153" i="2"/>
  <c r="P153" i="2" s="1"/>
  <c r="H153" i="2"/>
  <c r="Q153" i="2" s="1"/>
  <c r="J153" i="2"/>
  <c r="R153" i="2"/>
  <c r="B154" i="2"/>
  <c r="K154" i="2" s="1"/>
  <c r="C154" i="2"/>
  <c r="L154" i="2" s="1"/>
  <c r="D154" i="2"/>
  <c r="M154" i="2" s="1"/>
  <c r="E154" i="2"/>
  <c r="N154" i="2" s="1"/>
  <c r="F154" i="2"/>
  <c r="O154" i="2" s="1"/>
  <c r="G154" i="2"/>
  <c r="P154" i="2" s="1"/>
  <c r="H154" i="2"/>
  <c r="Q154" i="2" s="1"/>
  <c r="J154" i="2"/>
  <c r="R154" i="2"/>
  <c r="B155" i="2"/>
  <c r="K155" i="2" s="1"/>
  <c r="C155" i="2"/>
  <c r="L155" i="2" s="1"/>
  <c r="D155" i="2"/>
  <c r="M155" i="2" s="1"/>
  <c r="E155" i="2"/>
  <c r="N155" i="2" s="1"/>
  <c r="F155" i="2"/>
  <c r="O155" i="2" s="1"/>
  <c r="G155" i="2"/>
  <c r="P155" i="2" s="1"/>
  <c r="H155" i="2"/>
  <c r="Q155" i="2" s="1"/>
  <c r="J155" i="2"/>
  <c r="R155" i="2"/>
  <c r="B156" i="2"/>
  <c r="K156" i="2" s="1"/>
  <c r="C156" i="2"/>
  <c r="L156" i="2" s="1"/>
  <c r="D156" i="2"/>
  <c r="M156" i="2" s="1"/>
  <c r="E156" i="2"/>
  <c r="N156" i="2" s="1"/>
  <c r="F156" i="2"/>
  <c r="O156" i="2" s="1"/>
  <c r="G156" i="2"/>
  <c r="P156" i="2" s="1"/>
  <c r="H156" i="2"/>
  <c r="Q156" i="2" s="1"/>
  <c r="J156" i="2"/>
  <c r="R156" i="2"/>
  <c r="B157" i="2"/>
  <c r="K157" i="2" s="1"/>
  <c r="C157" i="2"/>
  <c r="L157" i="2" s="1"/>
  <c r="D157" i="2"/>
  <c r="M157" i="2" s="1"/>
  <c r="E157" i="2"/>
  <c r="N157" i="2" s="1"/>
  <c r="F157" i="2"/>
  <c r="O157" i="2" s="1"/>
  <c r="G157" i="2"/>
  <c r="P157" i="2" s="1"/>
  <c r="H157" i="2"/>
  <c r="Q157" i="2" s="1"/>
  <c r="J157" i="2"/>
  <c r="R157" i="2"/>
  <c r="B158" i="2"/>
  <c r="K158" i="2" s="1"/>
  <c r="C158" i="2"/>
  <c r="L158" i="2" s="1"/>
  <c r="D158" i="2"/>
  <c r="M158" i="2" s="1"/>
  <c r="E158" i="2"/>
  <c r="N158" i="2" s="1"/>
  <c r="F158" i="2"/>
  <c r="O158" i="2" s="1"/>
  <c r="G158" i="2"/>
  <c r="P158" i="2" s="1"/>
  <c r="H158" i="2"/>
  <c r="Q158" i="2" s="1"/>
  <c r="J158" i="2"/>
  <c r="R158" i="2"/>
  <c r="B159" i="2"/>
  <c r="K159" i="2" s="1"/>
  <c r="C159" i="2"/>
  <c r="L159" i="2" s="1"/>
  <c r="D159" i="2"/>
  <c r="M159" i="2" s="1"/>
  <c r="E159" i="2"/>
  <c r="N159" i="2" s="1"/>
  <c r="F159" i="2"/>
  <c r="O159" i="2" s="1"/>
  <c r="G159" i="2"/>
  <c r="P159" i="2" s="1"/>
  <c r="H159" i="2"/>
  <c r="Q159" i="2" s="1"/>
  <c r="J159" i="2"/>
  <c r="R159" i="2"/>
  <c r="B160" i="2"/>
  <c r="K160" i="2" s="1"/>
  <c r="C160" i="2"/>
  <c r="D160" i="2"/>
  <c r="M160" i="2" s="1"/>
  <c r="E160" i="2"/>
  <c r="N160" i="2" s="1"/>
  <c r="F160" i="2"/>
  <c r="O160" i="2" s="1"/>
  <c r="G160" i="2"/>
  <c r="P160" i="2" s="1"/>
  <c r="H160" i="2"/>
  <c r="Q160" i="2" s="1"/>
  <c r="J160" i="2"/>
  <c r="L160" i="2"/>
  <c r="R160" i="2"/>
  <c r="B161" i="2"/>
  <c r="K161" i="2" s="1"/>
  <c r="C161" i="2"/>
  <c r="L161" i="2" s="1"/>
  <c r="D161" i="2"/>
  <c r="M161" i="2" s="1"/>
  <c r="E161" i="2"/>
  <c r="N161" i="2" s="1"/>
  <c r="F161" i="2"/>
  <c r="O161" i="2" s="1"/>
  <c r="G161" i="2"/>
  <c r="P161" i="2" s="1"/>
  <c r="H161" i="2"/>
  <c r="Q161" i="2" s="1"/>
  <c r="J161" i="2"/>
  <c r="R161" i="2"/>
  <c r="B162" i="2"/>
  <c r="K162" i="2" s="1"/>
  <c r="C162" i="2"/>
  <c r="L162" i="2" s="1"/>
  <c r="D162" i="2"/>
  <c r="M162" i="2" s="1"/>
  <c r="E162" i="2"/>
  <c r="N162" i="2" s="1"/>
  <c r="F162" i="2"/>
  <c r="O162" i="2" s="1"/>
  <c r="G162" i="2"/>
  <c r="P162" i="2" s="1"/>
  <c r="H162" i="2"/>
  <c r="Q162" i="2" s="1"/>
  <c r="J162" i="2"/>
  <c r="R162" i="2"/>
  <c r="C163" i="2"/>
  <c r="L163" i="2" s="1"/>
  <c r="D163" i="2"/>
  <c r="M163" i="2" s="1"/>
  <c r="E163" i="2"/>
  <c r="N163" i="2" s="1"/>
  <c r="F163" i="2"/>
  <c r="O163" i="2" s="1"/>
  <c r="G163" i="2"/>
  <c r="P163" i="2" s="1"/>
  <c r="H163" i="2"/>
  <c r="Q163" i="2" s="1"/>
  <c r="J163" i="2"/>
  <c r="R163" i="2"/>
  <c r="B164" i="2"/>
  <c r="K164" i="2" s="1"/>
  <c r="C164" i="2"/>
  <c r="L164" i="2" s="1"/>
  <c r="D164" i="2"/>
  <c r="M164" i="2" s="1"/>
  <c r="E164" i="2"/>
  <c r="N164" i="2" s="1"/>
  <c r="F164" i="2"/>
  <c r="O164" i="2" s="1"/>
  <c r="G164" i="2"/>
  <c r="P164" i="2" s="1"/>
  <c r="H164" i="2"/>
  <c r="Q164" i="2" s="1"/>
  <c r="J164" i="2"/>
  <c r="R164" i="2"/>
  <c r="B165" i="2"/>
  <c r="K165" i="2" s="1"/>
  <c r="C165" i="2"/>
  <c r="L165" i="2" s="1"/>
  <c r="D165" i="2"/>
  <c r="M165" i="2" s="1"/>
  <c r="E165" i="2"/>
  <c r="N165" i="2" s="1"/>
  <c r="F165" i="2"/>
  <c r="O165" i="2" s="1"/>
  <c r="G165" i="2"/>
  <c r="P165" i="2" s="1"/>
  <c r="H165" i="2"/>
  <c r="Q165" i="2" s="1"/>
  <c r="J165" i="2"/>
  <c r="R165" i="2"/>
  <c r="B166" i="2"/>
  <c r="K166" i="2" s="1"/>
  <c r="C166" i="2"/>
  <c r="L166" i="2" s="1"/>
  <c r="D166" i="2"/>
  <c r="M166" i="2" s="1"/>
  <c r="E166" i="2"/>
  <c r="N166" i="2" s="1"/>
  <c r="F166" i="2"/>
  <c r="O166" i="2" s="1"/>
  <c r="G166" i="2"/>
  <c r="P166" i="2" s="1"/>
  <c r="H166" i="2"/>
  <c r="Q166" i="2" s="1"/>
  <c r="J166" i="2"/>
  <c r="R166" i="2"/>
  <c r="B167" i="2"/>
  <c r="K167" i="2" s="1"/>
  <c r="C167" i="2"/>
  <c r="L167" i="2" s="1"/>
  <c r="D167" i="2"/>
  <c r="M167" i="2" s="1"/>
  <c r="E167" i="2"/>
  <c r="N167" i="2" s="1"/>
  <c r="F167" i="2"/>
  <c r="O167" i="2" s="1"/>
  <c r="G167" i="2"/>
  <c r="P167" i="2" s="1"/>
  <c r="H167" i="2"/>
  <c r="Q167" i="2" s="1"/>
  <c r="J167" i="2"/>
  <c r="R167" i="2"/>
  <c r="B168" i="2"/>
  <c r="K168" i="2" s="1"/>
  <c r="C168" i="2"/>
  <c r="L168" i="2" s="1"/>
  <c r="D168" i="2"/>
  <c r="M168" i="2" s="1"/>
  <c r="E168" i="2"/>
  <c r="N168" i="2" s="1"/>
  <c r="F168" i="2"/>
  <c r="O168" i="2" s="1"/>
  <c r="G168" i="2"/>
  <c r="P168" i="2" s="1"/>
  <c r="H168" i="2"/>
  <c r="Q168" i="2" s="1"/>
  <c r="J168" i="2"/>
  <c r="R168" i="2"/>
  <c r="B169" i="2"/>
  <c r="K169" i="2" s="1"/>
  <c r="C169" i="2"/>
  <c r="L169" i="2" s="1"/>
  <c r="D169" i="2"/>
  <c r="M169" i="2" s="1"/>
  <c r="E169" i="2"/>
  <c r="N169" i="2" s="1"/>
  <c r="F169" i="2"/>
  <c r="O169" i="2" s="1"/>
  <c r="G169" i="2"/>
  <c r="P169" i="2" s="1"/>
  <c r="H169" i="2"/>
  <c r="Q169" i="2" s="1"/>
  <c r="J169" i="2"/>
  <c r="R169" i="2"/>
  <c r="B170" i="2"/>
  <c r="K170" i="2" s="1"/>
  <c r="C170" i="2"/>
  <c r="L170" i="2" s="1"/>
  <c r="D170" i="2"/>
  <c r="M170" i="2" s="1"/>
  <c r="E170" i="2"/>
  <c r="N170" i="2" s="1"/>
  <c r="F170" i="2"/>
  <c r="O170" i="2" s="1"/>
  <c r="G170" i="2"/>
  <c r="P170" i="2" s="1"/>
  <c r="H170" i="2"/>
  <c r="Q170" i="2" s="1"/>
  <c r="J170" i="2"/>
  <c r="R170" i="2"/>
  <c r="B171" i="2"/>
  <c r="K171" i="2" s="1"/>
  <c r="C171" i="2"/>
  <c r="L171" i="2" s="1"/>
  <c r="D171" i="2"/>
  <c r="M171" i="2" s="1"/>
  <c r="E171" i="2"/>
  <c r="N171" i="2" s="1"/>
  <c r="F171" i="2"/>
  <c r="O171" i="2" s="1"/>
  <c r="G171" i="2"/>
  <c r="P171" i="2" s="1"/>
  <c r="H171" i="2"/>
  <c r="Q171" i="2" s="1"/>
  <c r="J171" i="2"/>
  <c r="R171" i="2"/>
  <c r="B172" i="2"/>
  <c r="K172" i="2" s="1"/>
  <c r="C172" i="2"/>
  <c r="L172" i="2" s="1"/>
  <c r="D172" i="2"/>
  <c r="M172" i="2" s="1"/>
  <c r="E172" i="2"/>
  <c r="N172" i="2" s="1"/>
  <c r="F172" i="2"/>
  <c r="O172" i="2" s="1"/>
  <c r="G172" i="2"/>
  <c r="P172" i="2" s="1"/>
  <c r="H172" i="2"/>
  <c r="Q172" i="2" s="1"/>
  <c r="J172" i="2"/>
  <c r="R172" i="2"/>
  <c r="B173" i="2"/>
  <c r="K173" i="2" s="1"/>
  <c r="C173" i="2"/>
  <c r="L173" i="2" s="1"/>
  <c r="D173" i="2"/>
  <c r="M173" i="2" s="1"/>
  <c r="E173" i="2"/>
  <c r="N173" i="2" s="1"/>
  <c r="F173" i="2"/>
  <c r="O173" i="2" s="1"/>
  <c r="G173" i="2"/>
  <c r="P173" i="2" s="1"/>
  <c r="H173" i="2"/>
  <c r="Q173" i="2" s="1"/>
  <c r="J173" i="2"/>
  <c r="R173" i="2"/>
  <c r="B174" i="2"/>
  <c r="K174" i="2" s="1"/>
  <c r="C174" i="2"/>
  <c r="L174" i="2" s="1"/>
  <c r="D174" i="2"/>
  <c r="M174" i="2" s="1"/>
  <c r="E174" i="2"/>
  <c r="N174" i="2" s="1"/>
  <c r="F174" i="2"/>
  <c r="O174" i="2" s="1"/>
  <c r="G174" i="2"/>
  <c r="P174" i="2" s="1"/>
  <c r="H174" i="2"/>
  <c r="Q174" i="2" s="1"/>
  <c r="J174" i="2"/>
  <c r="R174" i="2"/>
  <c r="B175" i="2"/>
  <c r="K175" i="2" s="1"/>
  <c r="C175" i="2"/>
  <c r="L175" i="2" s="1"/>
  <c r="D175" i="2"/>
  <c r="M175" i="2" s="1"/>
  <c r="E175" i="2"/>
  <c r="N175" i="2" s="1"/>
  <c r="F175" i="2"/>
  <c r="O175" i="2" s="1"/>
  <c r="G175" i="2"/>
  <c r="P175" i="2" s="1"/>
  <c r="H175" i="2"/>
  <c r="Q175" i="2" s="1"/>
  <c r="J175" i="2"/>
  <c r="R175" i="2"/>
  <c r="B176" i="2"/>
  <c r="K176" i="2" s="1"/>
  <c r="C176" i="2"/>
  <c r="L176" i="2" s="1"/>
  <c r="D176" i="2"/>
  <c r="M176" i="2" s="1"/>
  <c r="E176" i="2"/>
  <c r="N176" i="2" s="1"/>
  <c r="F176" i="2"/>
  <c r="O176" i="2" s="1"/>
  <c r="G176" i="2"/>
  <c r="P176" i="2" s="1"/>
  <c r="H176" i="2"/>
  <c r="Q176" i="2" s="1"/>
  <c r="J176" i="2"/>
  <c r="R176" i="2"/>
  <c r="B177" i="2"/>
  <c r="K177" i="2" s="1"/>
  <c r="C177" i="2"/>
  <c r="L177" i="2" s="1"/>
  <c r="D177" i="2"/>
  <c r="M177" i="2" s="1"/>
  <c r="E177" i="2"/>
  <c r="N177" i="2" s="1"/>
  <c r="F177" i="2"/>
  <c r="O177" i="2" s="1"/>
  <c r="G177" i="2"/>
  <c r="P177" i="2" s="1"/>
  <c r="H177" i="2"/>
  <c r="Q177" i="2" s="1"/>
  <c r="J177" i="2"/>
  <c r="R177" i="2"/>
  <c r="B178" i="2"/>
  <c r="K178" i="2" s="1"/>
  <c r="C178" i="2"/>
  <c r="L178" i="2" s="1"/>
  <c r="D178" i="2"/>
  <c r="M178" i="2" s="1"/>
  <c r="E178" i="2"/>
  <c r="N178" i="2" s="1"/>
  <c r="F178" i="2"/>
  <c r="O178" i="2" s="1"/>
  <c r="G178" i="2"/>
  <c r="P178" i="2" s="1"/>
  <c r="H178" i="2"/>
  <c r="Q178" i="2" s="1"/>
  <c r="J178" i="2"/>
  <c r="R178" i="2"/>
  <c r="B179" i="2"/>
  <c r="K179" i="2" s="1"/>
  <c r="C179" i="2"/>
  <c r="L179" i="2" s="1"/>
  <c r="D179" i="2"/>
  <c r="M179" i="2" s="1"/>
  <c r="E179" i="2"/>
  <c r="N179" i="2" s="1"/>
  <c r="F179" i="2"/>
  <c r="O179" i="2" s="1"/>
  <c r="G179" i="2"/>
  <c r="P179" i="2" s="1"/>
  <c r="H179" i="2"/>
  <c r="Q179" i="2" s="1"/>
  <c r="J179" i="2"/>
  <c r="R179" i="2"/>
  <c r="B180" i="2"/>
  <c r="K180" i="2" s="1"/>
  <c r="C180" i="2"/>
  <c r="L180" i="2" s="1"/>
  <c r="D180" i="2"/>
  <c r="M180" i="2" s="1"/>
  <c r="E180" i="2"/>
  <c r="N180" i="2" s="1"/>
  <c r="F180" i="2"/>
  <c r="O180" i="2" s="1"/>
  <c r="G180" i="2"/>
  <c r="P180" i="2" s="1"/>
  <c r="H180" i="2"/>
  <c r="Q180" i="2" s="1"/>
  <c r="J180" i="2"/>
  <c r="R180" i="2"/>
  <c r="B181" i="2"/>
  <c r="K181" i="2" s="1"/>
  <c r="C181" i="2"/>
  <c r="L181" i="2" s="1"/>
  <c r="D181" i="2"/>
  <c r="M181" i="2" s="1"/>
  <c r="E181" i="2"/>
  <c r="N181" i="2" s="1"/>
  <c r="F181" i="2"/>
  <c r="O181" i="2" s="1"/>
  <c r="G181" i="2"/>
  <c r="P181" i="2" s="1"/>
  <c r="H181" i="2"/>
  <c r="Q181" i="2" s="1"/>
  <c r="J181" i="2"/>
  <c r="R181" i="2"/>
  <c r="B182" i="2"/>
  <c r="K182" i="2" s="1"/>
  <c r="C182" i="2"/>
  <c r="L182" i="2" s="1"/>
  <c r="D182" i="2"/>
  <c r="M182" i="2" s="1"/>
  <c r="E182" i="2"/>
  <c r="N182" i="2" s="1"/>
  <c r="F182" i="2"/>
  <c r="O182" i="2" s="1"/>
  <c r="G182" i="2"/>
  <c r="P182" i="2" s="1"/>
  <c r="H182" i="2"/>
  <c r="Q182" i="2" s="1"/>
  <c r="J182" i="2"/>
  <c r="R182" i="2"/>
  <c r="B183" i="2"/>
  <c r="C183" i="2"/>
  <c r="D183" i="2"/>
  <c r="M183" i="2" s="1"/>
  <c r="E183" i="2"/>
  <c r="N183" i="2" s="1"/>
  <c r="F183" i="2"/>
  <c r="O183" i="2" s="1"/>
  <c r="G183" i="2"/>
  <c r="P183" i="2" s="1"/>
  <c r="H183" i="2"/>
  <c r="Q183" i="2" s="1"/>
  <c r="J183" i="2"/>
  <c r="K183" i="2"/>
  <c r="L183" i="2"/>
  <c r="R183" i="2"/>
  <c r="B184" i="2"/>
  <c r="K184" i="2" s="1"/>
  <c r="C184" i="2"/>
  <c r="L184" i="2" s="1"/>
  <c r="D184" i="2"/>
  <c r="M184" i="2" s="1"/>
  <c r="E184" i="2"/>
  <c r="N184" i="2" s="1"/>
  <c r="F184" i="2"/>
  <c r="O184" i="2" s="1"/>
  <c r="G184" i="2"/>
  <c r="P184" i="2" s="1"/>
  <c r="H184" i="2"/>
  <c r="Q184" i="2" s="1"/>
  <c r="J184" i="2"/>
  <c r="R184" i="2"/>
  <c r="B185" i="2"/>
  <c r="K185" i="2" s="1"/>
  <c r="C185" i="2"/>
  <c r="L185" i="2" s="1"/>
  <c r="D185" i="2"/>
  <c r="M185" i="2" s="1"/>
  <c r="E185" i="2"/>
  <c r="N185" i="2" s="1"/>
  <c r="F185" i="2"/>
  <c r="O185" i="2" s="1"/>
  <c r="G185" i="2"/>
  <c r="P185" i="2" s="1"/>
  <c r="H185" i="2"/>
  <c r="Q185" i="2" s="1"/>
  <c r="J185" i="2"/>
  <c r="R185" i="2"/>
  <c r="B186" i="2"/>
  <c r="K186" i="2" s="1"/>
  <c r="C186" i="2"/>
  <c r="L186" i="2" s="1"/>
  <c r="D186" i="2"/>
  <c r="M186" i="2" s="1"/>
  <c r="E186" i="2"/>
  <c r="N186" i="2" s="1"/>
  <c r="F186" i="2"/>
  <c r="O186" i="2" s="1"/>
  <c r="G186" i="2"/>
  <c r="P186" i="2" s="1"/>
  <c r="H186" i="2"/>
  <c r="Q186" i="2" s="1"/>
  <c r="J186" i="2"/>
  <c r="R186" i="2"/>
  <c r="B187" i="2"/>
  <c r="K187" i="2" s="1"/>
  <c r="C187" i="2"/>
  <c r="D187" i="2"/>
  <c r="M187" i="2" s="1"/>
  <c r="E187" i="2"/>
  <c r="N187" i="2" s="1"/>
  <c r="F187" i="2"/>
  <c r="O187" i="2" s="1"/>
  <c r="G187" i="2"/>
  <c r="P187" i="2" s="1"/>
  <c r="H187" i="2"/>
  <c r="Q187" i="2" s="1"/>
  <c r="J187" i="2"/>
  <c r="L187" i="2"/>
  <c r="R187" i="2"/>
  <c r="B188" i="2"/>
  <c r="K188" i="2" s="1"/>
  <c r="C188" i="2"/>
  <c r="D188" i="2"/>
  <c r="M188" i="2" s="1"/>
  <c r="E188" i="2"/>
  <c r="N188" i="2" s="1"/>
  <c r="F188" i="2"/>
  <c r="O188" i="2" s="1"/>
  <c r="G188" i="2"/>
  <c r="P188" i="2" s="1"/>
  <c r="H188" i="2"/>
  <c r="Q188" i="2" s="1"/>
  <c r="J188" i="2"/>
  <c r="L188" i="2"/>
  <c r="R188" i="2"/>
  <c r="B189" i="2"/>
  <c r="K189" i="2" s="1"/>
  <c r="C189" i="2"/>
  <c r="L189" i="2" s="1"/>
  <c r="D189" i="2"/>
  <c r="M189" i="2" s="1"/>
  <c r="E189" i="2"/>
  <c r="N189" i="2" s="1"/>
  <c r="F189" i="2"/>
  <c r="O189" i="2" s="1"/>
  <c r="G189" i="2"/>
  <c r="P189" i="2" s="1"/>
  <c r="H189" i="2"/>
  <c r="Q189" i="2" s="1"/>
  <c r="J189" i="2"/>
  <c r="R189" i="2"/>
  <c r="B190" i="2"/>
  <c r="K190" i="2" s="1"/>
  <c r="C190" i="2"/>
  <c r="L190" i="2" s="1"/>
  <c r="D190" i="2"/>
  <c r="M190" i="2" s="1"/>
  <c r="E190" i="2"/>
  <c r="N190" i="2" s="1"/>
  <c r="F190" i="2"/>
  <c r="O190" i="2" s="1"/>
  <c r="G190" i="2"/>
  <c r="P190" i="2" s="1"/>
  <c r="H190" i="2"/>
  <c r="Q190" i="2" s="1"/>
  <c r="J190" i="2"/>
  <c r="R190" i="2"/>
  <c r="B191" i="2"/>
  <c r="K191" i="2" s="1"/>
  <c r="C191" i="2"/>
  <c r="L191" i="2" s="1"/>
  <c r="D191" i="2"/>
  <c r="M191" i="2" s="1"/>
  <c r="E191" i="2"/>
  <c r="N191" i="2" s="1"/>
  <c r="F191" i="2"/>
  <c r="O191" i="2" s="1"/>
  <c r="G191" i="2"/>
  <c r="P191" i="2" s="1"/>
  <c r="H191" i="2"/>
  <c r="Q191" i="2" s="1"/>
  <c r="J191" i="2"/>
  <c r="R191" i="2"/>
  <c r="B192" i="2"/>
  <c r="K192" i="2" s="1"/>
  <c r="C192" i="2"/>
  <c r="L192" i="2" s="1"/>
  <c r="D192" i="2"/>
  <c r="M192" i="2" s="1"/>
  <c r="E192" i="2"/>
  <c r="N192" i="2" s="1"/>
  <c r="F192" i="2"/>
  <c r="O192" i="2" s="1"/>
  <c r="G192" i="2"/>
  <c r="P192" i="2" s="1"/>
  <c r="H192" i="2"/>
  <c r="Q192" i="2" s="1"/>
  <c r="J192" i="2"/>
  <c r="R192" i="2"/>
  <c r="B193" i="2"/>
  <c r="K193" i="2" s="1"/>
  <c r="C193" i="2"/>
  <c r="L193" i="2" s="1"/>
  <c r="D193" i="2"/>
  <c r="M193" i="2" s="1"/>
  <c r="E193" i="2"/>
  <c r="N193" i="2" s="1"/>
  <c r="F193" i="2"/>
  <c r="O193" i="2" s="1"/>
  <c r="G193" i="2"/>
  <c r="P193" i="2" s="1"/>
  <c r="H193" i="2"/>
  <c r="Q193" i="2" s="1"/>
  <c r="J193" i="2"/>
  <c r="R193" i="2"/>
  <c r="B194" i="2"/>
  <c r="K194" i="2" s="1"/>
  <c r="C194" i="2"/>
  <c r="L194" i="2" s="1"/>
  <c r="D194" i="2"/>
  <c r="M194" i="2" s="1"/>
  <c r="E194" i="2"/>
  <c r="N194" i="2" s="1"/>
  <c r="F194" i="2"/>
  <c r="O194" i="2" s="1"/>
  <c r="G194" i="2"/>
  <c r="P194" i="2" s="1"/>
  <c r="H194" i="2"/>
  <c r="Q194" i="2" s="1"/>
  <c r="J194" i="2"/>
  <c r="R194" i="2"/>
  <c r="B195" i="2"/>
  <c r="K195" i="2" s="1"/>
  <c r="C195" i="2"/>
  <c r="L195" i="2" s="1"/>
  <c r="D195" i="2"/>
  <c r="M195" i="2" s="1"/>
  <c r="E195" i="2"/>
  <c r="N195" i="2" s="1"/>
  <c r="F195" i="2"/>
  <c r="O195" i="2" s="1"/>
  <c r="G195" i="2"/>
  <c r="P195" i="2" s="1"/>
  <c r="H195" i="2"/>
  <c r="Q195" i="2" s="1"/>
  <c r="J195" i="2"/>
  <c r="R195" i="2"/>
  <c r="B196" i="2"/>
  <c r="K196" i="2" s="1"/>
  <c r="C196" i="2"/>
  <c r="L196" i="2" s="1"/>
  <c r="D196" i="2"/>
  <c r="M196" i="2" s="1"/>
  <c r="E196" i="2"/>
  <c r="N196" i="2" s="1"/>
  <c r="F196" i="2"/>
  <c r="O196" i="2" s="1"/>
  <c r="G196" i="2"/>
  <c r="P196" i="2" s="1"/>
  <c r="H196" i="2"/>
  <c r="Q196" i="2" s="1"/>
  <c r="J196" i="2"/>
  <c r="R196" i="2"/>
  <c r="B197" i="2"/>
  <c r="K197" i="2" s="1"/>
  <c r="C197" i="2"/>
  <c r="L197" i="2" s="1"/>
  <c r="D197" i="2"/>
  <c r="M197" i="2" s="1"/>
  <c r="E197" i="2"/>
  <c r="N197" i="2" s="1"/>
  <c r="F197" i="2"/>
  <c r="O197" i="2" s="1"/>
  <c r="G197" i="2"/>
  <c r="P197" i="2" s="1"/>
  <c r="H197" i="2"/>
  <c r="Q197" i="2" s="1"/>
  <c r="J197" i="2"/>
  <c r="R197" i="2"/>
  <c r="B198" i="2"/>
  <c r="K198" i="2" s="1"/>
  <c r="C198" i="2"/>
  <c r="L198" i="2" s="1"/>
  <c r="D198" i="2"/>
  <c r="M198" i="2" s="1"/>
  <c r="E198" i="2"/>
  <c r="N198" i="2" s="1"/>
  <c r="F198" i="2"/>
  <c r="O198" i="2" s="1"/>
  <c r="G198" i="2"/>
  <c r="P198" i="2" s="1"/>
  <c r="H198" i="2"/>
  <c r="Q198" i="2" s="1"/>
  <c r="J198" i="2"/>
  <c r="R198" i="2"/>
  <c r="B199" i="2"/>
  <c r="K199" i="2" s="1"/>
  <c r="C199" i="2"/>
  <c r="L199" i="2" s="1"/>
  <c r="D199" i="2"/>
  <c r="M199" i="2" s="1"/>
  <c r="E199" i="2"/>
  <c r="N199" i="2" s="1"/>
  <c r="F199" i="2"/>
  <c r="O199" i="2" s="1"/>
  <c r="G199" i="2"/>
  <c r="P199" i="2" s="1"/>
  <c r="H199" i="2"/>
  <c r="Q199" i="2" s="1"/>
  <c r="J199" i="2"/>
  <c r="R199" i="2"/>
  <c r="B200" i="2"/>
  <c r="K200" i="2" s="1"/>
  <c r="C200" i="2"/>
  <c r="L200" i="2" s="1"/>
  <c r="D200" i="2"/>
  <c r="M200" i="2" s="1"/>
  <c r="E200" i="2"/>
  <c r="N200" i="2" s="1"/>
  <c r="F200" i="2"/>
  <c r="O200" i="2" s="1"/>
  <c r="G200" i="2"/>
  <c r="P200" i="2" s="1"/>
  <c r="H200" i="2"/>
  <c r="Q200" i="2" s="1"/>
  <c r="J200" i="2"/>
  <c r="R200" i="2"/>
  <c r="B201" i="2"/>
  <c r="K201" i="2" s="1"/>
  <c r="C201" i="2"/>
  <c r="L201" i="2" s="1"/>
  <c r="D201" i="2"/>
  <c r="M201" i="2" s="1"/>
  <c r="E201" i="2"/>
  <c r="N201" i="2" s="1"/>
  <c r="F201" i="2"/>
  <c r="O201" i="2" s="1"/>
  <c r="G201" i="2"/>
  <c r="P201" i="2" s="1"/>
  <c r="H201" i="2"/>
  <c r="Q201" i="2" s="1"/>
  <c r="J201" i="2"/>
  <c r="R201" i="2"/>
  <c r="B202" i="2"/>
  <c r="K202" i="2" s="1"/>
  <c r="C202" i="2"/>
  <c r="L202" i="2" s="1"/>
  <c r="D202" i="2"/>
  <c r="M202" i="2" s="1"/>
  <c r="E202" i="2"/>
  <c r="N202" i="2" s="1"/>
  <c r="F202" i="2"/>
  <c r="O202" i="2" s="1"/>
  <c r="G202" i="2"/>
  <c r="P202" i="2" s="1"/>
  <c r="H202" i="2"/>
  <c r="Q202" i="2" s="1"/>
  <c r="J202" i="2"/>
  <c r="R202" i="2"/>
  <c r="B203" i="2"/>
  <c r="K203" i="2" s="1"/>
  <c r="C203" i="2"/>
  <c r="L203" i="2" s="1"/>
  <c r="D203" i="2"/>
  <c r="M203" i="2" s="1"/>
  <c r="E203" i="2"/>
  <c r="N203" i="2" s="1"/>
  <c r="F203" i="2"/>
  <c r="O203" i="2" s="1"/>
  <c r="G203" i="2"/>
  <c r="P203" i="2" s="1"/>
  <c r="H203" i="2"/>
  <c r="Q203" i="2" s="1"/>
  <c r="J203" i="2"/>
  <c r="R203" i="2"/>
  <c r="B204" i="2"/>
  <c r="K204" i="2" s="1"/>
  <c r="C204" i="2"/>
  <c r="L204" i="2" s="1"/>
  <c r="D204" i="2"/>
  <c r="M204" i="2" s="1"/>
  <c r="E204" i="2"/>
  <c r="N204" i="2" s="1"/>
  <c r="F204" i="2"/>
  <c r="O204" i="2" s="1"/>
  <c r="G204" i="2"/>
  <c r="P204" i="2" s="1"/>
  <c r="H204" i="2"/>
  <c r="Q204" i="2" s="1"/>
  <c r="J204" i="2"/>
  <c r="R204" i="2"/>
  <c r="B205" i="2"/>
  <c r="K205" i="2" s="1"/>
  <c r="C205" i="2"/>
  <c r="L205" i="2" s="1"/>
  <c r="D205" i="2"/>
  <c r="M205" i="2" s="1"/>
  <c r="E205" i="2"/>
  <c r="N205" i="2" s="1"/>
  <c r="F205" i="2"/>
  <c r="O205" i="2" s="1"/>
  <c r="G205" i="2"/>
  <c r="P205" i="2" s="1"/>
  <c r="H205" i="2"/>
  <c r="Q205" i="2" s="1"/>
  <c r="J205" i="2"/>
  <c r="R205" i="2"/>
  <c r="B206" i="2"/>
  <c r="K206" i="2" s="1"/>
  <c r="C206" i="2"/>
  <c r="L206" i="2" s="1"/>
  <c r="D206" i="2"/>
  <c r="M206" i="2" s="1"/>
  <c r="E206" i="2"/>
  <c r="N206" i="2" s="1"/>
  <c r="F206" i="2"/>
  <c r="O206" i="2" s="1"/>
  <c r="G206" i="2"/>
  <c r="P206" i="2" s="1"/>
  <c r="H206" i="2"/>
  <c r="Q206" i="2" s="1"/>
  <c r="J206" i="2"/>
  <c r="R206" i="2"/>
  <c r="B207" i="2"/>
  <c r="K207" i="2" s="1"/>
  <c r="C207" i="2"/>
  <c r="L207" i="2" s="1"/>
  <c r="D207" i="2"/>
  <c r="M207" i="2" s="1"/>
  <c r="E207" i="2"/>
  <c r="N207" i="2" s="1"/>
  <c r="F207" i="2"/>
  <c r="O207" i="2" s="1"/>
  <c r="G207" i="2"/>
  <c r="P207" i="2" s="1"/>
  <c r="H207" i="2"/>
  <c r="Q207" i="2" s="1"/>
  <c r="J207" i="2"/>
  <c r="R207" i="2"/>
  <c r="B208" i="2"/>
  <c r="K208" i="2" s="1"/>
  <c r="C208" i="2"/>
  <c r="L208" i="2" s="1"/>
  <c r="D208" i="2"/>
  <c r="M208" i="2" s="1"/>
  <c r="E208" i="2"/>
  <c r="N208" i="2" s="1"/>
  <c r="F208" i="2"/>
  <c r="O208" i="2" s="1"/>
  <c r="G208" i="2"/>
  <c r="P208" i="2" s="1"/>
  <c r="H208" i="2"/>
  <c r="Q208" i="2" s="1"/>
  <c r="J208" i="2"/>
  <c r="R208" i="2"/>
  <c r="B209" i="2"/>
  <c r="K209" i="2" s="1"/>
  <c r="C209" i="2"/>
  <c r="L209" i="2" s="1"/>
  <c r="D209" i="2"/>
  <c r="M209" i="2" s="1"/>
  <c r="E209" i="2"/>
  <c r="N209" i="2" s="1"/>
  <c r="F209" i="2"/>
  <c r="O209" i="2" s="1"/>
  <c r="G209" i="2"/>
  <c r="P209" i="2" s="1"/>
  <c r="H209" i="2"/>
  <c r="Q209" i="2" s="1"/>
  <c r="J209" i="2"/>
  <c r="R209" i="2"/>
  <c r="B210" i="2"/>
  <c r="K210" i="2" s="1"/>
  <c r="C210" i="2"/>
  <c r="L210" i="2" s="1"/>
  <c r="D210" i="2"/>
  <c r="M210" i="2" s="1"/>
  <c r="E210" i="2"/>
  <c r="N210" i="2" s="1"/>
  <c r="F210" i="2"/>
  <c r="O210" i="2" s="1"/>
  <c r="G210" i="2"/>
  <c r="P210" i="2" s="1"/>
  <c r="H210" i="2"/>
  <c r="Q210" i="2" s="1"/>
  <c r="J210" i="2"/>
  <c r="R210" i="2"/>
  <c r="B211" i="2"/>
  <c r="K211" i="2" s="1"/>
  <c r="C211" i="2"/>
  <c r="L211" i="2" s="1"/>
  <c r="D211" i="2"/>
  <c r="M211" i="2" s="1"/>
  <c r="E211" i="2"/>
  <c r="N211" i="2" s="1"/>
  <c r="F211" i="2"/>
  <c r="O211" i="2" s="1"/>
  <c r="G211" i="2"/>
  <c r="P211" i="2" s="1"/>
  <c r="H211" i="2"/>
  <c r="Q211" i="2" s="1"/>
  <c r="J211" i="2"/>
  <c r="R211" i="2"/>
  <c r="B212" i="2"/>
  <c r="K212" i="2" s="1"/>
  <c r="C212" i="2"/>
  <c r="L212" i="2" s="1"/>
  <c r="D212" i="2"/>
  <c r="M212" i="2" s="1"/>
  <c r="E212" i="2"/>
  <c r="N212" i="2" s="1"/>
  <c r="F212" i="2"/>
  <c r="O212" i="2" s="1"/>
  <c r="G212" i="2"/>
  <c r="P212" i="2" s="1"/>
  <c r="H212" i="2"/>
  <c r="Q212" i="2" s="1"/>
  <c r="J212" i="2"/>
  <c r="R212" i="2"/>
  <c r="B213" i="2"/>
  <c r="K213" i="2" s="1"/>
  <c r="C213" i="2"/>
  <c r="L213" i="2" s="1"/>
  <c r="D213" i="2"/>
  <c r="M213" i="2" s="1"/>
  <c r="E213" i="2"/>
  <c r="N213" i="2" s="1"/>
  <c r="F213" i="2"/>
  <c r="O213" i="2" s="1"/>
  <c r="G213" i="2"/>
  <c r="P213" i="2" s="1"/>
  <c r="H213" i="2"/>
  <c r="Q213" i="2" s="1"/>
  <c r="J213" i="2"/>
  <c r="R213" i="2"/>
  <c r="B214" i="2"/>
  <c r="K214" i="2" s="1"/>
  <c r="C214" i="2"/>
  <c r="L214" i="2" s="1"/>
  <c r="D214" i="2"/>
  <c r="M214" i="2" s="1"/>
  <c r="E214" i="2"/>
  <c r="N214" i="2" s="1"/>
  <c r="F214" i="2"/>
  <c r="O214" i="2" s="1"/>
  <c r="G214" i="2"/>
  <c r="P214" i="2" s="1"/>
  <c r="H214" i="2"/>
  <c r="Q214" i="2" s="1"/>
  <c r="J214" i="2"/>
  <c r="R214" i="2"/>
  <c r="B215" i="2"/>
  <c r="K215" i="2" s="1"/>
  <c r="C215" i="2"/>
  <c r="L215" i="2" s="1"/>
  <c r="D215" i="2"/>
  <c r="M215" i="2" s="1"/>
  <c r="E215" i="2"/>
  <c r="N215" i="2" s="1"/>
  <c r="F215" i="2"/>
  <c r="O215" i="2" s="1"/>
  <c r="G215" i="2"/>
  <c r="P215" i="2" s="1"/>
  <c r="H215" i="2"/>
  <c r="Q215" i="2" s="1"/>
  <c r="J215" i="2"/>
  <c r="R215" i="2"/>
  <c r="B216" i="2"/>
  <c r="K216" i="2" s="1"/>
  <c r="C216" i="2"/>
  <c r="L216" i="2" s="1"/>
  <c r="D216" i="2"/>
  <c r="M216" i="2" s="1"/>
  <c r="E216" i="2"/>
  <c r="N216" i="2" s="1"/>
  <c r="F216" i="2"/>
  <c r="O216" i="2" s="1"/>
  <c r="G216" i="2"/>
  <c r="P216" i="2" s="1"/>
  <c r="H216" i="2"/>
  <c r="Q216" i="2" s="1"/>
  <c r="J216" i="2"/>
  <c r="R216" i="2"/>
  <c r="B217" i="2"/>
  <c r="K217" i="2" s="1"/>
  <c r="C217" i="2"/>
  <c r="L217" i="2" s="1"/>
  <c r="D217" i="2"/>
  <c r="M217" i="2" s="1"/>
  <c r="E217" i="2"/>
  <c r="N217" i="2" s="1"/>
  <c r="F217" i="2"/>
  <c r="O217" i="2" s="1"/>
  <c r="G217" i="2"/>
  <c r="P217" i="2" s="1"/>
  <c r="H217" i="2"/>
  <c r="Q217" i="2" s="1"/>
  <c r="J217" i="2"/>
  <c r="R217" i="2"/>
  <c r="B218" i="2"/>
  <c r="K218" i="2" s="1"/>
  <c r="C218" i="2"/>
  <c r="L218" i="2" s="1"/>
  <c r="D218" i="2"/>
  <c r="M218" i="2" s="1"/>
  <c r="E218" i="2"/>
  <c r="N218" i="2" s="1"/>
  <c r="F218" i="2"/>
  <c r="O218" i="2" s="1"/>
  <c r="G218" i="2"/>
  <c r="P218" i="2" s="1"/>
  <c r="H218" i="2"/>
  <c r="Q218" i="2" s="1"/>
  <c r="J218" i="2"/>
  <c r="R218" i="2"/>
  <c r="B219" i="2"/>
  <c r="K219" i="2" s="1"/>
  <c r="C219" i="2"/>
  <c r="L219" i="2" s="1"/>
  <c r="D219" i="2"/>
  <c r="M219" i="2" s="1"/>
  <c r="E219" i="2"/>
  <c r="N219" i="2" s="1"/>
  <c r="F219" i="2"/>
  <c r="O219" i="2" s="1"/>
  <c r="G219" i="2"/>
  <c r="P219" i="2" s="1"/>
  <c r="H219" i="2"/>
  <c r="Q219" i="2" s="1"/>
  <c r="J219" i="2"/>
  <c r="R219" i="2"/>
  <c r="B220" i="2"/>
  <c r="K220" i="2" s="1"/>
  <c r="C220" i="2"/>
  <c r="L220" i="2" s="1"/>
  <c r="D220" i="2"/>
  <c r="M220" i="2" s="1"/>
  <c r="E220" i="2"/>
  <c r="N220" i="2" s="1"/>
  <c r="F220" i="2"/>
  <c r="O220" i="2" s="1"/>
  <c r="G220" i="2"/>
  <c r="P220" i="2" s="1"/>
  <c r="H220" i="2"/>
  <c r="Q220" i="2" s="1"/>
  <c r="J220" i="2"/>
  <c r="R220" i="2"/>
  <c r="B221" i="2"/>
  <c r="K221" i="2" s="1"/>
  <c r="C221" i="2"/>
  <c r="L221" i="2" s="1"/>
  <c r="D221" i="2"/>
  <c r="M221" i="2" s="1"/>
  <c r="E221" i="2"/>
  <c r="N221" i="2" s="1"/>
  <c r="F221" i="2"/>
  <c r="O221" i="2" s="1"/>
  <c r="G221" i="2"/>
  <c r="P221" i="2" s="1"/>
  <c r="H221" i="2"/>
  <c r="Q221" i="2" s="1"/>
  <c r="J221" i="2"/>
  <c r="R221" i="2"/>
  <c r="B222" i="2"/>
  <c r="K222" i="2" s="1"/>
  <c r="C222" i="2"/>
  <c r="L222" i="2" s="1"/>
  <c r="D222" i="2"/>
  <c r="M222" i="2" s="1"/>
  <c r="E222" i="2"/>
  <c r="N222" i="2" s="1"/>
  <c r="F222" i="2"/>
  <c r="O222" i="2" s="1"/>
  <c r="G222" i="2"/>
  <c r="P222" i="2" s="1"/>
  <c r="H222" i="2"/>
  <c r="Q222" i="2" s="1"/>
  <c r="J222" i="2"/>
  <c r="R222" i="2"/>
  <c r="B223" i="2"/>
  <c r="K223" i="2" s="1"/>
  <c r="C223" i="2"/>
  <c r="L223" i="2" s="1"/>
  <c r="D223" i="2"/>
  <c r="M223" i="2" s="1"/>
  <c r="E223" i="2"/>
  <c r="N223" i="2" s="1"/>
  <c r="F223" i="2"/>
  <c r="O223" i="2" s="1"/>
  <c r="G223" i="2"/>
  <c r="P223" i="2" s="1"/>
  <c r="H223" i="2"/>
  <c r="Q223" i="2" s="1"/>
  <c r="J223" i="2"/>
  <c r="R223" i="2"/>
  <c r="B224" i="2"/>
  <c r="K224" i="2" s="1"/>
  <c r="C224" i="2"/>
  <c r="L224" i="2" s="1"/>
  <c r="D224" i="2"/>
  <c r="M224" i="2" s="1"/>
  <c r="E224" i="2"/>
  <c r="N224" i="2" s="1"/>
  <c r="F224" i="2"/>
  <c r="O224" i="2" s="1"/>
  <c r="G224" i="2"/>
  <c r="P224" i="2" s="1"/>
  <c r="H224" i="2"/>
  <c r="Q224" i="2" s="1"/>
  <c r="J224" i="2"/>
  <c r="R224" i="2"/>
  <c r="B225" i="2"/>
  <c r="K225" i="2" s="1"/>
  <c r="C225" i="2"/>
  <c r="L225" i="2" s="1"/>
  <c r="D225" i="2"/>
  <c r="M225" i="2" s="1"/>
  <c r="E225" i="2"/>
  <c r="N225" i="2" s="1"/>
  <c r="F225" i="2"/>
  <c r="O225" i="2" s="1"/>
  <c r="G225" i="2"/>
  <c r="P225" i="2" s="1"/>
  <c r="H225" i="2"/>
  <c r="Q225" i="2" s="1"/>
  <c r="J225" i="2"/>
  <c r="R225" i="2"/>
  <c r="B226" i="2"/>
  <c r="K226" i="2" s="1"/>
  <c r="C226" i="2"/>
  <c r="L226" i="2" s="1"/>
  <c r="D226" i="2"/>
  <c r="M226" i="2" s="1"/>
  <c r="E226" i="2"/>
  <c r="N226" i="2" s="1"/>
  <c r="F226" i="2"/>
  <c r="O226" i="2" s="1"/>
  <c r="G226" i="2"/>
  <c r="P226" i="2" s="1"/>
  <c r="H226" i="2"/>
  <c r="Q226" i="2" s="1"/>
  <c r="J226" i="2"/>
  <c r="R226" i="2"/>
  <c r="B227" i="2"/>
  <c r="K227" i="2" s="1"/>
  <c r="C227" i="2"/>
  <c r="L227" i="2" s="1"/>
  <c r="D227" i="2"/>
  <c r="M227" i="2" s="1"/>
  <c r="E227" i="2"/>
  <c r="N227" i="2" s="1"/>
  <c r="F227" i="2"/>
  <c r="O227" i="2" s="1"/>
  <c r="G227" i="2"/>
  <c r="P227" i="2" s="1"/>
  <c r="H227" i="2"/>
  <c r="Q227" i="2" s="1"/>
  <c r="J227" i="2"/>
  <c r="R227" i="2"/>
  <c r="B228" i="2"/>
  <c r="K228" i="2" s="1"/>
  <c r="C228" i="2"/>
  <c r="L228" i="2" s="1"/>
  <c r="D228" i="2"/>
  <c r="M228" i="2" s="1"/>
  <c r="E228" i="2"/>
  <c r="N228" i="2" s="1"/>
  <c r="F228" i="2"/>
  <c r="O228" i="2" s="1"/>
  <c r="G228" i="2"/>
  <c r="P228" i="2" s="1"/>
  <c r="H228" i="2"/>
  <c r="Q228" i="2" s="1"/>
  <c r="J228" i="2"/>
  <c r="R228" i="2"/>
  <c r="B229" i="2"/>
  <c r="K229" i="2" s="1"/>
  <c r="C229" i="2"/>
  <c r="L229" i="2" s="1"/>
  <c r="D229" i="2"/>
  <c r="M229" i="2" s="1"/>
  <c r="E229" i="2"/>
  <c r="N229" i="2" s="1"/>
  <c r="F229" i="2"/>
  <c r="O229" i="2" s="1"/>
  <c r="G229" i="2"/>
  <c r="P229" i="2" s="1"/>
  <c r="H229" i="2"/>
  <c r="Q229" i="2" s="1"/>
  <c r="J229" i="2"/>
  <c r="R229" i="2"/>
  <c r="B230" i="2"/>
  <c r="K230" i="2" s="1"/>
  <c r="C230" i="2"/>
  <c r="L230" i="2" s="1"/>
  <c r="D230" i="2"/>
  <c r="M230" i="2" s="1"/>
  <c r="E230" i="2"/>
  <c r="N230" i="2" s="1"/>
  <c r="F230" i="2"/>
  <c r="O230" i="2" s="1"/>
  <c r="G230" i="2"/>
  <c r="P230" i="2" s="1"/>
  <c r="H230" i="2"/>
  <c r="Q230" i="2" s="1"/>
  <c r="J230" i="2"/>
  <c r="R230" i="2"/>
  <c r="B231" i="2"/>
  <c r="K231" i="2" s="1"/>
  <c r="C231" i="2"/>
  <c r="L231" i="2" s="1"/>
  <c r="D231" i="2"/>
  <c r="M231" i="2" s="1"/>
  <c r="E231" i="2"/>
  <c r="N231" i="2" s="1"/>
  <c r="F231" i="2"/>
  <c r="O231" i="2" s="1"/>
  <c r="G231" i="2"/>
  <c r="P231" i="2" s="1"/>
  <c r="H231" i="2"/>
  <c r="Q231" i="2" s="1"/>
  <c r="J231" i="2"/>
  <c r="R231" i="2"/>
  <c r="B232" i="2"/>
  <c r="K232" i="2" s="1"/>
  <c r="C232" i="2"/>
  <c r="L232" i="2" s="1"/>
  <c r="D232" i="2"/>
  <c r="M232" i="2" s="1"/>
  <c r="E232" i="2"/>
  <c r="N232" i="2" s="1"/>
  <c r="F232" i="2"/>
  <c r="O232" i="2" s="1"/>
  <c r="G232" i="2"/>
  <c r="P232" i="2" s="1"/>
  <c r="H232" i="2"/>
  <c r="Q232" i="2" s="1"/>
  <c r="J232" i="2"/>
  <c r="R232" i="2"/>
  <c r="B233" i="2"/>
  <c r="K233" i="2" s="1"/>
  <c r="C233" i="2"/>
  <c r="L233" i="2" s="1"/>
  <c r="D233" i="2"/>
  <c r="M233" i="2" s="1"/>
  <c r="E233" i="2"/>
  <c r="N233" i="2" s="1"/>
  <c r="F233" i="2"/>
  <c r="O233" i="2" s="1"/>
  <c r="G233" i="2"/>
  <c r="P233" i="2" s="1"/>
  <c r="H233" i="2"/>
  <c r="Q233" i="2" s="1"/>
  <c r="J233" i="2"/>
  <c r="R233" i="2"/>
  <c r="B234" i="2"/>
  <c r="K234" i="2" s="1"/>
  <c r="C234" i="2"/>
  <c r="L234" i="2" s="1"/>
  <c r="D234" i="2"/>
  <c r="M234" i="2" s="1"/>
  <c r="E234" i="2"/>
  <c r="N234" i="2" s="1"/>
  <c r="F234" i="2"/>
  <c r="O234" i="2" s="1"/>
  <c r="G234" i="2"/>
  <c r="P234" i="2" s="1"/>
  <c r="H234" i="2"/>
  <c r="Q234" i="2" s="1"/>
  <c r="J234" i="2"/>
  <c r="R234" i="2"/>
  <c r="B235" i="2"/>
  <c r="K235" i="2" s="1"/>
  <c r="C235" i="2"/>
  <c r="L235" i="2" s="1"/>
  <c r="D235" i="2"/>
  <c r="M235" i="2" s="1"/>
  <c r="E235" i="2"/>
  <c r="N235" i="2" s="1"/>
  <c r="F235" i="2"/>
  <c r="O235" i="2" s="1"/>
  <c r="G235" i="2"/>
  <c r="P235" i="2" s="1"/>
  <c r="H235" i="2"/>
  <c r="Q235" i="2" s="1"/>
  <c r="J235" i="2"/>
  <c r="R235" i="2"/>
  <c r="B236" i="2"/>
  <c r="K236" i="2" s="1"/>
  <c r="C236" i="2"/>
  <c r="L236" i="2" s="1"/>
  <c r="D236" i="2"/>
  <c r="M236" i="2" s="1"/>
  <c r="E236" i="2"/>
  <c r="N236" i="2" s="1"/>
  <c r="F236" i="2"/>
  <c r="O236" i="2" s="1"/>
  <c r="G236" i="2"/>
  <c r="P236" i="2" s="1"/>
  <c r="H236" i="2"/>
  <c r="Q236" i="2" s="1"/>
  <c r="J236" i="2"/>
  <c r="R236" i="2"/>
  <c r="B237" i="2"/>
  <c r="K237" i="2" s="1"/>
  <c r="C237" i="2"/>
  <c r="L237" i="2" s="1"/>
  <c r="D237" i="2"/>
  <c r="M237" i="2" s="1"/>
  <c r="E237" i="2"/>
  <c r="N237" i="2" s="1"/>
  <c r="F237" i="2"/>
  <c r="O237" i="2" s="1"/>
  <c r="G237" i="2"/>
  <c r="P237" i="2" s="1"/>
  <c r="H237" i="2"/>
  <c r="Q237" i="2" s="1"/>
  <c r="J237" i="2"/>
  <c r="R237" i="2"/>
  <c r="B238" i="2"/>
  <c r="K238" i="2" s="1"/>
  <c r="C238" i="2"/>
  <c r="L238" i="2" s="1"/>
  <c r="D238" i="2"/>
  <c r="M238" i="2" s="1"/>
  <c r="E238" i="2"/>
  <c r="N238" i="2" s="1"/>
  <c r="F238" i="2"/>
  <c r="O238" i="2" s="1"/>
  <c r="G238" i="2"/>
  <c r="P238" i="2" s="1"/>
  <c r="H238" i="2"/>
  <c r="Q238" i="2" s="1"/>
  <c r="J238" i="2"/>
  <c r="R238" i="2"/>
  <c r="B239" i="2"/>
  <c r="K239" i="2" s="1"/>
  <c r="C239" i="2"/>
  <c r="L239" i="2" s="1"/>
  <c r="D239" i="2"/>
  <c r="M239" i="2" s="1"/>
  <c r="E239" i="2"/>
  <c r="N239" i="2" s="1"/>
  <c r="F239" i="2"/>
  <c r="O239" i="2" s="1"/>
  <c r="G239" i="2"/>
  <c r="P239" i="2" s="1"/>
  <c r="H239" i="2"/>
  <c r="Q239" i="2" s="1"/>
  <c r="J239" i="2"/>
  <c r="R239" i="2"/>
  <c r="B240" i="2"/>
  <c r="K240" i="2" s="1"/>
  <c r="C240" i="2"/>
  <c r="L240" i="2" s="1"/>
  <c r="D240" i="2"/>
  <c r="M240" i="2" s="1"/>
  <c r="E240" i="2"/>
  <c r="N240" i="2" s="1"/>
  <c r="F240" i="2"/>
  <c r="O240" i="2" s="1"/>
  <c r="G240" i="2"/>
  <c r="P240" i="2" s="1"/>
  <c r="H240" i="2"/>
  <c r="Q240" i="2" s="1"/>
  <c r="J240" i="2"/>
  <c r="R240" i="2"/>
  <c r="B241" i="2"/>
  <c r="C241" i="2"/>
  <c r="L241" i="2" s="1"/>
  <c r="D241" i="2"/>
  <c r="M241" i="2" s="1"/>
  <c r="E241" i="2"/>
  <c r="N241" i="2" s="1"/>
  <c r="F241" i="2"/>
  <c r="O241" i="2" s="1"/>
  <c r="G241" i="2"/>
  <c r="P241" i="2" s="1"/>
  <c r="H241" i="2"/>
  <c r="Q241" i="2" s="1"/>
  <c r="J241" i="2"/>
  <c r="K241" i="2"/>
  <c r="R241" i="2"/>
  <c r="B242" i="2"/>
  <c r="K242" i="2" s="1"/>
  <c r="C242" i="2"/>
  <c r="L242" i="2" s="1"/>
  <c r="D242" i="2"/>
  <c r="M242" i="2" s="1"/>
  <c r="E242" i="2"/>
  <c r="N242" i="2" s="1"/>
  <c r="F242" i="2"/>
  <c r="O242" i="2" s="1"/>
  <c r="G242" i="2"/>
  <c r="P242" i="2" s="1"/>
  <c r="H242" i="2"/>
  <c r="Q242" i="2" s="1"/>
  <c r="J242" i="2"/>
  <c r="R242" i="2"/>
  <c r="B243" i="2"/>
  <c r="K243" i="2" s="1"/>
  <c r="C243" i="2"/>
  <c r="L243" i="2" s="1"/>
  <c r="D243" i="2"/>
  <c r="M243" i="2" s="1"/>
  <c r="E243" i="2"/>
  <c r="N243" i="2" s="1"/>
  <c r="F243" i="2"/>
  <c r="O243" i="2" s="1"/>
  <c r="G243" i="2"/>
  <c r="P243" i="2" s="1"/>
  <c r="H243" i="2"/>
  <c r="Q243" i="2" s="1"/>
  <c r="J243" i="2"/>
  <c r="R243" i="2"/>
  <c r="B244" i="2"/>
  <c r="K244" i="2" s="1"/>
  <c r="C244" i="2"/>
  <c r="L244" i="2" s="1"/>
  <c r="D244" i="2"/>
  <c r="M244" i="2" s="1"/>
  <c r="E244" i="2"/>
  <c r="N244" i="2" s="1"/>
  <c r="F244" i="2"/>
  <c r="O244" i="2" s="1"/>
  <c r="G244" i="2"/>
  <c r="P244" i="2" s="1"/>
  <c r="H244" i="2"/>
  <c r="Q244" i="2" s="1"/>
  <c r="J244" i="2"/>
  <c r="R244" i="2"/>
  <c r="B245" i="2"/>
  <c r="K245" i="2" s="1"/>
  <c r="C245" i="2"/>
  <c r="L245" i="2" s="1"/>
  <c r="D245" i="2"/>
  <c r="M245" i="2" s="1"/>
  <c r="E245" i="2"/>
  <c r="N245" i="2" s="1"/>
  <c r="F245" i="2"/>
  <c r="O245" i="2" s="1"/>
  <c r="G245" i="2"/>
  <c r="P245" i="2" s="1"/>
  <c r="H245" i="2"/>
  <c r="Q245" i="2" s="1"/>
  <c r="J245" i="2"/>
  <c r="R245" i="2"/>
  <c r="B246" i="2"/>
  <c r="K246" i="2" s="1"/>
  <c r="C246" i="2"/>
  <c r="L246" i="2" s="1"/>
  <c r="D246" i="2"/>
  <c r="M246" i="2" s="1"/>
  <c r="E246" i="2"/>
  <c r="N246" i="2" s="1"/>
  <c r="F246" i="2"/>
  <c r="O246" i="2" s="1"/>
  <c r="G246" i="2"/>
  <c r="P246" i="2" s="1"/>
  <c r="H246" i="2"/>
  <c r="Q246" i="2" s="1"/>
  <c r="J246" i="2"/>
  <c r="R246" i="2"/>
  <c r="B247" i="2"/>
  <c r="K247" i="2" s="1"/>
  <c r="C247" i="2"/>
  <c r="L247" i="2" s="1"/>
  <c r="D247" i="2"/>
  <c r="M247" i="2" s="1"/>
  <c r="E247" i="2"/>
  <c r="N247" i="2" s="1"/>
  <c r="F247" i="2"/>
  <c r="O247" i="2" s="1"/>
  <c r="G247" i="2"/>
  <c r="P247" i="2" s="1"/>
  <c r="H247" i="2"/>
  <c r="Q247" i="2" s="1"/>
  <c r="J247" i="2"/>
  <c r="R247" i="2"/>
  <c r="B248" i="2"/>
  <c r="K248" i="2" s="1"/>
  <c r="C248" i="2"/>
  <c r="L248" i="2" s="1"/>
  <c r="D248" i="2"/>
  <c r="M248" i="2" s="1"/>
  <c r="E248" i="2"/>
  <c r="N248" i="2" s="1"/>
  <c r="F248" i="2"/>
  <c r="O248" i="2" s="1"/>
  <c r="G248" i="2"/>
  <c r="P248" i="2" s="1"/>
  <c r="H248" i="2"/>
  <c r="Q248" i="2" s="1"/>
  <c r="J248" i="2"/>
  <c r="R248" i="2"/>
  <c r="B249" i="2"/>
  <c r="K249" i="2" s="1"/>
  <c r="C249" i="2"/>
  <c r="L249" i="2" s="1"/>
  <c r="D249" i="2"/>
  <c r="M249" i="2" s="1"/>
  <c r="E249" i="2"/>
  <c r="N249" i="2" s="1"/>
  <c r="F249" i="2"/>
  <c r="O249" i="2" s="1"/>
  <c r="G249" i="2"/>
  <c r="P249" i="2" s="1"/>
  <c r="H249" i="2"/>
  <c r="Q249" i="2" s="1"/>
  <c r="J249" i="2"/>
  <c r="R249" i="2"/>
  <c r="B250" i="2"/>
  <c r="K250" i="2" s="1"/>
  <c r="C250" i="2"/>
  <c r="L250" i="2" s="1"/>
  <c r="D250" i="2"/>
  <c r="M250" i="2" s="1"/>
  <c r="E250" i="2"/>
  <c r="N250" i="2" s="1"/>
  <c r="F250" i="2"/>
  <c r="O250" i="2" s="1"/>
  <c r="G250" i="2"/>
  <c r="P250" i="2" s="1"/>
  <c r="H250" i="2"/>
  <c r="Q250" i="2" s="1"/>
  <c r="J250" i="2"/>
  <c r="R250" i="2"/>
  <c r="B251" i="2"/>
  <c r="K251" i="2" s="1"/>
  <c r="C251" i="2"/>
  <c r="L251" i="2" s="1"/>
  <c r="D251" i="2"/>
  <c r="M251" i="2" s="1"/>
  <c r="E251" i="2"/>
  <c r="N251" i="2" s="1"/>
  <c r="F251" i="2"/>
  <c r="O251" i="2" s="1"/>
  <c r="G251" i="2"/>
  <c r="P251" i="2" s="1"/>
  <c r="H251" i="2"/>
  <c r="Q251" i="2" s="1"/>
  <c r="J251" i="2"/>
  <c r="R251" i="2"/>
  <c r="B252" i="2"/>
  <c r="K252" i="2" s="1"/>
  <c r="C252" i="2"/>
  <c r="L252" i="2" s="1"/>
  <c r="D252" i="2"/>
  <c r="M252" i="2" s="1"/>
  <c r="E252" i="2"/>
  <c r="N252" i="2" s="1"/>
  <c r="F252" i="2"/>
  <c r="O252" i="2" s="1"/>
  <c r="G252" i="2"/>
  <c r="P252" i="2" s="1"/>
  <c r="H252" i="2"/>
  <c r="Q252" i="2" s="1"/>
  <c r="J252" i="2"/>
  <c r="R252" i="2"/>
  <c r="B253" i="2"/>
  <c r="K253" i="2" s="1"/>
  <c r="C253" i="2"/>
  <c r="L253" i="2" s="1"/>
  <c r="D253" i="2"/>
  <c r="M253" i="2" s="1"/>
  <c r="E253" i="2"/>
  <c r="N253" i="2" s="1"/>
  <c r="F253" i="2"/>
  <c r="O253" i="2" s="1"/>
  <c r="G253" i="2"/>
  <c r="P253" i="2" s="1"/>
  <c r="H253" i="2"/>
  <c r="Q253" i="2" s="1"/>
  <c r="J253" i="2"/>
  <c r="R253" i="2"/>
  <c r="B254" i="2"/>
  <c r="K254" i="2" s="1"/>
  <c r="C254" i="2"/>
  <c r="L254" i="2" s="1"/>
  <c r="D254" i="2"/>
  <c r="M254" i="2" s="1"/>
  <c r="E254" i="2"/>
  <c r="N254" i="2" s="1"/>
  <c r="F254" i="2"/>
  <c r="O254" i="2" s="1"/>
  <c r="G254" i="2"/>
  <c r="P254" i="2" s="1"/>
  <c r="H254" i="2"/>
  <c r="Q254" i="2" s="1"/>
  <c r="J254" i="2"/>
  <c r="R254" i="2"/>
  <c r="B255" i="2"/>
  <c r="K255" i="2" s="1"/>
  <c r="C255" i="2"/>
  <c r="L255" i="2" s="1"/>
  <c r="D255" i="2"/>
  <c r="M255" i="2" s="1"/>
  <c r="E255" i="2"/>
  <c r="N255" i="2" s="1"/>
  <c r="F255" i="2"/>
  <c r="O255" i="2" s="1"/>
  <c r="G255" i="2"/>
  <c r="P255" i="2" s="1"/>
  <c r="H255" i="2"/>
  <c r="Q255" i="2" s="1"/>
  <c r="J255" i="2"/>
  <c r="R255" i="2"/>
  <c r="B256" i="2"/>
  <c r="K256" i="2" s="1"/>
  <c r="C256" i="2"/>
  <c r="L256" i="2" s="1"/>
  <c r="D256" i="2"/>
  <c r="M256" i="2" s="1"/>
  <c r="E256" i="2"/>
  <c r="N256" i="2" s="1"/>
  <c r="F256" i="2"/>
  <c r="O256" i="2" s="1"/>
  <c r="G256" i="2"/>
  <c r="P256" i="2" s="1"/>
  <c r="H256" i="2"/>
  <c r="Q256" i="2" s="1"/>
  <c r="J256" i="2"/>
  <c r="R256" i="2"/>
  <c r="B257" i="2"/>
  <c r="K257" i="2" s="1"/>
  <c r="C257" i="2"/>
  <c r="L257" i="2" s="1"/>
  <c r="D257" i="2"/>
  <c r="M257" i="2" s="1"/>
  <c r="E257" i="2"/>
  <c r="N257" i="2" s="1"/>
  <c r="F257" i="2"/>
  <c r="O257" i="2" s="1"/>
  <c r="G257" i="2"/>
  <c r="P257" i="2" s="1"/>
  <c r="H257" i="2"/>
  <c r="Q257" i="2" s="1"/>
  <c r="J257" i="2"/>
  <c r="R257" i="2"/>
  <c r="B258" i="2"/>
  <c r="K258" i="2" s="1"/>
  <c r="C258" i="2"/>
  <c r="L258" i="2" s="1"/>
  <c r="D258" i="2"/>
  <c r="M258" i="2" s="1"/>
  <c r="E258" i="2"/>
  <c r="N258" i="2" s="1"/>
  <c r="F258" i="2"/>
  <c r="O258" i="2" s="1"/>
  <c r="G258" i="2"/>
  <c r="P258" i="2" s="1"/>
  <c r="H258" i="2"/>
  <c r="Q258" i="2" s="1"/>
  <c r="J258" i="2"/>
  <c r="R258" i="2"/>
  <c r="B259" i="2"/>
  <c r="K259" i="2" s="1"/>
  <c r="C259" i="2"/>
  <c r="L259" i="2" s="1"/>
  <c r="D259" i="2"/>
  <c r="M259" i="2" s="1"/>
  <c r="E259" i="2"/>
  <c r="N259" i="2" s="1"/>
  <c r="F259" i="2"/>
  <c r="O259" i="2" s="1"/>
  <c r="G259" i="2"/>
  <c r="P259" i="2" s="1"/>
  <c r="H259" i="2"/>
  <c r="Q259" i="2" s="1"/>
  <c r="J259" i="2"/>
  <c r="R259" i="2"/>
  <c r="B260" i="2"/>
  <c r="K260" i="2" s="1"/>
  <c r="C260" i="2"/>
  <c r="L260" i="2" s="1"/>
  <c r="D260" i="2"/>
  <c r="M260" i="2" s="1"/>
  <c r="E260" i="2"/>
  <c r="N260" i="2" s="1"/>
  <c r="F260" i="2"/>
  <c r="O260" i="2" s="1"/>
  <c r="G260" i="2"/>
  <c r="P260" i="2" s="1"/>
  <c r="H260" i="2"/>
  <c r="Q260" i="2" s="1"/>
  <c r="J260" i="2"/>
  <c r="R260" i="2"/>
  <c r="B261" i="2"/>
  <c r="K261" i="2" s="1"/>
  <c r="C261" i="2"/>
  <c r="L261" i="2" s="1"/>
  <c r="D261" i="2"/>
  <c r="M261" i="2" s="1"/>
  <c r="E261" i="2"/>
  <c r="N261" i="2" s="1"/>
  <c r="F261" i="2"/>
  <c r="O261" i="2" s="1"/>
  <c r="G261" i="2"/>
  <c r="P261" i="2" s="1"/>
  <c r="H261" i="2"/>
  <c r="Q261" i="2" s="1"/>
  <c r="J261" i="2"/>
  <c r="R261" i="2"/>
  <c r="B262" i="2"/>
  <c r="K262" i="2" s="1"/>
  <c r="C262" i="2"/>
  <c r="L262" i="2" s="1"/>
  <c r="D262" i="2"/>
  <c r="M262" i="2" s="1"/>
  <c r="E262" i="2"/>
  <c r="N262" i="2" s="1"/>
  <c r="F262" i="2"/>
  <c r="O262" i="2" s="1"/>
  <c r="G262" i="2"/>
  <c r="P262" i="2" s="1"/>
  <c r="H262" i="2"/>
  <c r="Q262" i="2" s="1"/>
  <c r="J262" i="2"/>
  <c r="R262" i="2"/>
  <c r="B263" i="2"/>
  <c r="K263" i="2" s="1"/>
  <c r="C263" i="2"/>
  <c r="L263" i="2" s="1"/>
  <c r="D263" i="2"/>
  <c r="M263" i="2" s="1"/>
  <c r="E263" i="2"/>
  <c r="N263" i="2" s="1"/>
  <c r="F263" i="2"/>
  <c r="O263" i="2" s="1"/>
  <c r="G263" i="2"/>
  <c r="P263" i="2" s="1"/>
  <c r="H263" i="2"/>
  <c r="Q263" i="2" s="1"/>
  <c r="J263" i="2"/>
  <c r="R263" i="2"/>
  <c r="B264" i="2"/>
  <c r="K264" i="2" s="1"/>
  <c r="C264" i="2"/>
  <c r="L264" i="2" s="1"/>
  <c r="D264" i="2"/>
  <c r="M264" i="2" s="1"/>
  <c r="E264" i="2"/>
  <c r="N264" i="2" s="1"/>
  <c r="F264" i="2"/>
  <c r="O264" i="2" s="1"/>
  <c r="G264" i="2"/>
  <c r="P264" i="2" s="1"/>
  <c r="H264" i="2"/>
  <c r="Q264" i="2" s="1"/>
  <c r="J264" i="2"/>
  <c r="R264" i="2"/>
  <c r="B265" i="2"/>
  <c r="K265" i="2" s="1"/>
  <c r="C265" i="2"/>
  <c r="L265" i="2" s="1"/>
  <c r="D265" i="2"/>
  <c r="M265" i="2" s="1"/>
  <c r="E265" i="2"/>
  <c r="N265" i="2" s="1"/>
  <c r="F265" i="2"/>
  <c r="O265" i="2" s="1"/>
  <c r="G265" i="2"/>
  <c r="P265" i="2" s="1"/>
  <c r="H265" i="2"/>
  <c r="Q265" i="2" s="1"/>
  <c r="J265" i="2"/>
  <c r="R265" i="2"/>
  <c r="B266" i="2"/>
  <c r="K266" i="2" s="1"/>
  <c r="C266" i="2"/>
  <c r="L266" i="2" s="1"/>
  <c r="D266" i="2"/>
  <c r="M266" i="2" s="1"/>
  <c r="E266" i="2"/>
  <c r="N266" i="2" s="1"/>
  <c r="F266" i="2"/>
  <c r="O266" i="2" s="1"/>
  <c r="G266" i="2"/>
  <c r="P266" i="2" s="1"/>
  <c r="H266" i="2"/>
  <c r="Q266" i="2" s="1"/>
  <c r="J266" i="2"/>
  <c r="R266" i="2"/>
  <c r="B267" i="2"/>
  <c r="K267" i="2" s="1"/>
  <c r="C267" i="2"/>
  <c r="L267" i="2" s="1"/>
  <c r="D267" i="2"/>
  <c r="M267" i="2" s="1"/>
  <c r="E267" i="2"/>
  <c r="N267" i="2" s="1"/>
  <c r="F267" i="2"/>
  <c r="O267" i="2" s="1"/>
  <c r="G267" i="2"/>
  <c r="P267" i="2" s="1"/>
  <c r="H267" i="2"/>
  <c r="Q267" i="2" s="1"/>
  <c r="J267" i="2"/>
  <c r="R267" i="2"/>
  <c r="B268" i="2"/>
  <c r="K268" i="2" s="1"/>
  <c r="C268" i="2"/>
  <c r="L268" i="2" s="1"/>
  <c r="D268" i="2"/>
  <c r="M268" i="2" s="1"/>
  <c r="E268" i="2"/>
  <c r="N268" i="2" s="1"/>
  <c r="F268" i="2"/>
  <c r="O268" i="2" s="1"/>
  <c r="G268" i="2"/>
  <c r="P268" i="2" s="1"/>
  <c r="H268" i="2"/>
  <c r="Q268" i="2" s="1"/>
  <c r="J268" i="2"/>
  <c r="R268" i="2"/>
  <c r="B269" i="2"/>
  <c r="K269" i="2" s="1"/>
  <c r="C269" i="2"/>
  <c r="L269" i="2" s="1"/>
  <c r="D269" i="2"/>
  <c r="M269" i="2" s="1"/>
  <c r="E269" i="2"/>
  <c r="N269" i="2" s="1"/>
  <c r="F269" i="2"/>
  <c r="O269" i="2" s="1"/>
  <c r="G269" i="2"/>
  <c r="P269" i="2" s="1"/>
  <c r="H269" i="2"/>
  <c r="Q269" i="2" s="1"/>
  <c r="J269" i="2"/>
  <c r="R269" i="2"/>
  <c r="B270" i="2"/>
  <c r="K270" i="2" s="1"/>
  <c r="C270" i="2"/>
  <c r="L270" i="2" s="1"/>
  <c r="D270" i="2"/>
  <c r="M270" i="2" s="1"/>
  <c r="E270" i="2"/>
  <c r="N270" i="2" s="1"/>
  <c r="F270" i="2"/>
  <c r="O270" i="2" s="1"/>
  <c r="G270" i="2"/>
  <c r="P270" i="2" s="1"/>
  <c r="H270" i="2"/>
  <c r="Q270" i="2" s="1"/>
  <c r="J270" i="2"/>
  <c r="R270" i="2"/>
  <c r="B271" i="2"/>
  <c r="K271" i="2" s="1"/>
  <c r="C271" i="2"/>
  <c r="L271" i="2" s="1"/>
  <c r="D271" i="2"/>
  <c r="M271" i="2" s="1"/>
  <c r="E271" i="2"/>
  <c r="N271" i="2" s="1"/>
  <c r="F271" i="2"/>
  <c r="O271" i="2" s="1"/>
  <c r="G271" i="2"/>
  <c r="P271" i="2" s="1"/>
  <c r="H271" i="2"/>
  <c r="Q271" i="2" s="1"/>
  <c r="J271" i="2"/>
  <c r="R271" i="2"/>
  <c r="B272" i="2"/>
  <c r="K272" i="2" s="1"/>
  <c r="C272" i="2"/>
  <c r="L272" i="2" s="1"/>
  <c r="D272" i="2"/>
  <c r="M272" i="2" s="1"/>
  <c r="E272" i="2"/>
  <c r="N272" i="2" s="1"/>
  <c r="F272" i="2"/>
  <c r="O272" i="2" s="1"/>
  <c r="G272" i="2"/>
  <c r="P272" i="2" s="1"/>
  <c r="H272" i="2"/>
  <c r="Q272" i="2" s="1"/>
  <c r="J272" i="2"/>
  <c r="R272" i="2"/>
  <c r="B273" i="2"/>
  <c r="K273" i="2" s="1"/>
  <c r="C273" i="2"/>
  <c r="D273" i="2"/>
  <c r="M273" i="2" s="1"/>
  <c r="E273" i="2"/>
  <c r="N273" i="2" s="1"/>
  <c r="F273" i="2"/>
  <c r="O273" i="2" s="1"/>
  <c r="G273" i="2"/>
  <c r="P273" i="2" s="1"/>
  <c r="H273" i="2"/>
  <c r="Q273" i="2" s="1"/>
  <c r="J273" i="2"/>
  <c r="L273" i="2"/>
  <c r="R273" i="2"/>
  <c r="B274" i="2"/>
  <c r="K274" i="2" s="1"/>
  <c r="C274" i="2"/>
  <c r="L274" i="2" s="1"/>
  <c r="D274" i="2"/>
  <c r="M274" i="2" s="1"/>
  <c r="E274" i="2"/>
  <c r="N274" i="2" s="1"/>
  <c r="F274" i="2"/>
  <c r="O274" i="2" s="1"/>
  <c r="G274" i="2"/>
  <c r="P274" i="2" s="1"/>
  <c r="H274" i="2"/>
  <c r="Q274" i="2" s="1"/>
  <c r="J274" i="2"/>
  <c r="R274" i="2"/>
  <c r="B275" i="2"/>
  <c r="K275" i="2" s="1"/>
  <c r="C275" i="2"/>
  <c r="L275" i="2" s="1"/>
  <c r="D275" i="2"/>
  <c r="M275" i="2" s="1"/>
  <c r="E275" i="2"/>
  <c r="N275" i="2" s="1"/>
  <c r="F275" i="2"/>
  <c r="O275" i="2" s="1"/>
  <c r="G275" i="2"/>
  <c r="P275" i="2" s="1"/>
  <c r="H275" i="2"/>
  <c r="Q275" i="2" s="1"/>
  <c r="J275" i="2"/>
  <c r="R275" i="2"/>
  <c r="B276" i="2"/>
  <c r="K276" i="2" s="1"/>
  <c r="C276" i="2"/>
  <c r="L276" i="2" s="1"/>
  <c r="D276" i="2"/>
  <c r="M276" i="2" s="1"/>
  <c r="E276" i="2"/>
  <c r="N276" i="2" s="1"/>
  <c r="F276" i="2"/>
  <c r="O276" i="2" s="1"/>
  <c r="G276" i="2"/>
  <c r="P276" i="2" s="1"/>
  <c r="H276" i="2"/>
  <c r="Q276" i="2" s="1"/>
  <c r="J276" i="2"/>
  <c r="R276" i="2"/>
  <c r="B277" i="2"/>
  <c r="K277" i="2" s="1"/>
  <c r="C277" i="2"/>
  <c r="L277" i="2" s="1"/>
  <c r="D277" i="2"/>
  <c r="M277" i="2" s="1"/>
  <c r="E277" i="2"/>
  <c r="N277" i="2" s="1"/>
  <c r="F277" i="2"/>
  <c r="O277" i="2" s="1"/>
  <c r="G277" i="2"/>
  <c r="P277" i="2" s="1"/>
  <c r="H277" i="2"/>
  <c r="Q277" i="2" s="1"/>
  <c r="J277" i="2"/>
  <c r="R277" i="2"/>
  <c r="B278" i="2"/>
  <c r="K278" i="2" s="1"/>
  <c r="C278" i="2"/>
  <c r="L278" i="2" s="1"/>
  <c r="D278" i="2"/>
  <c r="M278" i="2" s="1"/>
  <c r="E278" i="2"/>
  <c r="N278" i="2" s="1"/>
  <c r="F278" i="2"/>
  <c r="O278" i="2" s="1"/>
  <c r="G278" i="2"/>
  <c r="P278" i="2" s="1"/>
  <c r="H278" i="2"/>
  <c r="Q278" i="2" s="1"/>
  <c r="J278" i="2"/>
  <c r="R278" i="2"/>
  <c r="B279" i="2"/>
  <c r="C279" i="2"/>
  <c r="L279" i="2" s="1"/>
  <c r="D279" i="2"/>
  <c r="M279" i="2" s="1"/>
  <c r="E279" i="2"/>
  <c r="N279" i="2" s="1"/>
  <c r="F279" i="2"/>
  <c r="O279" i="2" s="1"/>
  <c r="G279" i="2"/>
  <c r="P279" i="2" s="1"/>
  <c r="H279" i="2"/>
  <c r="Q279" i="2" s="1"/>
  <c r="J279" i="2"/>
  <c r="K279" i="2"/>
  <c r="R279" i="2"/>
  <c r="B280" i="2"/>
  <c r="K280" i="2" s="1"/>
  <c r="C280" i="2"/>
  <c r="L280" i="2" s="1"/>
  <c r="D280" i="2"/>
  <c r="M280" i="2" s="1"/>
  <c r="E280" i="2"/>
  <c r="N280" i="2" s="1"/>
  <c r="F280" i="2"/>
  <c r="O280" i="2" s="1"/>
  <c r="G280" i="2"/>
  <c r="P280" i="2" s="1"/>
  <c r="H280" i="2"/>
  <c r="Q280" i="2" s="1"/>
  <c r="J280" i="2"/>
  <c r="R280" i="2"/>
  <c r="B281" i="2"/>
  <c r="K281" i="2" s="1"/>
  <c r="C281" i="2"/>
  <c r="L281" i="2" s="1"/>
  <c r="D281" i="2"/>
  <c r="M281" i="2" s="1"/>
  <c r="E281" i="2"/>
  <c r="N281" i="2" s="1"/>
  <c r="F281" i="2"/>
  <c r="O281" i="2" s="1"/>
  <c r="G281" i="2"/>
  <c r="P281" i="2" s="1"/>
  <c r="H281" i="2"/>
  <c r="Q281" i="2" s="1"/>
  <c r="J281" i="2"/>
  <c r="R281" i="2"/>
  <c r="B282" i="2"/>
  <c r="K282" i="2" s="1"/>
  <c r="C282" i="2"/>
  <c r="L282" i="2" s="1"/>
  <c r="D282" i="2"/>
  <c r="M282" i="2" s="1"/>
  <c r="E282" i="2"/>
  <c r="N282" i="2" s="1"/>
  <c r="F282" i="2"/>
  <c r="O282" i="2" s="1"/>
  <c r="G282" i="2"/>
  <c r="P282" i="2" s="1"/>
  <c r="H282" i="2"/>
  <c r="Q282" i="2" s="1"/>
  <c r="J282" i="2"/>
  <c r="R282" i="2"/>
  <c r="B283" i="2"/>
  <c r="K283" i="2" s="1"/>
  <c r="C283" i="2"/>
  <c r="L283" i="2" s="1"/>
  <c r="D283" i="2"/>
  <c r="M283" i="2" s="1"/>
  <c r="E283" i="2"/>
  <c r="N283" i="2" s="1"/>
  <c r="F283" i="2"/>
  <c r="O283" i="2" s="1"/>
  <c r="G283" i="2"/>
  <c r="P283" i="2" s="1"/>
  <c r="H283" i="2"/>
  <c r="Q283" i="2" s="1"/>
  <c r="J283" i="2"/>
  <c r="R283" i="2"/>
  <c r="B284" i="2"/>
  <c r="K284" i="2" s="1"/>
  <c r="C284" i="2"/>
  <c r="L284" i="2" s="1"/>
  <c r="D284" i="2"/>
  <c r="M284" i="2" s="1"/>
  <c r="E284" i="2"/>
  <c r="N284" i="2" s="1"/>
  <c r="F284" i="2"/>
  <c r="O284" i="2" s="1"/>
  <c r="G284" i="2"/>
  <c r="P284" i="2" s="1"/>
  <c r="H284" i="2"/>
  <c r="Q284" i="2" s="1"/>
  <c r="J284" i="2"/>
  <c r="R284" i="2"/>
  <c r="B285" i="2"/>
  <c r="K285" i="2" s="1"/>
  <c r="C285" i="2"/>
  <c r="L285" i="2" s="1"/>
  <c r="D285" i="2"/>
  <c r="M285" i="2" s="1"/>
  <c r="E285" i="2"/>
  <c r="N285" i="2" s="1"/>
  <c r="F285" i="2"/>
  <c r="O285" i="2" s="1"/>
  <c r="G285" i="2"/>
  <c r="P285" i="2" s="1"/>
  <c r="H285" i="2"/>
  <c r="Q285" i="2" s="1"/>
  <c r="J285" i="2"/>
  <c r="R285" i="2"/>
  <c r="B286" i="2"/>
  <c r="K286" i="2" s="1"/>
  <c r="C286" i="2"/>
  <c r="L286" i="2" s="1"/>
  <c r="D286" i="2"/>
  <c r="M286" i="2" s="1"/>
  <c r="E286" i="2"/>
  <c r="N286" i="2" s="1"/>
  <c r="F286" i="2"/>
  <c r="O286" i="2" s="1"/>
  <c r="G286" i="2"/>
  <c r="P286" i="2" s="1"/>
  <c r="H286" i="2"/>
  <c r="Q286" i="2" s="1"/>
  <c r="J286" i="2"/>
  <c r="R286" i="2"/>
  <c r="B287" i="2"/>
  <c r="K287" i="2" s="1"/>
  <c r="C287" i="2"/>
  <c r="L287" i="2" s="1"/>
  <c r="D287" i="2"/>
  <c r="M287" i="2" s="1"/>
  <c r="E287" i="2"/>
  <c r="N287" i="2" s="1"/>
  <c r="F287" i="2"/>
  <c r="O287" i="2" s="1"/>
  <c r="G287" i="2"/>
  <c r="P287" i="2" s="1"/>
  <c r="H287" i="2"/>
  <c r="Q287" i="2" s="1"/>
  <c r="J287" i="2"/>
  <c r="R287" i="2"/>
  <c r="B288" i="2"/>
  <c r="K288" i="2" s="1"/>
  <c r="C288" i="2"/>
  <c r="L288" i="2" s="1"/>
  <c r="D288" i="2"/>
  <c r="M288" i="2" s="1"/>
  <c r="E288" i="2"/>
  <c r="N288" i="2" s="1"/>
  <c r="F288" i="2"/>
  <c r="O288" i="2" s="1"/>
  <c r="G288" i="2"/>
  <c r="P288" i="2" s="1"/>
  <c r="H288" i="2"/>
  <c r="Q288" i="2" s="1"/>
  <c r="J288" i="2"/>
  <c r="R288" i="2"/>
  <c r="B289" i="2"/>
  <c r="K289" i="2" s="1"/>
  <c r="C289" i="2"/>
  <c r="L289" i="2" s="1"/>
  <c r="D289" i="2"/>
  <c r="M289" i="2" s="1"/>
  <c r="E289" i="2"/>
  <c r="N289" i="2" s="1"/>
  <c r="F289" i="2"/>
  <c r="O289" i="2" s="1"/>
  <c r="G289" i="2"/>
  <c r="P289" i="2" s="1"/>
  <c r="H289" i="2"/>
  <c r="Q289" i="2" s="1"/>
  <c r="J289" i="2"/>
  <c r="R289" i="2"/>
  <c r="B290" i="2"/>
  <c r="K290" i="2" s="1"/>
  <c r="C290" i="2"/>
  <c r="L290" i="2" s="1"/>
  <c r="D290" i="2"/>
  <c r="M290" i="2" s="1"/>
  <c r="E290" i="2"/>
  <c r="N290" i="2" s="1"/>
  <c r="F290" i="2"/>
  <c r="O290" i="2" s="1"/>
  <c r="G290" i="2"/>
  <c r="P290" i="2" s="1"/>
  <c r="H290" i="2"/>
  <c r="Q290" i="2" s="1"/>
  <c r="J290" i="2"/>
  <c r="R290" i="2"/>
  <c r="B291" i="2"/>
  <c r="K291" i="2" s="1"/>
  <c r="C291" i="2"/>
  <c r="L291" i="2" s="1"/>
  <c r="D291" i="2"/>
  <c r="M291" i="2" s="1"/>
  <c r="E291" i="2"/>
  <c r="N291" i="2" s="1"/>
  <c r="F291" i="2"/>
  <c r="O291" i="2" s="1"/>
  <c r="G291" i="2"/>
  <c r="P291" i="2" s="1"/>
  <c r="H291" i="2"/>
  <c r="Q291" i="2" s="1"/>
  <c r="J291" i="2"/>
  <c r="R291" i="2"/>
  <c r="B292" i="2"/>
  <c r="K292" i="2" s="1"/>
  <c r="C292" i="2"/>
  <c r="L292" i="2" s="1"/>
  <c r="D292" i="2"/>
  <c r="M292" i="2" s="1"/>
  <c r="E292" i="2"/>
  <c r="N292" i="2" s="1"/>
  <c r="F292" i="2"/>
  <c r="O292" i="2" s="1"/>
  <c r="G292" i="2"/>
  <c r="P292" i="2" s="1"/>
  <c r="H292" i="2"/>
  <c r="Q292" i="2" s="1"/>
  <c r="J292" i="2"/>
  <c r="R292" i="2"/>
  <c r="B293" i="2"/>
  <c r="K293" i="2" s="1"/>
  <c r="C293" i="2"/>
  <c r="L293" i="2" s="1"/>
  <c r="D293" i="2"/>
  <c r="M293" i="2" s="1"/>
  <c r="E293" i="2"/>
  <c r="N293" i="2" s="1"/>
  <c r="F293" i="2"/>
  <c r="O293" i="2" s="1"/>
  <c r="G293" i="2"/>
  <c r="P293" i="2" s="1"/>
  <c r="H293" i="2"/>
  <c r="Q293" i="2" s="1"/>
  <c r="J293" i="2"/>
  <c r="R293" i="2"/>
  <c r="B294" i="2"/>
  <c r="K294" i="2" s="1"/>
  <c r="C294" i="2"/>
  <c r="L294" i="2" s="1"/>
  <c r="D294" i="2"/>
  <c r="M294" i="2" s="1"/>
  <c r="E294" i="2"/>
  <c r="N294" i="2" s="1"/>
  <c r="F294" i="2"/>
  <c r="O294" i="2" s="1"/>
  <c r="G294" i="2"/>
  <c r="P294" i="2" s="1"/>
  <c r="H294" i="2"/>
  <c r="Q294" i="2" s="1"/>
  <c r="J294" i="2"/>
  <c r="R294" i="2"/>
  <c r="B295" i="2"/>
  <c r="K295" i="2" s="1"/>
  <c r="C295" i="2"/>
  <c r="L295" i="2" s="1"/>
  <c r="D295" i="2"/>
  <c r="M295" i="2" s="1"/>
  <c r="E295" i="2"/>
  <c r="N295" i="2" s="1"/>
  <c r="F295" i="2"/>
  <c r="O295" i="2" s="1"/>
  <c r="G295" i="2"/>
  <c r="P295" i="2" s="1"/>
  <c r="H295" i="2"/>
  <c r="Q295" i="2" s="1"/>
  <c r="J295" i="2"/>
  <c r="R295" i="2"/>
  <c r="B296" i="2"/>
  <c r="K296" i="2" s="1"/>
  <c r="C296" i="2"/>
  <c r="L296" i="2" s="1"/>
  <c r="D296" i="2"/>
  <c r="M296" i="2" s="1"/>
  <c r="E296" i="2"/>
  <c r="N296" i="2" s="1"/>
  <c r="F296" i="2"/>
  <c r="O296" i="2" s="1"/>
  <c r="G296" i="2"/>
  <c r="P296" i="2" s="1"/>
  <c r="H296" i="2"/>
  <c r="Q296" i="2" s="1"/>
  <c r="J296" i="2"/>
  <c r="R296" i="2"/>
  <c r="B297" i="2"/>
  <c r="K297" i="2" s="1"/>
  <c r="C297" i="2"/>
  <c r="L297" i="2" s="1"/>
  <c r="D297" i="2"/>
  <c r="M297" i="2" s="1"/>
  <c r="E297" i="2"/>
  <c r="N297" i="2" s="1"/>
  <c r="F297" i="2"/>
  <c r="O297" i="2" s="1"/>
  <c r="G297" i="2"/>
  <c r="P297" i="2" s="1"/>
  <c r="H297" i="2"/>
  <c r="Q297" i="2" s="1"/>
  <c r="J297" i="2"/>
  <c r="R297" i="2"/>
  <c r="B298" i="2"/>
  <c r="K298" i="2" s="1"/>
  <c r="C298" i="2"/>
  <c r="L298" i="2" s="1"/>
  <c r="D298" i="2"/>
  <c r="M298" i="2" s="1"/>
  <c r="E298" i="2"/>
  <c r="N298" i="2" s="1"/>
  <c r="F298" i="2"/>
  <c r="O298" i="2" s="1"/>
  <c r="G298" i="2"/>
  <c r="P298" i="2" s="1"/>
  <c r="H298" i="2"/>
  <c r="Q298" i="2" s="1"/>
  <c r="J298" i="2"/>
  <c r="R298" i="2"/>
  <c r="B299" i="2"/>
  <c r="K299" i="2" s="1"/>
  <c r="C299" i="2"/>
  <c r="L299" i="2" s="1"/>
  <c r="D299" i="2"/>
  <c r="M299" i="2" s="1"/>
  <c r="E299" i="2"/>
  <c r="N299" i="2" s="1"/>
  <c r="F299" i="2"/>
  <c r="O299" i="2" s="1"/>
  <c r="G299" i="2"/>
  <c r="P299" i="2" s="1"/>
  <c r="H299" i="2"/>
  <c r="Q299" i="2" s="1"/>
  <c r="J299" i="2"/>
  <c r="R299" i="2"/>
  <c r="B300" i="2"/>
  <c r="K300" i="2" s="1"/>
  <c r="C300" i="2"/>
  <c r="L300" i="2" s="1"/>
  <c r="D300" i="2"/>
  <c r="M300" i="2" s="1"/>
  <c r="E300" i="2"/>
  <c r="N300" i="2" s="1"/>
  <c r="F300" i="2"/>
  <c r="O300" i="2" s="1"/>
  <c r="G300" i="2"/>
  <c r="P300" i="2" s="1"/>
  <c r="H300" i="2"/>
  <c r="Q300" i="2" s="1"/>
  <c r="J300" i="2"/>
  <c r="R300" i="2"/>
  <c r="B301" i="2"/>
  <c r="K301" i="2" s="1"/>
  <c r="C301" i="2"/>
  <c r="L301" i="2" s="1"/>
  <c r="D301" i="2"/>
  <c r="M301" i="2" s="1"/>
  <c r="E301" i="2"/>
  <c r="N301" i="2" s="1"/>
  <c r="F301" i="2"/>
  <c r="O301" i="2" s="1"/>
  <c r="G301" i="2"/>
  <c r="P301" i="2" s="1"/>
  <c r="H301" i="2"/>
  <c r="Q301" i="2" s="1"/>
  <c r="J301" i="2"/>
  <c r="R301" i="2"/>
  <c r="B302" i="2"/>
  <c r="K302" i="2" s="1"/>
  <c r="C302" i="2"/>
  <c r="L302" i="2" s="1"/>
  <c r="D302" i="2"/>
  <c r="M302" i="2" s="1"/>
  <c r="E302" i="2"/>
  <c r="N302" i="2" s="1"/>
  <c r="F302" i="2"/>
  <c r="O302" i="2" s="1"/>
  <c r="G302" i="2"/>
  <c r="P302" i="2" s="1"/>
  <c r="H302" i="2"/>
  <c r="Q302" i="2" s="1"/>
  <c r="J302" i="2"/>
  <c r="R302" i="2"/>
  <c r="K1" i="1"/>
  <c r="L1" i="1"/>
  <c r="M1" i="1"/>
  <c r="N1" i="1"/>
  <c r="O1" i="1"/>
  <c r="P1" i="1"/>
  <c r="Q1" i="1"/>
  <c r="J2" i="1"/>
  <c r="K2" i="1"/>
  <c r="L2" i="1"/>
  <c r="M2" i="1"/>
  <c r="N2" i="1"/>
  <c r="O2" i="1"/>
  <c r="P2" i="1"/>
  <c r="Q2" i="1"/>
  <c r="R2" i="1"/>
  <c r="S2" i="1"/>
  <c r="J3" i="1"/>
  <c r="K3" i="1"/>
  <c r="L3" i="1"/>
  <c r="M3" i="1"/>
  <c r="N3" i="1"/>
  <c r="O3" i="1"/>
  <c r="P3" i="1"/>
  <c r="Q3" i="1"/>
  <c r="R3" i="1"/>
  <c r="S3" i="1"/>
  <c r="J4" i="1"/>
  <c r="K4" i="1"/>
  <c r="L4" i="1"/>
  <c r="M4" i="1"/>
  <c r="N4" i="1"/>
  <c r="O4" i="1"/>
  <c r="P4" i="1"/>
  <c r="Q4" i="1"/>
  <c r="R4" i="1"/>
  <c r="S4" i="1"/>
  <c r="J5" i="1"/>
  <c r="K5" i="1"/>
  <c r="L5" i="1"/>
  <c r="M5" i="1"/>
  <c r="N5" i="1"/>
  <c r="O5" i="1"/>
  <c r="P5" i="1"/>
  <c r="Q5" i="1"/>
  <c r="R5" i="1"/>
  <c r="S5" i="1"/>
  <c r="J6" i="1"/>
  <c r="K6" i="1"/>
  <c r="L6" i="1"/>
  <c r="M6" i="1"/>
  <c r="N6" i="1"/>
  <c r="O6" i="1"/>
  <c r="P6" i="1"/>
  <c r="Q6" i="1"/>
  <c r="R6" i="1"/>
  <c r="S6" i="1"/>
  <c r="J7" i="1"/>
  <c r="K7" i="1"/>
  <c r="L7" i="1"/>
  <c r="M7" i="1"/>
  <c r="N7" i="1"/>
  <c r="O7" i="1"/>
  <c r="P7" i="1"/>
  <c r="Q7" i="1"/>
  <c r="R7" i="1"/>
  <c r="S7" i="1"/>
  <c r="J8" i="1"/>
  <c r="K8" i="1"/>
  <c r="L8" i="1"/>
  <c r="M8" i="1"/>
  <c r="N8" i="1"/>
  <c r="O8" i="1"/>
  <c r="P8" i="1"/>
  <c r="Q8" i="1"/>
  <c r="R8" i="1"/>
  <c r="S8" i="1"/>
  <c r="J9" i="1"/>
  <c r="K9" i="1"/>
  <c r="L9" i="1"/>
  <c r="M9" i="1"/>
  <c r="N9" i="1"/>
  <c r="O9" i="1"/>
  <c r="P9" i="1"/>
  <c r="Q9" i="1"/>
  <c r="R9" i="1"/>
  <c r="S9" i="1"/>
  <c r="J10" i="1"/>
  <c r="K10" i="1"/>
  <c r="L10" i="1"/>
  <c r="M10" i="1"/>
  <c r="N10" i="1"/>
  <c r="O10" i="1"/>
  <c r="P10" i="1"/>
  <c r="Q10" i="1"/>
  <c r="R10" i="1"/>
  <c r="S10" i="1" s="1"/>
  <c r="J11" i="1"/>
  <c r="K11" i="1"/>
  <c r="L11" i="1"/>
  <c r="M11" i="1"/>
  <c r="N11" i="1"/>
  <c r="O11" i="1"/>
  <c r="P11" i="1"/>
  <c r="Q11" i="1"/>
  <c r="R11" i="1"/>
  <c r="J12" i="1"/>
  <c r="K12" i="1"/>
  <c r="L12" i="1"/>
  <c r="M12" i="1"/>
  <c r="N12" i="1"/>
  <c r="O12" i="1"/>
  <c r="P12" i="1"/>
  <c r="Q12" i="1"/>
  <c r="R12" i="1"/>
  <c r="S12" i="1"/>
  <c r="J13" i="1"/>
  <c r="K13" i="1"/>
  <c r="L13" i="1"/>
  <c r="M13" i="1"/>
  <c r="N13" i="1"/>
  <c r="O13" i="1"/>
  <c r="P13" i="1"/>
  <c r="Q13" i="1"/>
  <c r="R13" i="1"/>
  <c r="S13" i="1"/>
  <c r="J14" i="1"/>
  <c r="K14" i="1"/>
  <c r="L14" i="1"/>
  <c r="M14" i="1"/>
  <c r="N14" i="1"/>
  <c r="O14" i="1"/>
  <c r="P14" i="1"/>
  <c r="Q14" i="1"/>
  <c r="R14" i="1"/>
  <c r="S14" i="1"/>
  <c r="J15" i="1"/>
  <c r="K15" i="1"/>
  <c r="L15" i="1"/>
  <c r="M15" i="1"/>
  <c r="N15" i="1"/>
  <c r="O15" i="1"/>
  <c r="P15" i="1"/>
  <c r="Q15" i="1"/>
  <c r="R15" i="1"/>
  <c r="S15" i="1"/>
  <c r="J16" i="1"/>
  <c r="K16" i="1"/>
  <c r="L16" i="1"/>
  <c r="M16" i="1"/>
  <c r="N16" i="1"/>
  <c r="O16" i="1"/>
  <c r="P16" i="1"/>
  <c r="Q16" i="1"/>
  <c r="R16" i="1"/>
  <c r="S16" i="1"/>
  <c r="J17" i="1"/>
  <c r="K17" i="1"/>
  <c r="L17" i="1"/>
  <c r="M17" i="1"/>
  <c r="N17" i="1"/>
  <c r="O17" i="1"/>
  <c r="P17" i="1"/>
  <c r="Q17" i="1"/>
  <c r="R17" i="1"/>
  <c r="S17" i="1"/>
  <c r="J18" i="1"/>
  <c r="K18" i="1"/>
  <c r="L18" i="1"/>
  <c r="M18" i="1"/>
  <c r="N18" i="1"/>
  <c r="O18" i="1"/>
  <c r="P18" i="1"/>
  <c r="Q18" i="1"/>
  <c r="R18" i="1"/>
  <c r="S18" i="1"/>
  <c r="J19" i="1"/>
  <c r="K19" i="1"/>
  <c r="L19" i="1"/>
  <c r="M19" i="1"/>
  <c r="N19" i="1"/>
  <c r="O19" i="1"/>
  <c r="P19" i="1"/>
  <c r="Q19" i="1"/>
  <c r="R19" i="1"/>
  <c r="S19" i="1"/>
  <c r="J20" i="1"/>
  <c r="K20" i="1"/>
  <c r="L20" i="1"/>
  <c r="M20" i="1"/>
  <c r="N20" i="1"/>
  <c r="O20" i="1"/>
  <c r="P20" i="1"/>
  <c r="Q20" i="1"/>
  <c r="R20" i="1"/>
  <c r="S20" i="1"/>
  <c r="J21" i="1"/>
  <c r="K21" i="1"/>
  <c r="L21" i="1"/>
  <c r="M21" i="1"/>
  <c r="N21" i="1"/>
  <c r="O21" i="1"/>
  <c r="P21" i="1"/>
  <c r="Q21" i="1"/>
  <c r="R21" i="1"/>
  <c r="S21" i="1"/>
  <c r="J22" i="1"/>
  <c r="K22" i="1"/>
  <c r="L22" i="1"/>
  <c r="M22" i="1"/>
  <c r="N22" i="1"/>
  <c r="O22" i="1"/>
  <c r="P22" i="1"/>
  <c r="Q22" i="1"/>
  <c r="R22" i="1"/>
  <c r="S22" i="1"/>
  <c r="J23" i="1"/>
  <c r="K23" i="1"/>
  <c r="L23" i="1"/>
  <c r="M23" i="1"/>
  <c r="N23" i="1"/>
  <c r="O23" i="1"/>
  <c r="P23" i="1"/>
  <c r="Q23" i="1"/>
  <c r="R23" i="1"/>
  <c r="S23" i="1"/>
  <c r="J24" i="1"/>
  <c r="K24" i="1"/>
  <c r="L24" i="1"/>
  <c r="M24" i="1"/>
  <c r="N24" i="1"/>
  <c r="O24" i="1"/>
  <c r="P24" i="1"/>
  <c r="Q24" i="1"/>
  <c r="R24" i="1"/>
  <c r="S24" i="1"/>
  <c r="J25" i="1"/>
  <c r="K25" i="1"/>
  <c r="L25" i="1"/>
  <c r="M25" i="1"/>
  <c r="N25" i="1"/>
  <c r="O25" i="1"/>
  <c r="P25" i="1"/>
  <c r="Q25" i="1"/>
  <c r="R25" i="1"/>
  <c r="S25" i="1"/>
  <c r="J26" i="1"/>
  <c r="K26" i="1"/>
  <c r="L26" i="1"/>
  <c r="M26" i="1"/>
  <c r="N26" i="1"/>
  <c r="O26" i="1"/>
  <c r="P26" i="1"/>
  <c r="Q26" i="1"/>
  <c r="R26" i="1"/>
  <c r="S26" i="1"/>
  <c r="J27" i="1"/>
  <c r="K27" i="1"/>
  <c r="L27" i="1"/>
  <c r="M27" i="1"/>
  <c r="N27" i="1"/>
  <c r="O27" i="1"/>
  <c r="P27" i="1"/>
  <c r="Q27" i="1"/>
  <c r="R27" i="1"/>
  <c r="S27" i="1"/>
  <c r="J28" i="1"/>
  <c r="K28" i="1"/>
  <c r="L28" i="1"/>
  <c r="M28" i="1"/>
  <c r="N28" i="1"/>
  <c r="O28" i="1"/>
  <c r="P28" i="1"/>
  <c r="Q28" i="1"/>
  <c r="R28" i="1"/>
  <c r="S28" i="1"/>
  <c r="J29" i="1"/>
  <c r="K29" i="1"/>
  <c r="L29" i="1"/>
  <c r="M29" i="1"/>
  <c r="N29" i="1"/>
  <c r="O29" i="1"/>
  <c r="P29" i="1"/>
  <c r="Q29" i="1"/>
  <c r="R29" i="1"/>
  <c r="S29" i="1"/>
  <c r="J30" i="1"/>
  <c r="K30" i="1"/>
  <c r="L30" i="1"/>
  <c r="M30" i="1"/>
  <c r="N30" i="1"/>
  <c r="O30" i="1"/>
  <c r="P30" i="1"/>
  <c r="Q30" i="1"/>
  <c r="R30" i="1"/>
  <c r="S30" i="1"/>
  <c r="J31" i="1"/>
  <c r="K31" i="1"/>
  <c r="L31" i="1"/>
  <c r="M31" i="1"/>
  <c r="N31" i="1"/>
  <c r="O31" i="1"/>
  <c r="P31" i="1"/>
  <c r="Q31" i="1"/>
  <c r="R31" i="1"/>
  <c r="S31" i="1"/>
  <c r="J32" i="1"/>
  <c r="K32" i="1"/>
  <c r="L32" i="1"/>
  <c r="M32" i="1"/>
  <c r="N32" i="1"/>
  <c r="O32" i="1"/>
  <c r="P32" i="1"/>
  <c r="Q32" i="1"/>
  <c r="R32" i="1"/>
  <c r="S32" i="1"/>
  <c r="J33" i="1"/>
  <c r="K33" i="1"/>
  <c r="L33" i="1"/>
  <c r="M33" i="1"/>
  <c r="N33" i="1"/>
  <c r="O33" i="1"/>
  <c r="P33" i="1"/>
  <c r="Q33" i="1"/>
  <c r="R33" i="1"/>
  <c r="S33" i="1"/>
  <c r="J34" i="1"/>
  <c r="K34" i="1"/>
  <c r="L34" i="1"/>
  <c r="M34" i="1"/>
  <c r="N34" i="1"/>
  <c r="O34" i="1"/>
  <c r="P34" i="1"/>
  <c r="Q34" i="1"/>
  <c r="R34" i="1"/>
  <c r="S34" i="1"/>
  <c r="J35" i="1"/>
  <c r="K35" i="1"/>
  <c r="L35" i="1"/>
  <c r="M35" i="1"/>
  <c r="N35" i="1"/>
  <c r="O35" i="1"/>
  <c r="P35" i="1"/>
  <c r="Q35" i="1"/>
  <c r="R35" i="1"/>
  <c r="S35" i="1"/>
  <c r="J36" i="1"/>
  <c r="K36" i="1"/>
  <c r="L36" i="1"/>
  <c r="M36" i="1"/>
  <c r="N36" i="1"/>
  <c r="O36" i="1"/>
  <c r="P36" i="1"/>
  <c r="Q36" i="1"/>
  <c r="R36" i="1"/>
  <c r="S36" i="1"/>
  <c r="J37" i="1"/>
  <c r="K37" i="1"/>
  <c r="L37" i="1"/>
  <c r="M37" i="1"/>
  <c r="N37" i="1"/>
  <c r="O37" i="1"/>
  <c r="P37" i="1"/>
  <c r="Q37" i="1"/>
  <c r="R37" i="1"/>
  <c r="S37" i="1"/>
  <c r="J38" i="1"/>
  <c r="K38" i="1"/>
  <c r="L38" i="1"/>
  <c r="M38" i="1"/>
  <c r="N38" i="1"/>
  <c r="O38" i="1"/>
  <c r="P38" i="1"/>
  <c r="Q38" i="1"/>
  <c r="R38" i="1"/>
  <c r="S38" i="1"/>
  <c r="J39" i="1"/>
  <c r="K39" i="1"/>
  <c r="L39" i="1"/>
  <c r="M39" i="1"/>
  <c r="N39" i="1"/>
  <c r="O39" i="1"/>
  <c r="P39" i="1"/>
  <c r="Q39" i="1"/>
  <c r="R39" i="1"/>
  <c r="S39" i="1"/>
  <c r="J40" i="1"/>
  <c r="K40" i="1"/>
  <c r="L40" i="1"/>
  <c r="M40" i="1"/>
  <c r="N40" i="1"/>
  <c r="O40" i="1"/>
  <c r="P40" i="1"/>
  <c r="Q40" i="1"/>
  <c r="R40" i="1"/>
  <c r="S40" i="1"/>
  <c r="J41" i="1"/>
  <c r="K41" i="1"/>
  <c r="L41" i="1"/>
  <c r="M41" i="1"/>
  <c r="N41" i="1"/>
  <c r="O41" i="1"/>
  <c r="P41" i="1"/>
  <c r="Q41" i="1"/>
  <c r="R41" i="1"/>
  <c r="S41" i="1"/>
  <c r="J42" i="1"/>
  <c r="K42" i="1"/>
  <c r="L42" i="1"/>
  <c r="M42" i="1"/>
  <c r="N42" i="1"/>
  <c r="O42" i="1"/>
  <c r="P42" i="1"/>
  <c r="Q42" i="1"/>
  <c r="R42" i="1"/>
  <c r="S42" i="1"/>
  <c r="J43" i="1"/>
  <c r="K43" i="1"/>
  <c r="L43" i="1"/>
  <c r="M43" i="1"/>
  <c r="N43" i="1"/>
  <c r="O43" i="1"/>
  <c r="P43" i="1"/>
  <c r="Q43" i="1"/>
  <c r="R43" i="1"/>
  <c r="S43" i="1"/>
  <c r="J44" i="1"/>
  <c r="K44" i="1"/>
  <c r="L44" i="1"/>
  <c r="M44" i="1"/>
  <c r="N44" i="1"/>
  <c r="O44" i="1"/>
  <c r="P44" i="1"/>
  <c r="Q44" i="1"/>
  <c r="R44" i="1"/>
  <c r="S44" i="1"/>
  <c r="J45" i="1"/>
  <c r="K45" i="1"/>
  <c r="L45" i="1"/>
  <c r="M45" i="1"/>
  <c r="N45" i="1"/>
  <c r="O45" i="1"/>
  <c r="P45" i="1"/>
  <c r="Q45" i="1"/>
  <c r="R45" i="1"/>
  <c r="S45" i="1"/>
  <c r="J46" i="1"/>
  <c r="K46" i="1"/>
  <c r="L46" i="1"/>
  <c r="M46" i="1"/>
  <c r="N46" i="1"/>
  <c r="O46" i="1"/>
  <c r="P46" i="1"/>
  <c r="Q46" i="1"/>
  <c r="R46" i="1"/>
  <c r="S46" i="1"/>
  <c r="J47" i="1"/>
  <c r="K47" i="1"/>
  <c r="L47" i="1"/>
  <c r="M47" i="1"/>
  <c r="N47" i="1"/>
  <c r="O47" i="1"/>
  <c r="P47" i="1"/>
  <c r="Q47" i="1"/>
  <c r="R47" i="1"/>
  <c r="S47" i="1"/>
  <c r="J48" i="1"/>
  <c r="K48" i="1"/>
  <c r="L48" i="1"/>
  <c r="M48" i="1"/>
  <c r="N48" i="1"/>
  <c r="O48" i="1"/>
  <c r="P48" i="1"/>
  <c r="Q48" i="1"/>
  <c r="R48" i="1"/>
  <c r="S48" i="1"/>
  <c r="J49" i="1"/>
  <c r="K49" i="1"/>
  <c r="L49" i="1"/>
  <c r="M49" i="1"/>
  <c r="N49" i="1"/>
  <c r="O49" i="1"/>
  <c r="P49" i="1"/>
  <c r="Q49" i="1"/>
  <c r="R49" i="1"/>
  <c r="S49" i="1"/>
  <c r="J50" i="1"/>
  <c r="K50" i="1"/>
  <c r="L50" i="1"/>
  <c r="M50" i="1"/>
  <c r="N50" i="1"/>
  <c r="O50" i="1"/>
  <c r="P50" i="1"/>
  <c r="Q50" i="1"/>
  <c r="R50" i="1"/>
  <c r="S50" i="1"/>
  <c r="J51" i="1"/>
  <c r="K51" i="1"/>
  <c r="L51" i="1"/>
  <c r="M51" i="1"/>
  <c r="N51" i="1"/>
  <c r="O51" i="1"/>
  <c r="P51" i="1"/>
  <c r="Q51" i="1"/>
  <c r="R51" i="1"/>
  <c r="S51" i="1"/>
  <c r="J52" i="1"/>
  <c r="K52" i="1"/>
  <c r="L52" i="1"/>
  <c r="M52" i="1"/>
  <c r="N52" i="1"/>
  <c r="O52" i="1"/>
  <c r="P52" i="1"/>
  <c r="Q52" i="1"/>
  <c r="R52" i="1"/>
  <c r="S52" i="1"/>
  <c r="J53" i="1"/>
  <c r="K53" i="1"/>
  <c r="L53" i="1"/>
  <c r="M53" i="1"/>
  <c r="N53" i="1"/>
  <c r="O53" i="1"/>
  <c r="P53" i="1"/>
  <c r="Q53" i="1"/>
  <c r="R53" i="1"/>
  <c r="S53" i="1"/>
  <c r="J54" i="1"/>
  <c r="K54" i="1"/>
  <c r="L54" i="1"/>
  <c r="M54" i="1"/>
  <c r="N54" i="1"/>
  <c r="O54" i="1"/>
  <c r="P54" i="1"/>
  <c r="Q54" i="1"/>
  <c r="R54" i="1"/>
  <c r="J55" i="1"/>
  <c r="K55" i="1"/>
  <c r="L55" i="1"/>
  <c r="M55" i="1"/>
  <c r="N55" i="1"/>
  <c r="O55" i="1"/>
  <c r="P55" i="1"/>
  <c r="Q55" i="1"/>
  <c r="R55" i="1"/>
  <c r="J56" i="1"/>
  <c r="K56" i="1"/>
  <c r="L56" i="1"/>
  <c r="M56" i="1"/>
  <c r="N56" i="1"/>
  <c r="O56" i="1"/>
  <c r="P56" i="1"/>
  <c r="Q56" i="1"/>
  <c r="R56" i="1"/>
  <c r="J57" i="1"/>
  <c r="K57" i="1"/>
  <c r="L57" i="1"/>
  <c r="M57" i="1"/>
  <c r="N57" i="1"/>
  <c r="O57" i="1"/>
  <c r="P57" i="1"/>
  <c r="Q57" i="1"/>
  <c r="R57" i="1"/>
  <c r="J58" i="1"/>
  <c r="K58" i="1"/>
  <c r="L58" i="1"/>
  <c r="M58" i="1"/>
  <c r="N58" i="1"/>
  <c r="O58" i="1"/>
  <c r="P58" i="1"/>
  <c r="Q58" i="1"/>
  <c r="R58" i="1"/>
  <c r="J59" i="1"/>
  <c r="K59" i="1"/>
  <c r="L59" i="1"/>
  <c r="M59" i="1"/>
  <c r="N59" i="1"/>
  <c r="O59" i="1"/>
  <c r="P59" i="1"/>
  <c r="Q59" i="1"/>
  <c r="R59" i="1"/>
  <c r="J60" i="1"/>
  <c r="K60" i="1"/>
  <c r="L60" i="1"/>
  <c r="M60" i="1"/>
  <c r="N60" i="1"/>
  <c r="O60" i="1"/>
  <c r="P60" i="1"/>
  <c r="Q60" i="1"/>
  <c r="R60" i="1"/>
  <c r="J61" i="1"/>
  <c r="K61" i="1"/>
  <c r="L61" i="1"/>
  <c r="M61" i="1"/>
  <c r="N61" i="1"/>
  <c r="O61" i="1"/>
  <c r="P61" i="1"/>
  <c r="Q61" i="1"/>
  <c r="R61" i="1"/>
  <c r="J62" i="1"/>
  <c r="K62" i="1"/>
  <c r="L62" i="1"/>
  <c r="M62" i="1"/>
  <c r="N62" i="1"/>
  <c r="O62" i="1"/>
  <c r="P62" i="1"/>
  <c r="Q62" i="1"/>
  <c r="R62" i="1"/>
  <c r="J63" i="1"/>
  <c r="K63" i="1"/>
  <c r="L63" i="1"/>
  <c r="M63" i="1"/>
  <c r="N63" i="1"/>
  <c r="O63" i="1"/>
  <c r="P63" i="1"/>
  <c r="Q63" i="1"/>
  <c r="R63" i="1"/>
  <c r="J64" i="1"/>
  <c r="K64" i="1"/>
  <c r="L64" i="1"/>
  <c r="M64" i="1"/>
  <c r="N64" i="1"/>
  <c r="O64" i="1"/>
  <c r="P64" i="1"/>
  <c r="Q64" i="1"/>
  <c r="R64" i="1"/>
  <c r="J65" i="1"/>
  <c r="K65" i="1"/>
  <c r="L65" i="1"/>
  <c r="M65" i="1"/>
  <c r="N65" i="1"/>
  <c r="O65" i="1"/>
  <c r="P65" i="1"/>
  <c r="Q65" i="1"/>
  <c r="R65" i="1"/>
  <c r="J66" i="1"/>
  <c r="K66" i="1"/>
  <c r="L66" i="1"/>
  <c r="M66" i="1"/>
  <c r="N66" i="1"/>
  <c r="O66" i="1"/>
  <c r="P66" i="1"/>
  <c r="Q66" i="1"/>
  <c r="R66" i="1"/>
  <c r="J67" i="1"/>
  <c r="K67" i="1"/>
  <c r="L67" i="1"/>
  <c r="M67" i="1"/>
  <c r="N67" i="1"/>
  <c r="O67" i="1"/>
  <c r="P67" i="1"/>
  <c r="Q67" i="1"/>
  <c r="R67" i="1"/>
  <c r="J68" i="1"/>
  <c r="K68" i="1"/>
  <c r="L68" i="1"/>
  <c r="M68" i="1"/>
  <c r="N68" i="1"/>
  <c r="O68" i="1"/>
  <c r="P68" i="1"/>
  <c r="Q68" i="1"/>
  <c r="R68" i="1"/>
  <c r="J69" i="1"/>
  <c r="K69" i="1"/>
  <c r="L69" i="1"/>
  <c r="M69" i="1"/>
  <c r="N69" i="1"/>
  <c r="O69" i="1"/>
  <c r="P69" i="1"/>
  <c r="Q69" i="1"/>
  <c r="R69" i="1"/>
  <c r="J70" i="1"/>
  <c r="K70" i="1"/>
  <c r="L70" i="1"/>
  <c r="M70" i="1"/>
  <c r="N70" i="1"/>
  <c r="O70" i="1"/>
  <c r="P70" i="1"/>
  <c r="Q70" i="1"/>
  <c r="R70" i="1"/>
  <c r="J71" i="1"/>
  <c r="K71" i="1"/>
  <c r="L71" i="1"/>
  <c r="M71" i="1"/>
  <c r="N71" i="1"/>
  <c r="O71" i="1"/>
  <c r="P71" i="1"/>
  <c r="Q71" i="1"/>
  <c r="R71" i="1"/>
  <c r="J72" i="1"/>
  <c r="K72" i="1"/>
  <c r="L72" i="1"/>
  <c r="M72" i="1"/>
  <c r="N72" i="1"/>
  <c r="O72" i="1"/>
  <c r="P72" i="1"/>
  <c r="Q72" i="1"/>
  <c r="R72" i="1"/>
  <c r="J73" i="1"/>
  <c r="K73" i="1"/>
  <c r="L73" i="1"/>
  <c r="M73" i="1"/>
  <c r="N73" i="1"/>
  <c r="O73" i="1"/>
  <c r="P73" i="1"/>
  <c r="Q73" i="1"/>
  <c r="R73" i="1"/>
  <c r="J74" i="1"/>
  <c r="K74" i="1"/>
  <c r="L74" i="1"/>
  <c r="M74" i="1"/>
  <c r="N74" i="1"/>
  <c r="O74" i="1"/>
  <c r="P74" i="1"/>
  <c r="Q74" i="1"/>
  <c r="R74" i="1"/>
  <c r="J75" i="1"/>
  <c r="K75" i="1"/>
  <c r="L75" i="1"/>
  <c r="M75" i="1"/>
  <c r="N75" i="1"/>
  <c r="O75" i="1"/>
  <c r="P75" i="1"/>
  <c r="Q75" i="1"/>
  <c r="R75" i="1"/>
  <c r="J76" i="1"/>
  <c r="K76" i="1"/>
  <c r="L76" i="1"/>
  <c r="M76" i="1"/>
  <c r="N76" i="1"/>
  <c r="O76" i="1"/>
  <c r="P76" i="1"/>
  <c r="Q76" i="1"/>
  <c r="R76" i="1"/>
  <c r="J77" i="1"/>
  <c r="K77" i="1"/>
  <c r="L77" i="1"/>
  <c r="M77" i="1"/>
  <c r="N77" i="1"/>
  <c r="O77" i="1"/>
  <c r="P77" i="1"/>
  <c r="Q77" i="1"/>
  <c r="R77" i="1"/>
  <c r="J78" i="1"/>
  <c r="K78" i="1"/>
  <c r="L78" i="1"/>
  <c r="M78" i="1"/>
  <c r="N78" i="1"/>
  <c r="O78" i="1"/>
  <c r="P78" i="1"/>
  <c r="Q78" i="1"/>
  <c r="R78" i="1"/>
  <c r="J79" i="1"/>
  <c r="K79" i="1"/>
  <c r="L79" i="1"/>
  <c r="M79" i="1"/>
  <c r="N79" i="1"/>
  <c r="O79" i="1"/>
  <c r="P79" i="1"/>
  <c r="Q79" i="1"/>
  <c r="R79" i="1"/>
  <c r="J80" i="1"/>
  <c r="K80" i="1"/>
  <c r="L80" i="1"/>
  <c r="M80" i="1"/>
  <c r="N80" i="1"/>
  <c r="O80" i="1"/>
  <c r="P80" i="1"/>
  <c r="Q80" i="1"/>
  <c r="R80" i="1"/>
  <c r="J81" i="1"/>
  <c r="K81" i="1"/>
  <c r="L81" i="1"/>
  <c r="M81" i="1"/>
  <c r="N81" i="1"/>
  <c r="O81" i="1"/>
  <c r="P81" i="1"/>
  <c r="Q81" i="1"/>
  <c r="R81" i="1"/>
  <c r="J82" i="1"/>
  <c r="K82" i="1"/>
  <c r="L82" i="1"/>
  <c r="M82" i="1"/>
  <c r="N82" i="1"/>
  <c r="O82" i="1"/>
  <c r="P82" i="1"/>
  <c r="Q82" i="1"/>
  <c r="R82" i="1"/>
  <c r="J83" i="1"/>
  <c r="K83" i="1"/>
  <c r="L83" i="1"/>
  <c r="M83" i="1"/>
  <c r="N83" i="1"/>
  <c r="O83" i="1"/>
  <c r="P83" i="1"/>
  <c r="Q83" i="1"/>
  <c r="R83" i="1"/>
  <c r="S83" i="1"/>
  <c r="J84" i="1"/>
  <c r="K84" i="1"/>
  <c r="L84" i="1"/>
  <c r="M84" i="1"/>
  <c r="N84" i="1"/>
  <c r="O84" i="1"/>
  <c r="P84" i="1"/>
  <c r="Q84" i="1"/>
  <c r="R84" i="1"/>
  <c r="S84" i="1"/>
  <c r="J85" i="1"/>
  <c r="K85" i="1"/>
  <c r="L85" i="1"/>
  <c r="M85" i="1"/>
  <c r="N85" i="1"/>
  <c r="O85" i="1"/>
  <c r="P85" i="1"/>
  <c r="Q85" i="1"/>
  <c r="R85" i="1"/>
  <c r="S85" i="1"/>
  <c r="J86" i="1"/>
  <c r="K86" i="1"/>
  <c r="L86" i="1"/>
  <c r="M86" i="1"/>
  <c r="N86" i="1"/>
  <c r="O86" i="1"/>
  <c r="P86" i="1"/>
  <c r="Q86" i="1"/>
  <c r="R86" i="1"/>
  <c r="S86" i="1"/>
  <c r="J87" i="1"/>
  <c r="K87" i="1"/>
  <c r="L87" i="1"/>
  <c r="M87" i="1"/>
  <c r="N87" i="1"/>
  <c r="O87" i="1"/>
  <c r="P87" i="1"/>
  <c r="Q87" i="1"/>
  <c r="R87" i="1"/>
  <c r="S87" i="1"/>
  <c r="J88" i="1"/>
  <c r="K88" i="1"/>
  <c r="L88" i="1"/>
  <c r="M88" i="1"/>
  <c r="N88" i="1"/>
  <c r="O88" i="1"/>
  <c r="P88" i="1"/>
  <c r="Q88" i="1"/>
  <c r="R88" i="1"/>
  <c r="S88" i="1"/>
  <c r="J89" i="1"/>
  <c r="K89" i="1"/>
  <c r="L89" i="1"/>
  <c r="M89" i="1"/>
  <c r="N89" i="1"/>
  <c r="O89" i="1"/>
  <c r="P89" i="1"/>
  <c r="Q89" i="1"/>
  <c r="R89" i="1"/>
  <c r="S89" i="1"/>
  <c r="J90" i="1"/>
  <c r="K90" i="1"/>
  <c r="L90" i="1"/>
  <c r="M90" i="1"/>
  <c r="N90" i="1"/>
  <c r="O90" i="1"/>
  <c r="P90" i="1"/>
  <c r="Q90" i="1"/>
  <c r="R90" i="1"/>
  <c r="S90" i="1"/>
  <c r="J91" i="1"/>
  <c r="K91" i="1"/>
  <c r="L91" i="1"/>
  <c r="M91" i="1"/>
  <c r="N91" i="1"/>
  <c r="O91" i="1"/>
  <c r="P91" i="1"/>
  <c r="Q91" i="1"/>
  <c r="R91" i="1"/>
  <c r="S91" i="1"/>
  <c r="J92" i="1"/>
  <c r="K92" i="1"/>
  <c r="L92" i="1"/>
  <c r="M92" i="1"/>
  <c r="N92" i="1"/>
  <c r="O92" i="1"/>
  <c r="P92" i="1"/>
  <c r="Q92" i="1"/>
  <c r="R92" i="1"/>
  <c r="S92" i="1"/>
  <c r="J93" i="1"/>
  <c r="K93" i="1"/>
  <c r="L93" i="1"/>
  <c r="M93" i="1"/>
  <c r="N93" i="1"/>
  <c r="O93" i="1"/>
  <c r="P93" i="1"/>
  <c r="Q93" i="1"/>
  <c r="R93" i="1"/>
  <c r="S93" i="1"/>
  <c r="J94" i="1"/>
  <c r="K94" i="1"/>
  <c r="L94" i="1"/>
  <c r="M94" i="1"/>
  <c r="N94" i="1"/>
  <c r="O94" i="1"/>
  <c r="P94" i="1"/>
  <c r="Q94" i="1"/>
  <c r="R94" i="1"/>
  <c r="S94" i="1"/>
  <c r="J95" i="1"/>
  <c r="K95" i="1"/>
  <c r="L95" i="1"/>
  <c r="M95" i="1"/>
  <c r="N95" i="1"/>
  <c r="O95" i="1"/>
  <c r="P95" i="1"/>
  <c r="Q95" i="1"/>
  <c r="R95" i="1"/>
  <c r="S95" i="1"/>
  <c r="J96" i="1"/>
  <c r="K96" i="1"/>
  <c r="L96" i="1"/>
  <c r="M96" i="1"/>
  <c r="N96" i="1"/>
  <c r="O96" i="1"/>
  <c r="P96" i="1"/>
  <c r="Q96" i="1"/>
  <c r="R96" i="1"/>
  <c r="S96" i="1"/>
  <c r="J97" i="1"/>
  <c r="K97" i="1"/>
  <c r="L97" i="1"/>
  <c r="M97" i="1"/>
  <c r="N97" i="1"/>
  <c r="O97" i="1"/>
  <c r="P97" i="1"/>
  <c r="Q97" i="1"/>
  <c r="R97" i="1"/>
  <c r="S97" i="1"/>
  <c r="J98" i="1"/>
  <c r="K98" i="1"/>
  <c r="L98" i="1"/>
  <c r="M98" i="1"/>
  <c r="N98" i="1"/>
  <c r="O98" i="1"/>
  <c r="P98" i="1"/>
  <c r="Q98" i="1"/>
  <c r="R98" i="1"/>
  <c r="S98" i="1"/>
  <c r="J99" i="1"/>
  <c r="K99" i="1"/>
  <c r="L99" i="1"/>
  <c r="M99" i="1"/>
  <c r="N99" i="1"/>
  <c r="O99" i="1"/>
  <c r="P99" i="1"/>
  <c r="Q99" i="1"/>
  <c r="R99" i="1"/>
  <c r="S99" i="1"/>
  <c r="J100" i="1"/>
  <c r="K100" i="1"/>
  <c r="L100" i="1"/>
  <c r="M100" i="1"/>
  <c r="N100" i="1"/>
  <c r="O100" i="1"/>
  <c r="P100" i="1"/>
  <c r="Q100" i="1"/>
  <c r="R100" i="1"/>
  <c r="S100" i="1"/>
  <c r="J101" i="1"/>
  <c r="K101" i="1"/>
  <c r="L101" i="1"/>
  <c r="M101" i="1"/>
  <c r="N101" i="1"/>
  <c r="O101" i="1"/>
  <c r="P101" i="1"/>
  <c r="Q101" i="1"/>
  <c r="R101" i="1"/>
  <c r="S101" i="1"/>
  <c r="J102" i="1"/>
  <c r="K102" i="1"/>
  <c r="L102" i="1"/>
  <c r="M102" i="1"/>
  <c r="N102" i="1"/>
  <c r="O102" i="1"/>
  <c r="P102" i="1"/>
  <c r="Q102" i="1"/>
  <c r="R102" i="1"/>
  <c r="S102" i="1"/>
  <c r="J103" i="1"/>
  <c r="K103" i="1"/>
  <c r="L103" i="1"/>
  <c r="M103" i="1"/>
  <c r="N103" i="1"/>
  <c r="O103" i="1"/>
  <c r="P103" i="1"/>
  <c r="Q103" i="1"/>
  <c r="R103" i="1"/>
  <c r="S103" i="1"/>
  <c r="J104" i="1"/>
  <c r="K104" i="1"/>
  <c r="L104" i="1"/>
  <c r="M104" i="1"/>
  <c r="N104" i="1"/>
  <c r="O104" i="1"/>
  <c r="P104" i="1"/>
  <c r="Q104" i="1"/>
  <c r="R104" i="1"/>
  <c r="S104" i="1"/>
  <c r="J105" i="1"/>
  <c r="K105" i="1"/>
  <c r="L105" i="1"/>
  <c r="M105" i="1"/>
  <c r="N105" i="1"/>
  <c r="O105" i="1"/>
  <c r="P105" i="1"/>
  <c r="Q105" i="1"/>
  <c r="R105" i="1"/>
  <c r="S105" i="1"/>
  <c r="J106" i="1"/>
  <c r="K106" i="1"/>
  <c r="L106" i="1"/>
  <c r="M106" i="1"/>
  <c r="N106" i="1"/>
  <c r="O106" i="1"/>
  <c r="P106" i="1"/>
  <c r="Q106" i="1"/>
  <c r="R106" i="1"/>
  <c r="S106" i="1"/>
  <c r="J107" i="1"/>
  <c r="K107" i="1"/>
  <c r="L107" i="1"/>
  <c r="M107" i="1"/>
  <c r="N107" i="1"/>
  <c r="O107" i="1"/>
  <c r="P107" i="1"/>
  <c r="Q107" i="1"/>
  <c r="R107" i="1"/>
  <c r="S107" i="1"/>
  <c r="J108" i="1"/>
  <c r="K108" i="1"/>
  <c r="L108" i="1"/>
  <c r="M108" i="1"/>
  <c r="N108" i="1"/>
  <c r="O108" i="1"/>
  <c r="P108" i="1"/>
  <c r="Q108" i="1"/>
  <c r="R108" i="1"/>
  <c r="S108" i="1"/>
  <c r="J109" i="1"/>
  <c r="K109" i="1"/>
  <c r="L109" i="1"/>
  <c r="M109" i="1"/>
  <c r="N109" i="1"/>
  <c r="O109" i="1"/>
  <c r="P109" i="1"/>
  <c r="Q109" i="1"/>
  <c r="R109" i="1"/>
  <c r="S109" i="1"/>
  <c r="J110" i="1"/>
  <c r="K110" i="1"/>
  <c r="L110" i="1"/>
  <c r="M110" i="1"/>
  <c r="N110" i="1"/>
  <c r="O110" i="1"/>
  <c r="P110" i="1"/>
  <c r="Q110" i="1"/>
  <c r="R110" i="1"/>
  <c r="S110" i="1"/>
  <c r="J111" i="1"/>
  <c r="K111" i="1"/>
  <c r="L111" i="1"/>
  <c r="M111" i="1"/>
  <c r="N111" i="1"/>
  <c r="O111" i="1"/>
  <c r="P111" i="1"/>
  <c r="Q111" i="1"/>
  <c r="R111" i="1"/>
  <c r="S111" i="1"/>
  <c r="J112" i="1"/>
  <c r="K112" i="1"/>
  <c r="L112" i="1"/>
  <c r="M112" i="1"/>
  <c r="N112" i="1"/>
  <c r="O112" i="1"/>
  <c r="P112" i="1"/>
  <c r="Q112" i="1"/>
  <c r="R112" i="1"/>
  <c r="S112" i="1"/>
  <c r="J113" i="1"/>
  <c r="K113" i="1"/>
  <c r="L113" i="1"/>
  <c r="M113" i="1"/>
  <c r="N113" i="1"/>
  <c r="O113" i="1"/>
  <c r="P113" i="1"/>
  <c r="Q113" i="1"/>
  <c r="R113" i="1"/>
  <c r="S113" i="1"/>
  <c r="J114" i="1"/>
  <c r="K114" i="1"/>
  <c r="L114" i="1"/>
  <c r="M114" i="1"/>
  <c r="N114" i="1"/>
  <c r="O114" i="1"/>
  <c r="P114" i="1"/>
  <c r="Q114" i="1"/>
  <c r="R114" i="1"/>
  <c r="S114" i="1"/>
  <c r="J115" i="1"/>
  <c r="K115" i="1"/>
  <c r="L115" i="1"/>
  <c r="M115" i="1"/>
  <c r="N115" i="1"/>
  <c r="O115" i="1"/>
  <c r="P115" i="1"/>
  <c r="Q115" i="1"/>
  <c r="R115" i="1"/>
  <c r="S115" i="1"/>
  <c r="J116" i="1"/>
  <c r="K116" i="1"/>
  <c r="L116" i="1"/>
  <c r="M116" i="1"/>
  <c r="N116" i="1"/>
  <c r="O116" i="1"/>
  <c r="P116" i="1"/>
  <c r="Q116" i="1"/>
  <c r="R116" i="1"/>
  <c r="S116" i="1"/>
  <c r="J117" i="1"/>
  <c r="K117" i="1"/>
  <c r="L117" i="1"/>
  <c r="M117" i="1"/>
  <c r="N117" i="1"/>
  <c r="O117" i="1"/>
  <c r="P117" i="1"/>
  <c r="Q117" i="1"/>
  <c r="R117" i="1"/>
  <c r="S117" i="1"/>
  <c r="J118" i="1"/>
  <c r="K118" i="1"/>
  <c r="L118" i="1"/>
  <c r="M118" i="1"/>
  <c r="N118" i="1"/>
  <c r="O118" i="1"/>
  <c r="P118" i="1"/>
  <c r="Q118" i="1"/>
  <c r="R118" i="1"/>
  <c r="S118" i="1"/>
  <c r="J119" i="1"/>
  <c r="K119" i="1"/>
  <c r="L119" i="1"/>
  <c r="M119" i="1"/>
  <c r="N119" i="1"/>
  <c r="O119" i="1"/>
  <c r="P119" i="1"/>
  <c r="Q119" i="1"/>
  <c r="R119" i="1"/>
  <c r="S119" i="1"/>
  <c r="J120" i="1"/>
  <c r="K120" i="1"/>
  <c r="L120" i="1"/>
  <c r="M120" i="1"/>
  <c r="N120" i="1"/>
  <c r="O120" i="1"/>
  <c r="P120" i="1"/>
  <c r="Q120" i="1"/>
  <c r="R120" i="1"/>
  <c r="S120" i="1"/>
  <c r="J121" i="1"/>
  <c r="K121" i="1"/>
  <c r="L121" i="1"/>
  <c r="M121" i="1"/>
  <c r="N121" i="1"/>
  <c r="O121" i="1"/>
  <c r="P121" i="1"/>
  <c r="Q121" i="1"/>
  <c r="R121" i="1"/>
  <c r="S121" i="1"/>
  <c r="J122" i="1"/>
  <c r="K122" i="1"/>
  <c r="L122" i="1"/>
  <c r="M122" i="1"/>
  <c r="N122" i="1"/>
  <c r="O122" i="1"/>
  <c r="P122" i="1"/>
  <c r="Q122" i="1"/>
  <c r="R122" i="1"/>
  <c r="S122" i="1"/>
  <c r="J123" i="1"/>
  <c r="K123" i="1"/>
  <c r="L123" i="1"/>
  <c r="M123" i="1"/>
  <c r="N123" i="1"/>
  <c r="O123" i="1"/>
  <c r="P123" i="1"/>
  <c r="Q123" i="1"/>
  <c r="R123" i="1"/>
  <c r="S123" i="1"/>
  <c r="J124" i="1"/>
  <c r="K124" i="1"/>
  <c r="L124" i="1"/>
  <c r="M124" i="1"/>
  <c r="N124" i="1"/>
  <c r="O124" i="1"/>
  <c r="P124" i="1"/>
  <c r="Q124" i="1"/>
  <c r="R124" i="1"/>
  <c r="S124" i="1"/>
  <c r="J125" i="1"/>
  <c r="K125" i="1"/>
  <c r="L125" i="1"/>
  <c r="M125" i="1"/>
  <c r="N125" i="1"/>
  <c r="O125" i="1"/>
  <c r="P125" i="1"/>
  <c r="Q125" i="1"/>
  <c r="R125" i="1"/>
  <c r="S125" i="1"/>
  <c r="J126" i="1"/>
  <c r="K126" i="1"/>
  <c r="L126" i="1"/>
  <c r="M126" i="1"/>
  <c r="N126" i="1"/>
  <c r="O126" i="1"/>
  <c r="P126" i="1"/>
  <c r="Q126" i="1"/>
  <c r="R126" i="1"/>
  <c r="S126" i="1"/>
  <c r="J127" i="1"/>
  <c r="K127" i="1"/>
  <c r="L127" i="1"/>
  <c r="M127" i="1"/>
  <c r="N127" i="1"/>
  <c r="O127" i="1"/>
  <c r="P127" i="1"/>
  <c r="Q127" i="1"/>
  <c r="R127" i="1"/>
  <c r="S127" i="1"/>
  <c r="J128" i="1"/>
  <c r="K128" i="1"/>
  <c r="L128" i="1"/>
  <c r="M128" i="1"/>
  <c r="N128" i="1"/>
  <c r="O128" i="1"/>
  <c r="P128" i="1"/>
  <c r="Q128" i="1"/>
  <c r="R128" i="1"/>
  <c r="S128" i="1"/>
  <c r="J129" i="1"/>
  <c r="K129" i="1"/>
  <c r="L129" i="1"/>
  <c r="M129" i="1"/>
  <c r="N129" i="1"/>
  <c r="O129" i="1"/>
  <c r="P129" i="1"/>
  <c r="Q129" i="1"/>
  <c r="R129" i="1"/>
  <c r="S129" i="1"/>
  <c r="J130" i="1"/>
  <c r="K130" i="1"/>
  <c r="L130" i="1"/>
  <c r="M130" i="1"/>
  <c r="N130" i="1"/>
  <c r="O130" i="1"/>
  <c r="P130" i="1"/>
  <c r="Q130" i="1"/>
  <c r="R130" i="1"/>
  <c r="S130" i="1"/>
  <c r="J131" i="1"/>
  <c r="K131" i="1"/>
  <c r="L131" i="1"/>
  <c r="M131" i="1"/>
  <c r="N131" i="1"/>
  <c r="O131" i="1"/>
  <c r="P131" i="1"/>
  <c r="Q131" i="1"/>
  <c r="R131" i="1"/>
  <c r="S131" i="1"/>
  <c r="J132" i="1"/>
  <c r="K132" i="1"/>
  <c r="L132" i="1"/>
  <c r="M132" i="1"/>
  <c r="N132" i="1"/>
  <c r="O132" i="1"/>
  <c r="P132" i="1"/>
  <c r="Q132" i="1"/>
  <c r="R132" i="1"/>
  <c r="S132" i="1"/>
  <c r="J133" i="1"/>
  <c r="K133" i="1"/>
  <c r="L133" i="1"/>
  <c r="M133" i="1"/>
  <c r="N133" i="1"/>
  <c r="O133" i="1"/>
  <c r="P133" i="1"/>
  <c r="Q133" i="1"/>
  <c r="R133" i="1"/>
  <c r="S133" i="1"/>
  <c r="J134" i="1"/>
  <c r="K134" i="1"/>
  <c r="L134" i="1"/>
  <c r="M134" i="1"/>
  <c r="N134" i="1"/>
  <c r="O134" i="1"/>
  <c r="P134" i="1"/>
  <c r="Q134" i="1"/>
  <c r="R134" i="1"/>
  <c r="S134" i="1"/>
  <c r="J135" i="1"/>
  <c r="K135" i="1"/>
  <c r="L135" i="1"/>
  <c r="M135" i="1"/>
  <c r="N135" i="1"/>
  <c r="O135" i="1"/>
  <c r="P135" i="1"/>
  <c r="Q135" i="1"/>
  <c r="R135" i="1"/>
  <c r="S135" i="1"/>
  <c r="J136" i="1"/>
  <c r="K136" i="1"/>
  <c r="L136" i="1"/>
  <c r="M136" i="1"/>
  <c r="N136" i="1"/>
  <c r="O136" i="1"/>
  <c r="P136" i="1"/>
  <c r="Q136" i="1"/>
  <c r="R136" i="1"/>
  <c r="S136" i="1"/>
  <c r="J137" i="1"/>
  <c r="K137" i="1"/>
  <c r="L137" i="1"/>
  <c r="M137" i="1"/>
  <c r="N137" i="1"/>
  <c r="O137" i="1"/>
  <c r="P137" i="1"/>
  <c r="Q137" i="1"/>
  <c r="R137" i="1"/>
  <c r="S137" i="1"/>
  <c r="J138" i="1"/>
  <c r="K138" i="1"/>
  <c r="L138" i="1"/>
  <c r="M138" i="1"/>
  <c r="N138" i="1"/>
  <c r="O138" i="1"/>
  <c r="P138" i="1"/>
  <c r="Q138" i="1"/>
  <c r="R138" i="1"/>
  <c r="S138" i="1"/>
  <c r="J139" i="1"/>
  <c r="K139" i="1"/>
  <c r="L139" i="1"/>
  <c r="M139" i="1"/>
  <c r="N139" i="1"/>
  <c r="O139" i="1"/>
  <c r="P139" i="1"/>
  <c r="Q139" i="1"/>
  <c r="R139" i="1"/>
  <c r="S139" i="1"/>
  <c r="J140" i="1"/>
  <c r="K140" i="1"/>
  <c r="L140" i="1"/>
  <c r="M140" i="1"/>
  <c r="N140" i="1"/>
  <c r="O140" i="1"/>
  <c r="P140" i="1"/>
  <c r="Q140" i="1"/>
  <c r="R140" i="1"/>
  <c r="S140" i="1"/>
  <c r="J141" i="1"/>
  <c r="K141" i="1"/>
  <c r="L141" i="1"/>
  <c r="M141" i="1"/>
  <c r="N141" i="1"/>
  <c r="O141" i="1"/>
  <c r="P141" i="1"/>
  <c r="Q141" i="1"/>
  <c r="R141" i="1"/>
  <c r="S141" i="1"/>
  <c r="J142" i="1"/>
  <c r="K142" i="1"/>
  <c r="L142" i="1"/>
  <c r="M142" i="1"/>
  <c r="N142" i="1"/>
  <c r="O142" i="1"/>
  <c r="P142" i="1"/>
  <c r="Q142" i="1"/>
  <c r="R142" i="1"/>
  <c r="S142" i="1"/>
  <c r="J143" i="1"/>
  <c r="K143" i="1"/>
  <c r="L143" i="1"/>
  <c r="M143" i="1"/>
  <c r="N143" i="1"/>
  <c r="O143" i="1"/>
  <c r="P143" i="1"/>
  <c r="Q143" i="1"/>
  <c r="R143" i="1"/>
  <c r="S143" i="1"/>
  <c r="J144" i="1"/>
  <c r="K144" i="1"/>
  <c r="L144" i="1"/>
  <c r="M144" i="1"/>
  <c r="N144" i="1"/>
  <c r="O144" i="1"/>
  <c r="P144" i="1"/>
  <c r="Q144" i="1"/>
  <c r="R144" i="1"/>
  <c r="S144" i="1"/>
  <c r="J145" i="1"/>
  <c r="K145" i="1"/>
  <c r="L145" i="1"/>
  <c r="M145" i="1"/>
  <c r="N145" i="1"/>
  <c r="O145" i="1"/>
  <c r="P145" i="1"/>
  <c r="Q145" i="1"/>
  <c r="R145" i="1"/>
  <c r="S145" i="1"/>
  <c r="J146" i="1"/>
  <c r="K146" i="1"/>
  <c r="L146" i="1"/>
  <c r="M146" i="1"/>
  <c r="N146" i="1"/>
  <c r="O146" i="1"/>
  <c r="P146" i="1"/>
  <c r="Q146" i="1"/>
  <c r="R146" i="1"/>
  <c r="S146" i="1"/>
  <c r="J147" i="1"/>
  <c r="K147" i="1"/>
  <c r="L147" i="1"/>
  <c r="M147" i="1"/>
  <c r="N147" i="1"/>
  <c r="O147" i="1"/>
  <c r="P147" i="1"/>
  <c r="Q147" i="1"/>
  <c r="R147" i="1"/>
  <c r="S147" i="1"/>
  <c r="J148" i="1"/>
  <c r="K148" i="1"/>
  <c r="L148" i="1"/>
  <c r="M148" i="1"/>
  <c r="N148" i="1"/>
  <c r="O148" i="1"/>
  <c r="P148" i="1"/>
  <c r="Q148" i="1"/>
  <c r="R148" i="1"/>
  <c r="S148" i="1"/>
  <c r="J149" i="1"/>
  <c r="K149" i="1"/>
  <c r="L149" i="1"/>
  <c r="M149" i="1"/>
  <c r="N149" i="1"/>
  <c r="O149" i="1"/>
  <c r="P149" i="1"/>
  <c r="Q149" i="1"/>
  <c r="R149" i="1"/>
  <c r="S149" i="1"/>
  <c r="J150" i="1"/>
  <c r="K150" i="1"/>
  <c r="L150" i="1"/>
  <c r="M150" i="1"/>
  <c r="N150" i="1"/>
  <c r="O150" i="1"/>
  <c r="P150" i="1"/>
  <c r="Q150" i="1"/>
  <c r="R150" i="1"/>
  <c r="S150" i="1"/>
  <c r="J151" i="1"/>
  <c r="K151" i="1"/>
  <c r="L151" i="1"/>
  <c r="M151" i="1"/>
  <c r="N151" i="1"/>
  <c r="O151" i="1"/>
  <c r="P151" i="1"/>
  <c r="Q151" i="1"/>
  <c r="R151" i="1"/>
  <c r="S151" i="1"/>
  <c r="J152" i="1"/>
  <c r="K152" i="1"/>
  <c r="L152" i="1"/>
  <c r="M152" i="1"/>
  <c r="N152" i="1"/>
  <c r="O152" i="1"/>
  <c r="P152" i="1"/>
  <c r="Q152" i="1"/>
  <c r="R152" i="1"/>
  <c r="S152" i="1"/>
  <c r="J153" i="1"/>
  <c r="K153" i="1"/>
  <c r="L153" i="1"/>
  <c r="M153" i="1"/>
  <c r="N153" i="1"/>
  <c r="O153" i="1"/>
  <c r="P153" i="1"/>
  <c r="Q153" i="1"/>
  <c r="R153" i="1"/>
  <c r="S153" i="1"/>
  <c r="J154" i="1"/>
  <c r="K154" i="1"/>
  <c r="L154" i="1"/>
  <c r="M154" i="1"/>
  <c r="N154" i="1"/>
  <c r="O154" i="1"/>
  <c r="P154" i="1"/>
  <c r="Q154" i="1"/>
  <c r="R154" i="1"/>
  <c r="S154" i="1"/>
  <c r="J155" i="1"/>
  <c r="K155" i="1"/>
  <c r="L155" i="1"/>
  <c r="M155" i="1"/>
  <c r="N155" i="1"/>
  <c r="O155" i="1"/>
  <c r="P155" i="1"/>
  <c r="Q155" i="1"/>
  <c r="R155" i="1"/>
  <c r="S155" i="1"/>
  <c r="J156" i="1"/>
  <c r="K156" i="1"/>
  <c r="L156" i="1"/>
  <c r="M156" i="1"/>
  <c r="N156" i="1"/>
  <c r="O156" i="1"/>
  <c r="P156" i="1"/>
  <c r="Q156" i="1"/>
  <c r="R156" i="1"/>
  <c r="S156" i="1"/>
  <c r="J157" i="1"/>
  <c r="K157" i="1"/>
  <c r="L157" i="1"/>
  <c r="M157" i="1"/>
  <c r="N157" i="1"/>
  <c r="O157" i="1"/>
  <c r="P157" i="1"/>
  <c r="Q157" i="1"/>
  <c r="R157" i="1"/>
  <c r="S157" i="1"/>
  <c r="J158" i="1"/>
  <c r="K158" i="1"/>
  <c r="L158" i="1"/>
  <c r="M158" i="1"/>
  <c r="N158" i="1"/>
  <c r="O158" i="1"/>
  <c r="P158" i="1"/>
  <c r="Q158" i="1"/>
  <c r="R158" i="1"/>
  <c r="S158" i="1"/>
  <c r="J159" i="1"/>
  <c r="K159" i="1"/>
  <c r="L159" i="1"/>
  <c r="M159" i="1"/>
  <c r="N159" i="1"/>
  <c r="O159" i="1"/>
  <c r="P159" i="1"/>
  <c r="Q159" i="1"/>
  <c r="R159" i="1"/>
  <c r="S159" i="1"/>
  <c r="J160" i="1"/>
  <c r="K160" i="1"/>
  <c r="L160" i="1"/>
  <c r="M160" i="1"/>
  <c r="N160" i="1"/>
  <c r="O160" i="1"/>
  <c r="P160" i="1"/>
  <c r="Q160" i="1"/>
  <c r="R160" i="1"/>
  <c r="S160" i="1"/>
  <c r="J161" i="1"/>
  <c r="K161" i="1"/>
  <c r="L161" i="1"/>
  <c r="M161" i="1"/>
  <c r="N161" i="1"/>
  <c r="O161" i="1"/>
  <c r="P161" i="1"/>
  <c r="Q161" i="1"/>
  <c r="R161" i="1"/>
  <c r="S161" i="1"/>
  <c r="J162" i="1"/>
  <c r="K162" i="1"/>
  <c r="L162" i="1"/>
  <c r="M162" i="1"/>
  <c r="N162" i="1"/>
  <c r="O162" i="1"/>
  <c r="P162" i="1"/>
  <c r="Q162" i="1"/>
  <c r="R162" i="1"/>
  <c r="S162" i="1"/>
  <c r="J163" i="1"/>
  <c r="K163" i="1"/>
  <c r="L163" i="1"/>
  <c r="M163" i="1"/>
  <c r="N163" i="1"/>
  <c r="O163" i="1"/>
  <c r="P163" i="1"/>
  <c r="Q163" i="1"/>
  <c r="R163" i="1"/>
  <c r="S163" i="1"/>
  <c r="J164" i="1"/>
  <c r="K164" i="1"/>
  <c r="L164" i="1"/>
  <c r="M164" i="1"/>
  <c r="N164" i="1"/>
  <c r="O164" i="1"/>
  <c r="P164" i="1"/>
  <c r="Q164" i="1"/>
  <c r="R164" i="1"/>
  <c r="S164" i="1"/>
  <c r="J165" i="1"/>
  <c r="K165" i="1"/>
  <c r="L165" i="1"/>
  <c r="M165" i="1"/>
  <c r="N165" i="1"/>
  <c r="O165" i="1"/>
  <c r="P165" i="1"/>
  <c r="Q165" i="1"/>
  <c r="R165" i="1"/>
  <c r="S165" i="1"/>
  <c r="J166" i="1"/>
  <c r="K166" i="1"/>
  <c r="L166" i="1"/>
  <c r="M166" i="1"/>
  <c r="N166" i="1"/>
  <c r="O166" i="1"/>
  <c r="P166" i="1"/>
  <c r="Q166" i="1"/>
  <c r="R166" i="1"/>
  <c r="S166" i="1"/>
  <c r="J167" i="1"/>
  <c r="K167" i="1"/>
  <c r="L167" i="1"/>
  <c r="M167" i="1"/>
  <c r="N167" i="1"/>
  <c r="O167" i="1"/>
  <c r="P167" i="1"/>
  <c r="Q167" i="1"/>
  <c r="R167" i="1"/>
  <c r="S167" i="1"/>
  <c r="J168" i="1"/>
  <c r="K168" i="1"/>
  <c r="L168" i="1"/>
  <c r="M168" i="1"/>
  <c r="N168" i="1"/>
  <c r="O168" i="1"/>
  <c r="P168" i="1"/>
  <c r="Q168" i="1"/>
  <c r="R168" i="1"/>
  <c r="S168" i="1"/>
  <c r="J169" i="1"/>
  <c r="K169" i="1"/>
  <c r="L169" i="1"/>
  <c r="M169" i="1"/>
  <c r="N169" i="1"/>
  <c r="O169" i="1"/>
  <c r="P169" i="1"/>
  <c r="Q169" i="1"/>
  <c r="R169" i="1"/>
  <c r="S169" i="1"/>
  <c r="J170" i="1"/>
  <c r="K170" i="1"/>
  <c r="L170" i="1"/>
  <c r="M170" i="1"/>
  <c r="N170" i="1"/>
  <c r="O170" i="1"/>
  <c r="P170" i="1"/>
  <c r="Q170" i="1"/>
  <c r="R170" i="1"/>
  <c r="S170" i="1"/>
  <c r="J171" i="1"/>
  <c r="K171" i="1"/>
  <c r="L171" i="1"/>
  <c r="M171" i="1"/>
  <c r="N171" i="1"/>
  <c r="O171" i="1"/>
  <c r="P171" i="1"/>
  <c r="Q171" i="1"/>
  <c r="R171" i="1"/>
  <c r="S171" i="1"/>
  <c r="J172" i="1"/>
  <c r="K172" i="1"/>
  <c r="L172" i="1"/>
  <c r="M172" i="1"/>
  <c r="N172" i="1"/>
  <c r="O172" i="1"/>
  <c r="P172" i="1"/>
  <c r="Q172" i="1"/>
  <c r="R172" i="1"/>
  <c r="S172" i="1"/>
  <c r="J173" i="1"/>
  <c r="K173" i="1"/>
  <c r="L173" i="1"/>
  <c r="M173" i="1"/>
  <c r="N173" i="1"/>
  <c r="O173" i="1"/>
  <c r="P173" i="1"/>
  <c r="Q173" i="1"/>
  <c r="R173" i="1"/>
  <c r="S173" i="1"/>
  <c r="J174" i="1"/>
  <c r="K174" i="1"/>
  <c r="L174" i="1"/>
  <c r="M174" i="1"/>
  <c r="N174" i="1"/>
  <c r="O174" i="1"/>
  <c r="P174" i="1"/>
  <c r="Q174" i="1"/>
  <c r="R174" i="1"/>
  <c r="S174" i="1"/>
  <c r="J175" i="1"/>
  <c r="K175" i="1"/>
  <c r="L175" i="1"/>
  <c r="M175" i="1"/>
  <c r="N175" i="1"/>
  <c r="O175" i="1"/>
  <c r="P175" i="1"/>
  <c r="Q175" i="1"/>
  <c r="R175" i="1"/>
  <c r="S175" i="1"/>
  <c r="J176" i="1"/>
  <c r="K176" i="1"/>
  <c r="L176" i="1"/>
  <c r="M176" i="1"/>
  <c r="N176" i="1"/>
  <c r="O176" i="1"/>
  <c r="P176" i="1"/>
  <c r="Q176" i="1"/>
  <c r="R176" i="1"/>
  <c r="S176" i="1"/>
  <c r="J177" i="1"/>
  <c r="K177" i="1"/>
  <c r="L177" i="1"/>
  <c r="M177" i="1"/>
  <c r="N177" i="1"/>
  <c r="O177" i="1"/>
  <c r="P177" i="1"/>
  <c r="Q177" i="1"/>
  <c r="R177" i="1"/>
  <c r="S177" i="1"/>
  <c r="J178" i="1"/>
  <c r="K178" i="1"/>
  <c r="L178" i="1"/>
  <c r="M178" i="1"/>
  <c r="N178" i="1"/>
  <c r="O178" i="1"/>
  <c r="P178" i="1"/>
  <c r="Q178" i="1"/>
  <c r="R178" i="1"/>
  <c r="S178" i="1"/>
  <c r="J179" i="1"/>
  <c r="K179" i="1"/>
  <c r="L179" i="1"/>
  <c r="M179" i="1"/>
  <c r="N179" i="1"/>
  <c r="O179" i="1"/>
  <c r="P179" i="1"/>
  <c r="Q179" i="1"/>
  <c r="R179" i="1"/>
  <c r="S179" i="1"/>
  <c r="J180" i="1"/>
  <c r="K180" i="1"/>
  <c r="L180" i="1"/>
  <c r="M180" i="1"/>
  <c r="N180" i="1"/>
  <c r="O180" i="1"/>
  <c r="P180" i="1"/>
  <c r="Q180" i="1"/>
  <c r="R180" i="1"/>
  <c r="S180" i="1"/>
  <c r="J181" i="1"/>
  <c r="K181" i="1"/>
  <c r="L181" i="1"/>
  <c r="M181" i="1"/>
  <c r="N181" i="1"/>
  <c r="O181" i="1"/>
  <c r="P181" i="1"/>
  <c r="Q181" i="1"/>
  <c r="R181" i="1"/>
  <c r="S181" i="1"/>
  <c r="J182" i="1"/>
  <c r="K182" i="1"/>
  <c r="L182" i="1"/>
  <c r="M182" i="1"/>
  <c r="N182" i="1"/>
  <c r="O182" i="1"/>
  <c r="P182" i="1"/>
  <c r="Q182" i="1"/>
  <c r="R182" i="1"/>
  <c r="J183" i="1"/>
  <c r="K183" i="1"/>
  <c r="L183" i="1"/>
  <c r="M183" i="1"/>
  <c r="N183" i="1"/>
  <c r="O183" i="1"/>
  <c r="P183" i="1"/>
  <c r="Q183" i="1"/>
  <c r="R183" i="1"/>
  <c r="S183" i="1" s="1"/>
  <c r="J184" i="1"/>
  <c r="K184" i="1"/>
  <c r="L184" i="1"/>
  <c r="M184" i="1"/>
  <c r="N184" i="1"/>
  <c r="O184" i="1"/>
  <c r="P184" i="1"/>
  <c r="Q184" i="1"/>
  <c r="R184" i="1"/>
  <c r="S184" i="1"/>
  <c r="J185" i="1"/>
  <c r="S185" i="1" s="1"/>
  <c r="K185" i="1"/>
  <c r="L185" i="1"/>
  <c r="M185" i="1"/>
  <c r="N185" i="1"/>
  <c r="O185" i="1"/>
  <c r="P185" i="1"/>
  <c r="Q185" i="1"/>
  <c r="R185" i="1"/>
  <c r="J186" i="1"/>
  <c r="K186" i="1"/>
  <c r="L186" i="1"/>
  <c r="M186" i="1"/>
  <c r="N186" i="1"/>
  <c r="O186" i="1"/>
  <c r="P186" i="1"/>
  <c r="Q186" i="1"/>
  <c r="R186" i="1"/>
  <c r="S186" i="1"/>
  <c r="J187" i="1"/>
  <c r="K187" i="1"/>
  <c r="L187" i="1"/>
  <c r="M187" i="1"/>
  <c r="N187" i="1"/>
  <c r="O187" i="1"/>
  <c r="P187" i="1"/>
  <c r="Q187" i="1"/>
  <c r="R187" i="1"/>
  <c r="S187" i="1" s="1"/>
  <c r="J188" i="1"/>
  <c r="K188" i="1"/>
  <c r="L188" i="1"/>
  <c r="M188" i="1"/>
  <c r="N188" i="1"/>
  <c r="O188" i="1"/>
  <c r="P188" i="1"/>
  <c r="Q188" i="1"/>
  <c r="R188" i="1"/>
  <c r="S188" i="1" s="1"/>
  <c r="J189" i="1"/>
  <c r="K189" i="1"/>
  <c r="L189" i="1"/>
  <c r="M189" i="1"/>
  <c r="N189" i="1"/>
  <c r="O189" i="1"/>
  <c r="P189" i="1"/>
  <c r="Q189" i="1"/>
  <c r="R189" i="1"/>
  <c r="S189" i="1"/>
  <c r="J190" i="1"/>
  <c r="K190" i="1"/>
  <c r="L190" i="1"/>
  <c r="M190" i="1"/>
  <c r="N190" i="1"/>
  <c r="O190" i="1"/>
  <c r="P190" i="1"/>
  <c r="Q190" i="1"/>
  <c r="R190" i="1"/>
  <c r="S190" i="1"/>
  <c r="J191" i="1"/>
  <c r="K191" i="1"/>
  <c r="L191" i="1"/>
  <c r="M191" i="1"/>
  <c r="N191" i="1"/>
  <c r="O191" i="1"/>
  <c r="P191" i="1"/>
  <c r="Q191" i="1"/>
  <c r="R191" i="1"/>
  <c r="J192" i="1"/>
  <c r="K192" i="1"/>
  <c r="L192" i="1"/>
  <c r="M192" i="1"/>
  <c r="N192" i="1"/>
  <c r="O192" i="1"/>
  <c r="P192" i="1"/>
  <c r="Q192" i="1"/>
  <c r="R192" i="1"/>
  <c r="J193" i="1"/>
  <c r="K193" i="1"/>
  <c r="L193" i="1"/>
  <c r="M193" i="1"/>
  <c r="N193" i="1"/>
  <c r="O193" i="1"/>
  <c r="P193" i="1"/>
  <c r="Q193" i="1"/>
  <c r="R193" i="1"/>
  <c r="S193" i="1" s="1"/>
  <c r="J194" i="1"/>
  <c r="K194" i="1"/>
  <c r="L194" i="1"/>
  <c r="M194" i="1"/>
  <c r="N194" i="1"/>
  <c r="O194" i="1"/>
  <c r="P194" i="1"/>
  <c r="Q194" i="1"/>
  <c r="R194" i="1"/>
  <c r="J195" i="1"/>
  <c r="K195" i="1"/>
  <c r="L195" i="1"/>
  <c r="M195" i="1"/>
  <c r="N195" i="1"/>
  <c r="O195" i="1"/>
  <c r="P195" i="1"/>
  <c r="Q195" i="1"/>
  <c r="R195" i="1"/>
  <c r="S195" i="1"/>
  <c r="J196" i="1"/>
  <c r="K196" i="1"/>
  <c r="L196" i="1"/>
  <c r="M196" i="1"/>
  <c r="N196" i="1"/>
  <c r="O196" i="1"/>
  <c r="P196" i="1"/>
  <c r="Q196" i="1"/>
  <c r="R196" i="1"/>
  <c r="S196" i="1"/>
  <c r="J197" i="1"/>
  <c r="K197" i="1"/>
  <c r="L197" i="1"/>
  <c r="M197" i="1"/>
  <c r="N197" i="1"/>
  <c r="O197" i="1"/>
  <c r="P197" i="1"/>
  <c r="Q197" i="1"/>
  <c r="R197" i="1"/>
  <c r="S197" i="1"/>
  <c r="J198" i="1"/>
  <c r="K198" i="1"/>
  <c r="L198" i="1"/>
  <c r="M198" i="1"/>
  <c r="N198" i="1"/>
  <c r="O198" i="1"/>
  <c r="P198" i="1"/>
  <c r="Q198" i="1"/>
  <c r="R198" i="1"/>
  <c r="J199" i="1"/>
  <c r="K199" i="1"/>
  <c r="L199" i="1"/>
  <c r="M199" i="1"/>
  <c r="N199" i="1"/>
  <c r="O199" i="1"/>
  <c r="P199" i="1"/>
  <c r="Q199" i="1"/>
  <c r="R199" i="1"/>
  <c r="J200" i="1"/>
  <c r="K200" i="1"/>
  <c r="L200" i="1"/>
  <c r="M200" i="1"/>
  <c r="N200" i="1"/>
  <c r="O200" i="1"/>
  <c r="P200" i="1"/>
  <c r="Q200" i="1"/>
  <c r="R200" i="1"/>
  <c r="S200" i="1"/>
  <c r="J201" i="1"/>
  <c r="K201" i="1"/>
  <c r="L201" i="1"/>
  <c r="M201" i="1"/>
  <c r="N201" i="1"/>
  <c r="O201" i="1"/>
  <c r="P201" i="1"/>
  <c r="Q201" i="1"/>
  <c r="R201" i="1"/>
  <c r="S201" i="1"/>
  <c r="J202" i="1"/>
  <c r="K202" i="1"/>
  <c r="L202" i="1"/>
  <c r="M202" i="1"/>
  <c r="N202" i="1"/>
  <c r="O202" i="1"/>
  <c r="P202" i="1"/>
  <c r="Q202" i="1"/>
  <c r="R202" i="1"/>
  <c r="S202" i="1" s="1"/>
  <c r="J203" i="1"/>
  <c r="K203" i="1"/>
  <c r="L203" i="1"/>
  <c r="M203" i="1"/>
  <c r="N203" i="1"/>
  <c r="O203" i="1"/>
  <c r="P203" i="1"/>
  <c r="Q203" i="1"/>
  <c r="R203" i="1"/>
  <c r="J204" i="1"/>
  <c r="K204" i="1"/>
  <c r="L204" i="1"/>
  <c r="M204" i="1"/>
  <c r="N204" i="1"/>
  <c r="O204" i="1"/>
  <c r="P204" i="1"/>
  <c r="Q204" i="1"/>
  <c r="R204" i="1"/>
  <c r="S204" i="1"/>
  <c r="J205" i="1"/>
  <c r="K205" i="1"/>
  <c r="L205" i="1"/>
  <c r="M205" i="1"/>
  <c r="N205" i="1"/>
  <c r="O205" i="1"/>
  <c r="P205" i="1"/>
  <c r="Q205" i="1"/>
  <c r="R205" i="1"/>
  <c r="S205" i="1"/>
  <c r="J206" i="1"/>
  <c r="K206" i="1"/>
  <c r="L206" i="1"/>
  <c r="M206" i="1"/>
  <c r="N206" i="1"/>
  <c r="O206" i="1"/>
  <c r="P206" i="1"/>
  <c r="Q206" i="1"/>
  <c r="R206" i="1"/>
  <c r="J207" i="1"/>
  <c r="K207" i="1"/>
  <c r="L207" i="1"/>
  <c r="M207" i="1"/>
  <c r="N207" i="1"/>
  <c r="O207" i="1"/>
  <c r="P207" i="1"/>
  <c r="Q207" i="1"/>
  <c r="R207" i="1"/>
  <c r="J208" i="1"/>
  <c r="K208" i="1"/>
  <c r="L208" i="1"/>
  <c r="M208" i="1"/>
  <c r="N208" i="1"/>
  <c r="O208" i="1"/>
  <c r="P208" i="1"/>
  <c r="Q208" i="1"/>
  <c r="R208" i="1"/>
  <c r="J209" i="1"/>
  <c r="K209" i="1"/>
  <c r="L209" i="1"/>
  <c r="M209" i="1"/>
  <c r="N209" i="1"/>
  <c r="O209" i="1"/>
  <c r="P209" i="1"/>
  <c r="Q209" i="1"/>
  <c r="R209" i="1"/>
  <c r="J210" i="1"/>
  <c r="K210" i="1"/>
  <c r="L210" i="1"/>
  <c r="M210" i="1"/>
  <c r="N210" i="1"/>
  <c r="O210" i="1"/>
  <c r="P210" i="1"/>
  <c r="Q210" i="1"/>
  <c r="R210" i="1"/>
  <c r="J211" i="1"/>
  <c r="K211" i="1"/>
  <c r="L211" i="1"/>
  <c r="M211" i="1"/>
  <c r="N211" i="1"/>
  <c r="O211" i="1"/>
  <c r="P211" i="1"/>
  <c r="Q211" i="1"/>
  <c r="R211" i="1"/>
  <c r="J212" i="1"/>
  <c r="K212" i="1"/>
  <c r="L212" i="1"/>
  <c r="M212" i="1"/>
  <c r="N212" i="1"/>
  <c r="O212" i="1"/>
  <c r="P212" i="1"/>
  <c r="Q212" i="1"/>
  <c r="R212" i="1"/>
  <c r="J213" i="1"/>
  <c r="K213" i="1"/>
  <c r="L213" i="1"/>
  <c r="M213" i="1"/>
  <c r="N213" i="1"/>
  <c r="O213" i="1"/>
  <c r="P213" i="1"/>
  <c r="Q213" i="1"/>
  <c r="R213" i="1"/>
  <c r="S213" i="1"/>
  <c r="J214" i="1"/>
  <c r="K214" i="1"/>
  <c r="L214" i="1"/>
  <c r="M214" i="1"/>
  <c r="N214" i="1"/>
  <c r="O214" i="1"/>
  <c r="P214" i="1"/>
  <c r="Q214" i="1"/>
  <c r="R214" i="1"/>
  <c r="S214" i="1"/>
  <c r="J215" i="1"/>
  <c r="K215" i="1"/>
  <c r="L215" i="1"/>
  <c r="M215" i="1"/>
  <c r="N215" i="1"/>
  <c r="O215" i="1"/>
  <c r="P215" i="1"/>
  <c r="Q215" i="1"/>
  <c r="R215" i="1"/>
  <c r="S215" i="1" s="1"/>
  <c r="J216" i="1"/>
  <c r="K216" i="1"/>
  <c r="L216" i="1"/>
  <c r="M216" i="1"/>
  <c r="N216" i="1"/>
  <c r="O216" i="1"/>
  <c r="P216" i="1"/>
  <c r="Q216" i="1"/>
  <c r="R216" i="1"/>
  <c r="J217" i="1"/>
  <c r="K217" i="1"/>
  <c r="L217" i="1"/>
  <c r="M217" i="1"/>
  <c r="N217" i="1"/>
  <c r="O217" i="1"/>
  <c r="P217" i="1"/>
  <c r="Q217" i="1"/>
  <c r="R217" i="1"/>
  <c r="S217" i="1"/>
  <c r="J218" i="1"/>
  <c r="K218" i="1"/>
  <c r="L218" i="1"/>
  <c r="M218" i="1"/>
  <c r="N218" i="1"/>
  <c r="O218" i="1"/>
  <c r="P218" i="1"/>
  <c r="Q218" i="1"/>
  <c r="R218" i="1"/>
  <c r="S218" i="1" s="1"/>
  <c r="J219" i="1"/>
  <c r="K219" i="1"/>
  <c r="L219" i="1"/>
  <c r="M219" i="1"/>
  <c r="N219" i="1"/>
  <c r="O219" i="1"/>
  <c r="P219" i="1"/>
  <c r="Q219" i="1"/>
  <c r="R219" i="1"/>
  <c r="J220" i="1"/>
  <c r="K220" i="1"/>
  <c r="L220" i="1"/>
  <c r="M220" i="1"/>
  <c r="N220" i="1"/>
  <c r="O220" i="1"/>
  <c r="P220" i="1"/>
  <c r="Q220" i="1"/>
  <c r="R220" i="1"/>
  <c r="J221" i="1"/>
  <c r="K221" i="1"/>
  <c r="L221" i="1"/>
  <c r="M221" i="1"/>
  <c r="N221" i="1"/>
  <c r="O221" i="1"/>
  <c r="P221" i="1"/>
  <c r="Q221" i="1"/>
  <c r="R221" i="1"/>
  <c r="J222" i="1"/>
  <c r="K222" i="1"/>
  <c r="L222" i="1"/>
  <c r="M222" i="1"/>
  <c r="N222" i="1"/>
  <c r="O222" i="1"/>
  <c r="P222" i="1"/>
  <c r="Q222" i="1"/>
  <c r="R222" i="1"/>
  <c r="J223" i="1"/>
  <c r="K223" i="1"/>
  <c r="L223" i="1"/>
  <c r="M223" i="1"/>
  <c r="N223" i="1"/>
  <c r="O223" i="1"/>
  <c r="P223" i="1"/>
  <c r="Q223" i="1"/>
  <c r="R223" i="1"/>
  <c r="J224" i="1"/>
  <c r="K224" i="1"/>
  <c r="L224" i="1"/>
  <c r="M224" i="1"/>
  <c r="N224" i="1"/>
  <c r="O224" i="1"/>
  <c r="P224" i="1"/>
  <c r="Q224" i="1"/>
  <c r="R224" i="1"/>
  <c r="J225" i="1"/>
  <c r="K225" i="1"/>
  <c r="L225" i="1"/>
  <c r="M225" i="1"/>
  <c r="N225" i="1"/>
  <c r="O225" i="1"/>
  <c r="P225" i="1"/>
  <c r="Q225" i="1"/>
  <c r="R225" i="1"/>
  <c r="J226" i="1"/>
  <c r="K226" i="1"/>
  <c r="L226" i="1"/>
  <c r="M226" i="1"/>
  <c r="N226" i="1"/>
  <c r="O226" i="1"/>
  <c r="P226" i="1"/>
  <c r="Q226" i="1"/>
  <c r="R226" i="1"/>
  <c r="S226" i="1"/>
  <c r="J227" i="1"/>
  <c r="K227" i="1"/>
  <c r="L227" i="1"/>
  <c r="M227" i="1"/>
  <c r="N227" i="1"/>
  <c r="O227" i="1"/>
  <c r="P227" i="1"/>
  <c r="Q227" i="1"/>
  <c r="R227" i="1"/>
  <c r="J228" i="1"/>
  <c r="K228" i="1"/>
  <c r="L228" i="1"/>
  <c r="M228" i="1"/>
  <c r="N228" i="1"/>
  <c r="O228" i="1"/>
  <c r="P228" i="1"/>
  <c r="Q228" i="1"/>
  <c r="R228" i="1"/>
  <c r="J229" i="1"/>
  <c r="K229" i="1"/>
  <c r="L229" i="1"/>
  <c r="M229" i="1"/>
  <c r="N229" i="1"/>
  <c r="O229" i="1"/>
  <c r="P229" i="1"/>
  <c r="Q229" i="1"/>
  <c r="R229" i="1"/>
  <c r="J230" i="1"/>
  <c r="K230" i="1"/>
  <c r="L230" i="1"/>
  <c r="M230" i="1"/>
  <c r="N230" i="1"/>
  <c r="O230" i="1"/>
  <c r="P230" i="1"/>
  <c r="Q230" i="1"/>
  <c r="R230" i="1"/>
  <c r="S230" i="1"/>
  <c r="J231" i="1"/>
  <c r="K231" i="1"/>
  <c r="L231" i="1"/>
  <c r="M231" i="1"/>
  <c r="N231" i="1"/>
  <c r="O231" i="1"/>
  <c r="P231" i="1"/>
  <c r="Q231" i="1"/>
  <c r="R231" i="1"/>
  <c r="S231" i="1"/>
  <c r="J232" i="1"/>
  <c r="K232" i="1"/>
  <c r="L232" i="1"/>
  <c r="M232" i="1"/>
  <c r="N232" i="1"/>
  <c r="O232" i="1"/>
  <c r="P232" i="1"/>
  <c r="Q232" i="1"/>
  <c r="R232" i="1"/>
  <c r="S232" i="1"/>
  <c r="J233" i="1"/>
  <c r="K233" i="1"/>
  <c r="L233" i="1"/>
  <c r="M233" i="1"/>
  <c r="N233" i="1"/>
  <c r="O233" i="1"/>
  <c r="P233" i="1"/>
  <c r="Q233" i="1"/>
  <c r="R233" i="1"/>
  <c r="S233" i="1"/>
  <c r="J234" i="1"/>
  <c r="K234" i="1"/>
  <c r="L234" i="1"/>
  <c r="M234" i="1"/>
  <c r="N234" i="1"/>
  <c r="O234" i="1"/>
  <c r="P234" i="1"/>
  <c r="Q234" i="1"/>
  <c r="R234" i="1"/>
  <c r="S234" i="1"/>
  <c r="J235" i="1"/>
  <c r="K235" i="1"/>
  <c r="L235" i="1"/>
  <c r="M235" i="1"/>
  <c r="N235" i="1"/>
  <c r="O235" i="1"/>
  <c r="P235" i="1"/>
  <c r="Q235" i="1"/>
  <c r="R235" i="1"/>
  <c r="S235" i="1"/>
  <c r="J236" i="1"/>
  <c r="K236" i="1"/>
  <c r="L236" i="1"/>
  <c r="M236" i="1"/>
  <c r="N236" i="1"/>
  <c r="O236" i="1"/>
  <c r="P236" i="1"/>
  <c r="Q236" i="1"/>
  <c r="R236" i="1"/>
  <c r="S236" i="1"/>
  <c r="J237" i="1"/>
  <c r="K237" i="1"/>
  <c r="L237" i="1"/>
  <c r="M237" i="1"/>
  <c r="N237" i="1"/>
  <c r="O237" i="1"/>
  <c r="P237" i="1"/>
  <c r="Q237" i="1"/>
  <c r="R237" i="1"/>
  <c r="S237" i="1"/>
  <c r="J238" i="1"/>
  <c r="K238" i="1"/>
  <c r="L238" i="1"/>
  <c r="M238" i="1"/>
  <c r="N238" i="1"/>
  <c r="O238" i="1"/>
  <c r="P238" i="1"/>
  <c r="Q238" i="1"/>
  <c r="R238" i="1"/>
  <c r="S238" i="1"/>
  <c r="J239" i="1"/>
  <c r="K239" i="1"/>
  <c r="L239" i="1"/>
  <c r="M239" i="1"/>
  <c r="N239" i="1"/>
  <c r="O239" i="1"/>
  <c r="P239" i="1"/>
  <c r="Q239" i="1"/>
  <c r="R239" i="1"/>
  <c r="S239" i="1"/>
  <c r="J240" i="1"/>
  <c r="K240" i="1"/>
  <c r="L240" i="1"/>
  <c r="M240" i="1"/>
  <c r="N240" i="1"/>
  <c r="O240" i="1"/>
  <c r="P240" i="1"/>
  <c r="Q240" i="1"/>
  <c r="R240" i="1"/>
  <c r="S240" i="1"/>
  <c r="J241" i="1"/>
  <c r="K241" i="1"/>
  <c r="L241" i="1"/>
  <c r="M241" i="1"/>
  <c r="N241" i="1"/>
  <c r="O241" i="1"/>
  <c r="P241" i="1"/>
  <c r="Q241" i="1"/>
  <c r="R241" i="1"/>
  <c r="S241" i="1"/>
  <c r="J242" i="1"/>
  <c r="K242" i="1"/>
  <c r="L242" i="1"/>
  <c r="M242" i="1"/>
  <c r="N242" i="1"/>
  <c r="O242" i="1"/>
  <c r="P242" i="1"/>
  <c r="Q242" i="1"/>
  <c r="R242" i="1"/>
  <c r="S242" i="1"/>
  <c r="J243" i="1"/>
  <c r="K243" i="1"/>
  <c r="L243" i="1"/>
  <c r="M243" i="1"/>
  <c r="N243" i="1"/>
  <c r="O243" i="1"/>
  <c r="P243" i="1"/>
  <c r="Q243" i="1"/>
  <c r="R243" i="1"/>
  <c r="S243" i="1"/>
  <c r="J244" i="1"/>
  <c r="K244" i="1"/>
  <c r="L244" i="1"/>
  <c r="M244" i="1"/>
  <c r="N244" i="1"/>
  <c r="O244" i="1"/>
  <c r="P244" i="1"/>
  <c r="Q244" i="1"/>
  <c r="R244" i="1"/>
  <c r="S244" i="1"/>
  <c r="J245" i="1"/>
  <c r="K245" i="1"/>
  <c r="L245" i="1"/>
  <c r="M245" i="1"/>
  <c r="N245" i="1"/>
  <c r="O245" i="1"/>
  <c r="P245" i="1"/>
  <c r="Q245" i="1"/>
  <c r="R245" i="1"/>
  <c r="S245" i="1"/>
  <c r="J246" i="1"/>
  <c r="K246" i="1"/>
  <c r="L246" i="1"/>
  <c r="M246" i="1"/>
  <c r="N246" i="1"/>
  <c r="O246" i="1"/>
  <c r="P246" i="1"/>
  <c r="Q246" i="1"/>
  <c r="R246" i="1"/>
  <c r="S246" i="1"/>
  <c r="J247" i="1"/>
  <c r="K247" i="1"/>
  <c r="L247" i="1"/>
  <c r="M247" i="1"/>
  <c r="N247" i="1"/>
  <c r="O247" i="1"/>
  <c r="P247" i="1"/>
  <c r="Q247" i="1"/>
  <c r="R247" i="1"/>
  <c r="S247" i="1"/>
  <c r="J248" i="1"/>
  <c r="K248" i="1"/>
  <c r="L248" i="1"/>
  <c r="M248" i="1"/>
  <c r="N248" i="1"/>
  <c r="O248" i="1"/>
  <c r="P248" i="1"/>
  <c r="Q248" i="1"/>
  <c r="R248" i="1"/>
  <c r="S248" i="1"/>
  <c r="J249" i="1"/>
  <c r="K249" i="1"/>
  <c r="L249" i="1"/>
  <c r="M249" i="1"/>
  <c r="N249" i="1"/>
  <c r="O249" i="1"/>
  <c r="P249" i="1"/>
  <c r="Q249" i="1"/>
  <c r="R249" i="1"/>
  <c r="S249" i="1"/>
  <c r="J250" i="1"/>
  <c r="K250" i="1"/>
  <c r="L250" i="1"/>
  <c r="M250" i="1"/>
  <c r="N250" i="1"/>
  <c r="O250" i="1"/>
  <c r="P250" i="1"/>
  <c r="Q250" i="1"/>
  <c r="R250" i="1"/>
  <c r="S250" i="1"/>
  <c r="J251" i="1"/>
  <c r="K251" i="1"/>
  <c r="L251" i="1"/>
  <c r="M251" i="1"/>
  <c r="N251" i="1"/>
  <c r="O251" i="1"/>
  <c r="P251" i="1"/>
  <c r="Q251" i="1"/>
  <c r="R251" i="1"/>
  <c r="S251" i="1"/>
  <c r="J252" i="1"/>
  <c r="K252" i="1"/>
  <c r="L252" i="1"/>
  <c r="M252" i="1"/>
  <c r="N252" i="1"/>
  <c r="O252" i="1"/>
  <c r="P252" i="1"/>
  <c r="Q252" i="1"/>
  <c r="R252" i="1"/>
  <c r="S252" i="1"/>
  <c r="J253" i="1"/>
  <c r="K253" i="1"/>
  <c r="L253" i="1"/>
  <c r="M253" i="1"/>
  <c r="N253" i="1"/>
  <c r="O253" i="1"/>
  <c r="P253" i="1"/>
  <c r="Q253" i="1"/>
  <c r="R253" i="1"/>
  <c r="S253" i="1"/>
  <c r="J254" i="1"/>
  <c r="K254" i="1"/>
  <c r="L254" i="1"/>
  <c r="M254" i="1"/>
  <c r="N254" i="1"/>
  <c r="O254" i="1"/>
  <c r="P254" i="1"/>
  <c r="Q254" i="1"/>
  <c r="R254" i="1"/>
  <c r="S254" i="1"/>
  <c r="J255" i="1"/>
  <c r="K255" i="1"/>
  <c r="L255" i="1"/>
  <c r="M255" i="1"/>
  <c r="N255" i="1"/>
  <c r="O255" i="1"/>
  <c r="P255" i="1"/>
  <c r="Q255" i="1"/>
  <c r="R255" i="1"/>
  <c r="S255" i="1"/>
  <c r="J256" i="1"/>
  <c r="K256" i="1"/>
  <c r="L256" i="1"/>
  <c r="M256" i="1"/>
  <c r="S256" i="1" s="1"/>
  <c r="N256" i="1"/>
  <c r="O256" i="1"/>
  <c r="P256" i="1"/>
  <c r="Q256" i="1"/>
  <c r="R256" i="1"/>
  <c r="J257" i="1"/>
  <c r="K257" i="1"/>
  <c r="L257" i="1"/>
  <c r="M257" i="1"/>
  <c r="N257" i="1"/>
  <c r="O257" i="1"/>
  <c r="P257" i="1"/>
  <c r="Q257" i="1"/>
  <c r="R257" i="1"/>
  <c r="S257" i="1"/>
  <c r="J258" i="1"/>
  <c r="K258" i="1"/>
  <c r="L258" i="1"/>
  <c r="M258" i="1"/>
  <c r="N258" i="1"/>
  <c r="O258" i="1"/>
  <c r="P258" i="1"/>
  <c r="Q258" i="1"/>
  <c r="R258" i="1"/>
  <c r="S258" i="1"/>
  <c r="J259" i="1"/>
  <c r="K259" i="1"/>
  <c r="L259" i="1"/>
  <c r="M259" i="1"/>
  <c r="N259" i="1"/>
  <c r="O259" i="1"/>
  <c r="P259" i="1"/>
  <c r="Q259" i="1"/>
  <c r="R259" i="1"/>
  <c r="S259" i="1"/>
  <c r="J260" i="1"/>
  <c r="K260" i="1"/>
  <c r="L260" i="1"/>
  <c r="M260" i="1"/>
  <c r="N260" i="1"/>
  <c r="O260" i="1"/>
  <c r="P260" i="1"/>
  <c r="Q260" i="1"/>
  <c r="R260" i="1"/>
  <c r="S260" i="1"/>
  <c r="J261" i="1"/>
  <c r="K261" i="1"/>
  <c r="L261" i="1"/>
  <c r="M261" i="1"/>
  <c r="N261" i="1"/>
  <c r="O261" i="1"/>
  <c r="P261" i="1"/>
  <c r="Q261" i="1"/>
  <c r="R261" i="1"/>
  <c r="S261" i="1"/>
  <c r="J262" i="1"/>
  <c r="K262" i="1"/>
  <c r="L262" i="1"/>
  <c r="M262" i="1"/>
  <c r="N262" i="1"/>
  <c r="O262" i="1"/>
  <c r="P262" i="1"/>
  <c r="Q262" i="1"/>
  <c r="R262" i="1"/>
  <c r="S262" i="1"/>
  <c r="J263" i="1"/>
  <c r="K263" i="1"/>
  <c r="L263" i="1"/>
  <c r="M263" i="1"/>
  <c r="N263" i="1"/>
  <c r="O263" i="1"/>
  <c r="P263" i="1"/>
  <c r="Q263" i="1"/>
  <c r="R263" i="1"/>
  <c r="S263" i="1"/>
  <c r="J264" i="1"/>
  <c r="K264" i="1"/>
  <c r="L264" i="1"/>
  <c r="M264" i="1"/>
  <c r="N264" i="1"/>
  <c r="O264" i="1"/>
  <c r="P264" i="1"/>
  <c r="Q264" i="1"/>
  <c r="R264" i="1"/>
  <c r="S264" i="1"/>
  <c r="J265" i="1"/>
  <c r="K265" i="1"/>
  <c r="L265" i="1"/>
  <c r="M265" i="1"/>
  <c r="N265" i="1"/>
  <c r="O265" i="1"/>
  <c r="P265" i="1"/>
  <c r="Q265" i="1"/>
  <c r="R265" i="1"/>
  <c r="S265" i="1"/>
  <c r="J266" i="1"/>
  <c r="K266" i="1"/>
  <c r="L266" i="1"/>
  <c r="M266" i="1"/>
  <c r="N266" i="1"/>
  <c r="O266" i="1"/>
  <c r="P266" i="1"/>
  <c r="Q266" i="1"/>
  <c r="R266" i="1"/>
  <c r="S266" i="1"/>
  <c r="J267" i="1"/>
  <c r="K267" i="1"/>
  <c r="L267" i="1"/>
  <c r="M267" i="1"/>
  <c r="N267" i="1"/>
  <c r="O267" i="1"/>
  <c r="P267" i="1"/>
  <c r="Q267" i="1"/>
  <c r="R267" i="1"/>
  <c r="S267" i="1"/>
  <c r="J268" i="1"/>
  <c r="K268" i="1"/>
  <c r="L268" i="1"/>
  <c r="M268" i="1"/>
  <c r="N268" i="1"/>
  <c r="O268" i="1"/>
  <c r="P268" i="1"/>
  <c r="Q268" i="1"/>
  <c r="R268" i="1"/>
  <c r="S268" i="1"/>
  <c r="J269" i="1"/>
  <c r="K269" i="1"/>
  <c r="L269" i="1"/>
  <c r="M269" i="1"/>
  <c r="N269" i="1"/>
  <c r="O269" i="1"/>
  <c r="P269" i="1"/>
  <c r="Q269" i="1"/>
  <c r="R269" i="1"/>
  <c r="S269" i="1"/>
  <c r="J270" i="1"/>
  <c r="K270" i="1"/>
  <c r="L270" i="1"/>
  <c r="M270" i="1"/>
  <c r="N270" i="1"/>
  <c r="O270" i="1"/>
  <c r="P270" i="1"/>
  <c r="Q270" i="1"/>
  <c r="R270" i="1"/>
  <c r="S270" i="1"/>
  <c r="J271" i="1"/>
  <c r="K271" i="1"/>
  <c r="L271" i="1"/>
  <c r="M271" i="1"/>
  <c r="N271" i="1"/>
  <c r="O271" i="1"/>
  <c r="P271" i="1"/>
  <c r="Q271" i="1"/>
  <c r="R271" i="1"/>
  <c r="S271" i="1"/>
  <c r="J272" i="1"/>
  <c r="K272" i="1"/>
  <c r="L272" i="1"/>
  <c r="M272" i="1"/>
  <c r="N272" i="1"/>
  <c r="O272" i="1"/>
  <c r="P272" i="1"/>
  <c r="Q272" i="1"/>
  <c r="R272" i="1"/>
  <c r="S272" i="1"/>
  <c r="J273" i="1"/>
  <c r="K273" i="1"/>
  <c r="L273" i="1"/>
  <c r="M273" i="1"/>
  <c r="N273" i="1"/>
  <c r="O273" i="1"/>
  <c r="P273" i="1"/>
  <c r="Q273" i="1"/>
  <c r="R273" i="1"/>
  <c r="S273" i="1"/>
  <c r="J274" i="1"/>
  <c r="K274" i="1"/>
  <c r="L274" i="1"/>
  <c r="M274" i="1"/>
  <c r="N274" i="1"/>
  <c r="O274" i="1"/>
  <c r="P274" i="1"/>
  <c r="Q274" i="1"/>
  <c r="R274" i="1"/>
  <c r="S274" i="1"/>
  <c r="J275" i="1"/>
  <c r="K275" i="1"/>
  <c r="L275" i="1"/>
  <c r="M275" i="1"/>
  <c r="N275" i="1"/>
  <c r="O275" i="1"/>
  <c r="P275" i="1"/>
  <c r="Q275" i="1"/>
  <c r="R275" i="1"/>
  <c r="S275" i="1"/>
  <c r="J276" i="1"/>
  <c r="K276" i="1"/>
  <c r="L276" i="1"/>
  <c r="M276" i="1"/>
  <c r="N276" i="1"/>
  <c r="O276" i="1"/>
  <c r="P276" i="1"/>
  <c r="Q276" i="1"/>
  <c r="R276" i="1"/>
  <c r="S276" i="1"/>
  <c r="J277" i="1"/>
  <c r="K277" i="1"/>
  <c r="L277" i="1"/>
  <c r="M277" i="1"/>
  <c r="N277" i="1"/>
  <c r="O277" i="1"/>
  <c r="P277" i="1"/>
  <c r="Q277" i="1"/>
  <c r="R277" i="1"/>
  <c r="S277" i="1"/>
  <c r="J278" i="1"/>
  <c r="K278" i="1"/>
  <c r="L278" i="1"/>
  <c r="M278" i="1"/>
  <c r="N278" i="1"/>
  <c r="O278" i="1"/>
  <c r="P278" i="1"/>
  <c r="Q278" i="1"/>
  <c r="R278" i="1"/>
  <c r="S278" i="1"/>
  <c r="J279" i="1"/>
  <c r="K279" i="1"/>
  <c r="L279" i="1"/>
  <c r="M279" i="1"/>
  <c r="N279" i="1"/>
  <c r="O279" i="1"/>
  <c r="P279" i="1"/>
  <c r="Q279" i="1"/>
  <c r="R279" i="1"/>
  <c r="S279" i="1"/>
  <c r="J280" i="1"/>
  <c r="K280" i="1"/>
  <c r="L280" i="1"/>
  <c r="M280" i="1"/>
  <c r="N280" i="1"/>
  <c r="O280" i="1"/>
  <c r="P280" i="1"/>
  <c r="Q280" i="1"/>
  <c r="R280" i="1"/>
  <c r="S280" i="1"/>
  <c r="J281" i="1"/>
  <c r="K281" i="1"/>
  <c r="L281" i="1"/>
  <c r="M281" i="1"/>
  <c r="N281" i="1"/>
  <c r="O281" i="1"/>
  <c r="P281" i="1"/>
  <c r="Q281" i="1"/>
  <c r="R281" i="1"/>
  <c r="S281" i="1"/>
  <c r="J282" i="1"/>
  <c r="K282" i="1"/>
  <c r="L282" i="1"/>
  <c r="M282" i="1"/>
  <c r="N282" i="1"/>
  <c r="O282" i="1"/>
  <c r="P282" i="1"/>
  <c r="Q282" i="1"/>
  <c r="R282" i="1"/>
  <c r="S282" i="1"/>
  <c r="J283" i="1"/>
  <c r="K283" i="1"/>
  <c r="L283" i="1"/>
  <c r="M283" i="1"/>
  <c r="N283" i="1"/>
  <c r="O283" i="1"/>
  <c r="P283" i="1"/>
  <c r="Q283" i="1"/>
  <c r="R283" i="1"/>
  <c r="S283" i="1"/>
  <c r="J284" i="1"/>
  <c r="K284" i="1"/>
  <c r="L284" i="1"/>
  <c r="M284" i="1"/>
  <c r="N284" i="1"/>
  <c r="O284" i="1"/>
  <c r="P284" i="1"/>
  <c r="Q284" i="1"/>
  <c r="R284" i="1"/>
  <c r="S284" i="1"/>
  <c r="J285" i="1"/>
  <c r="K285" i="1"/>
  <c r="L285" i="1"/>
  <c r="M285" i="1"/>
  <c r="N285" i="1"/>
  <c r="O285" i="1"/>
  <c r="P285" i="1"/>
  <c r="Q285" i="1"/>
  <c r="S285" i="1" s="1"/>
  <c r="R285" i="1"/>
  <c r="J286" i="1"/>
  <c r="K286" i="1"/>
  <c r="L286" i="1"/>
  <c r="M286" i="1"/>
  <c r="N286" i="1"/>
  <c r="O286" i="1"/>
  <c r="P286" i="1"/>
  <c r="Q286" i="1"/>
  <c r="R286" i="1"/>
  <c r="J287" i="1"/>
  <c r="K287" i="1"/>
  <c r="L287" i="1"/>
  <c r="M287" i="1"/>
  <c r="N287" i="1"/>
  <c r="O287" i="1"/>
  <c r="P287" i="1"/>
  <c r="Q287" i="1"/>
  <c r="R287" i="1"/>
  <c r="J288" i="1"/>
  <c r="K288" i="1"/>
  <c r="L288" i="1"/>
  <c r="M288" i="1"/>
  <c r="N288" i="1"/>
  <c r="O288" i="1"/>
  <c r="P288" i="1"/>
  <c r="Q288" i="1"/>
  <c r="R288" i="1"/>
  <c r="J289" i="1"/>
  <c r="K289" i="1"/>
  <c r="L289" i="1"/>
  <c r="M289" i="1"/>
  <c r="N289" i="1"/>
  <c r="O289" i="1"/>
  <c r="P289" i="1"/>
  <c r="Q289" i="1"/>
  <c r="R289" i="1"/>
  <c r="J290" i="1"/>
  <c r="K290" i="1"/>
  <c r="L290" i="1"/>
  <c r="M290" i="1"/>
  <c r="N290" i="1"/>
  <c r="O290" i="1"/>
  <c r="P290" i="1"/>
  <c r="Q290" i="1"/>
  <c r="R290" i="1"/>
  <c r="J291" i="1"/>
  <c r="K291" i="1"/>
  <c r="L291" i="1"/>
  <c r="M291" i="1"/>
  <c r="N291" i="1"/>
  <c r="O291" i="1"/>
  <c r="P291" i="1"/>
  <c r="Q291" i="1"/>
  <c r="R291" i="1"/>
  <c r="J292" i="1"/>
  <c r="K292" i="1"/>
  <c r="L292" i="1"/>
  <c r="M292" i="1"/>
  <c r="N292" i="1"/>
  <c r="O292" i="1"/>
  <c r="P292" i="1"/>
  <c r="Q292" i="1"/>
  <c r="R292" i="1"/>
  <c r="J293" i="1"/>
  <c r="K293" i="1"/>
  <c r="L293" i="1"/>
  <c r="M293" i="1"/>
  <c r="N293" i="1"/>
  <c r="O293" i="1"/>
  <c r="P293" i="1"/>
  <c r="Q293" i="1"/>
  <c r="R293" i="1"/>
  <c r="J294" i="1"/>
  <c r="K294" i="1"/>
  <c r="L294" i="1"/>
  <c r="M294" i="1"/>
  <c r="N294" i="1"/>
  <c r="O294" i="1"/>
  <c r="P294" i="1"/>
  <c r="Q294" i="1"/>
  <c r="R294" i="1"/>
  <c r="S294" i="1"/>
  <c r="J295" i="1"/>
  <c r="K295" i="1"/>
  <c r="L295" i="1"/>
  <c r="M295" i="1"/>
  <c r="N295" i="1"/>
  <c r="O295" i="1"/>
  <c r="P295" i="1"/>
  <c r="Q295" i="1"/>
  <c r="R295" i="1"/>
  <c r="S295" i="1"/>
  <c r="J296" i="1"/>
  <c r="K296" i="1"/>
  <c r="L296" i="1"/>
  <c r="M296" i="1"/>
  <c r="N296" i="1"/>
  <c r="O296" i="1"/>
  <c r="P296" i="1"/>
  <c r="Q296" i="1"/>
  <c r="R296" i="1"/>
  <c r="S296" i="1"/>
  <c r="J297" i="1"/>
  <c r="K297" i="1"/>
  <c r="L297" i="1"/>
  <c r="M297" i="1"/>
  <c r="N297" i="1"/>
  <c r="O297" i="1"/>
  <c r="P297" i="1"/>
  <c r="Q297" i="1"/>
  <c r="R297" i="1"/>
  <c r="S297" i="1"/>
  <c r="J298" i="1"/>
  <c r="K298" i="1"/>
  <c r="L298" i="1"/>
  <c r="M298" i="1"/>
  <c r="N298" i="1"/>
  <c r="O298" i="1"/>
  <c r="P298" i="1"/>
  <c r="Q298" i="1"/>
  <c r="R298" i="1"/>
  <c r="S298" i="1" s="1"/>
  <c r="J299" i="1"/>
  <c r="K299" i="1"/>
  <c r="L299" i="1"/>
  <c r="M299" i="1"/>
  <c r="N299" i="1"/>
  <c r="O299" i="1"/>
  <c r="P299" i="1"/>
  <c r="Q299" i="1"/>
  <c r="S299" i="1" s="1"/>
  <c r="R299" i="1"/>
  <c r="J300" i="1"/>
  <c r="K300" i="1"/>
  <c r="L300" i="1"/>
  <c r="M300" i="1"/>
  <c r="N300" i="1"/>
  <c r="O300" i="1"/>
  <c r="P300" i="1"/>
  <c r="Q300" i="1"/>
  <c r="R300" i="1"/>
  <c r="S300" i="1"/>
  <c r="J301" i="1"/>
  <c r="K301" i="1"/>
  <c r="L301" i="1"/>
  <c r="M301" i="1"/>
  <c r="N301" i="1"/>
  <c r="O301" i="1"/>
  <c r="P301" i="1"/>
  <c r="Q301" i="1"/>
  <c r="R301" i="1"/>
  <c r="S301" i="1" s="1"/>
  <c r="J302" i="1"/>
  <c r="K302" i="1"/>
  <c r="L302" i="1"/>
  <c r="M302" i="1"/>
  <c r="N302" i="1"/>
  <c r="O302" i="1"/>
  <c r="P302" i="1"/>
  <c r="Q302" i="1"/>
  <c r="R302" i="1"/>
  <c r="S302" i="1"/>
  <c r="S11" i="1" l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290" i="1"/>
  <c r="S292" i="1"/>
  <c r="S293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182" i="1"/>
  <c r="S286" i="1"/>
  <c r="S287" i="1"/>
  <c r="S288" i="1"/>
  <c r="S289" i="1"/>
  <c r="S291" i="1"/>
  <c r="S191" i="1"/>
  <c r="S192" i="1"/>
  <c r="S194" i="1"/>
  <c r="S198" i="1"/>
  <c r="S199" i="1"/>
  <c r="S203" i="1"/>
  <c r="S206" i="1"/>
  <c r="S207" i="1"/>
  <c r="S208" i="1"/>
  <c r="S209" i="1"/>
  <c r="S210" i="1"/>
  <c r="S211" i="1"/>
  <c r="S212" i="1"/>
  <c r="S216" i="1"/>
  <c r="S219" i="1"/>
  <c r="S220" i="1"/>
  <c r="S221" i="1"/>
  <c r="S222" i="1"/>
  <c r="S223" i="1"/>
  <c r="S224" i="1"/>
  <c r="S225" i="1"/>
  <c r="S227" i="1"/>
  <c r="S228" i="1"/>
  <c r="S229" i="1"/>
  <c r="B163" i="3"/>
  <c r="B19" i="5"/>
  <c r="B24" i="5" s="1"/>
  <c r="B163" i="2"/>
  <c r="K163" i="2" s="1"/>
  <c r="S163" i="2" s="1"/>
  <c r="G2" i="6"/>
  <c r="G302" i="6"/>
  <c r="P302" i="6" s="1"/>
  <c r="G301" i="6"/>
  <c r="P301" i="6" s="1"/>
  <c r="G300" i="6"/>
  <c r="P300" i="6" s="1"/>
  <c r="G299" i="6"/>
  <c r="P299" i="6" s="1"/>
  <c r="G298" i="6"/>
  <c r="P298" i="6" s="1"/>
  <c r="G297" i="6"/>
  <c r="P297" i="6" s="1"/>
  <c r="G296" i="6"/>
  <c r="P296" i="6" s="1"/>
  <c r="G295" i="6"/>
  <c r="P295" i="6" s="1"/>
  <c r="G294" i="6"/>
  <c r="P294" i="6" s="1"/>
  <c r="G293" i="6"/>
  <c r="P293" i="6" s="1"/>
  <c r="G292" i="6"/>
  <c r="P292" i="6" s="1"/>
  <c r="G291" i="6"/>
  <c r="P291" i="6" s="1"/>
  <c r="G290" i="6"/>
  <c r="P290" i="6" s="1"/>
  <c r="G289" i="6"/>
  <c r="P289" i="6" s="1"/>
  <c r="G288" i="6"/>
  <c r="P288" i="6" s="1"/>
  <c r="G287" i="6"/>
  <c r="P287" i="6" s="1"/>
  <c r="G286" i="6"/>
  <c r="P286" i="6" s="1"/>
  <c r="G285" i="6"/>
  <c r="P285" i="6" s="1"/>
  <c r="G284" i="6"/>
  <c r="P284" i="6" s="1"/>
  <c r="G283" i="6"/>
  <c r="P283" i="6" s="1"/>
  <c r="G282" i="6"/>
  <c r="P282" i="6" s="1"/>
  <c r="G281" i="6"/>
  <c r="P281" i="6" s="1"/>
  <c r="G280" i="6"/>
  <c r="P280" i="6" s="1"/>
  <c r="G279" i="6"/>
  <c r="P279" i="6" s="1"/>
  <c r="G278" i="6"/>
  <c r="P278" i="6" s="1"/>
  <c r="G277" i="6"/>
  <c r="P277" i="6" s="1"/>
  <c r="G276" i="6"/>
  <c r="P276" i="6" s="1"/>
  <c r="G275" i="6"/>
  <c r="P275" i="6" s="1"/>
  <c r="G274" i="6"/>
  <c r="P274" i="6" s="1"/>
  <c r="G273" i="6"/>
  <c r="P273" i="6" s="1"/>
  <c r="G272" i="6"/>
  <c r="P272" i="6" s="1"/>
  <c r="G271" i="6"/>
  <c r="P271" i="6" s="1"/>
  <c r="G270" i="6"/>
  <c r="P270" i="6" s="1"/>
  <c r="G269" i="6"/>
  <c r="P269" i="6" s="1"/>
  <c r="G268" i="6"/>
  <c r="P268" i="6" s="1"/>
  <c r="G267" i="6"/>
  <c r="P267" i="6" s="1"/>
  <c r="G266" i="6"/>
  <c r="P266" i="6" s="1"/>
  <c r="G265" i="6"/>
  <c r="P265" i="6" s="1"/>
  <c r="G264" i="6"/>
  <c r="P264" i="6" s="1"/>
  <c r="G263" i="6"/>
  <c r="P263" i="6" s="1"/>
  <c r="G262" i="6"/>
  <c r="P262" i="6" s="1"/>
  <c r="G261" i="6"/>
  <c r="P261" i="6" s="1"/>
  <c r="G260" i="6"/>
  <c r="P260" i="6" s="1"/>
  <c r="G259" i="6"/>
  <c r="P259" i="6" s="1"/>
  <c r="G258" i="6"/>
  <c r="P258" i="6" s="1"/>
  <c r="G257" i="6"/>
  <c r="P257" i="6" s="1"/>
  <c r="G256" i="6"/>
  <c r="P256" i="6" s="1"/>
  <c r="G255" i="6"/>
  <c r="P255" i="6" s="1"/>
  <c r="G254" i="6"/>
  <c r="P254" i="6" s="1"/>
  <c r="G253" i="6"/>
  <c r="P253" i="6" s="1"/>
  <c r="G252" i="6"/>
  <c r="P252" i="6" s="1"/>
  <c r="G251" i="6"/>
  <c r="P251" i="6" s="1"/>
  <c r="G250" i="6"/>
  <c r="P250" i="6" s="1"/>
  <c r="G249" i="6"/>
  <c r="P249" i="6" s="1"/>
  <c r="G248" i="6"/>
  <c r="P248" i="6" s="1"/>
  <c r="G247" i="6"/>
  <c r="P247" i="6" s="1"/>
  <c r="G246" i="6"/>
  <c r="P246" i="6" s="1"/>
  <c r="G245" i="6"/>
  <c r="P245" i="6" s="1"/>
  <c r="G244" i="6"/>
  <c r="P244" i="6" s="1"/>
  <c r="G243" i="6"/>
  <c r="P243" i="6" s="1"/>
  <c r="G242" i="6"/>
  <c r="P242" i="6" s="1"/>
  <c r="G241" i="6"/>
  <c r="P241" i="6" s="1"/>
  <c r="G240" i="6"/>
  <c r="P240" i="6" s="1"/>
  <c r="G239" i="6"/>
  <c r="P239" i="6" s="1"/>
  <c r="G238" i="6"/>
  <c r="P238" i="6" s="1"/>
  <c r="G237" i="6"/>
  <c r="P237" i="6" s="1"/>
  <c r="G236" i="6"/>
  <c r="P236" i="6" s="1"/>
  <c r="G235" i="6"/>
  <c r="P235" i="6" s="1"/>
  <c r="G234" i="6"/>
  <c r="P234" i="6" s="1"/>
  <c r="G233" i="6"/>
  <c r="P233" i="6" s="1"/>
  <c r="G232" i="6"/>
  <c r="P232" i="6" s="1"/>
  <c r="G231" i="6"/>
  <c r="P231" i="6" s="1"/>
  <c r="G230" i="6"/>
  <c r="P230" i="6" s="1"/>
  <c r="G229" i="6"/>
  <c r="P229" i="6" s="1"/>
  <c r="G228" i="6"/>
  <c r="P228" i="6" s="1"/>
  <c r="G227" i="6"/>
  <c r="P227" i="6" s="1"/>
  <c r="G226" i="6"/>
  <c r="P226" i="6" s="1"/>
  <c r="G225" i="6"/>
  <c r="P225" i="6" s="1"/>
  <c r="G224" i="6"/>
  <c r="P224" i="6" s="1"/>
  <c r="G223" i="6"/>
  <c r="P223" i="6" s="1"/>
  <c r="G222" i="6"/>
  <c r="P222" i="6" s="1"/>
  <c r="G221" i="6"/>
  <c r="P221" i="6" s="1"/>
  <c r="G220" i="6"/>
  <c r="P220" i="6" s="1"/>
  <c r="G219" i="6"/>
  <c r="P219" i="6" s="1"/>
  <c r="G218" i="6"/>
  <c r="P218" i="6" s="1"/>
  <c r="G217" i="6"/>
  <c r="P217" i="6" s="1"/>
  <c r="G216" i="6"/>
  <c r="P216" i="6" s="1"/>
  <c r="G215" i="6"/>
  <c r="P215" i="6" s="1"/>
  <c r="G214" i="6"/>
  <c r="P214" i="6" s="1"/>
  <c r="G213" i="6"/>
  <c r="P213" i="6" s="1"/>
  <c r="G212" i="6"/>
  <c r="P212" i="6" s="1"/>
  <c r="G211" i="6"/>
  <c r="P211" i="6" s="1"/>
  <c r="G210" i="6"/>
  <c r="P210" i="6" s="1"/>
  <c r="G209" i="6"/>
  <c r="P209" i="6" s="1"/>
  <c r="G208" i="6"/>
  <c r="P208" i="6" s="1"/>
  <c r="G207" i="6"/>
  <c r="P207" i="6" s="1"/>
  <c r="G206" i="6"/>
  <c r="P206" i="6" s="1"/>
  <c r="G205" i="6"/>
  <c r="P205" i="6" s="1"/>
  <c r="G204" i="6"/>
  <c r="P204" i="6" s="1"/>
  <c r="G203" i="6"/>
  <c r="P203" i="6" s="1"/>
  <c r="G202" i="6"/>
  <c r="P202" i="6" s="1"/>
  <c r="G201" i="6"/>
  <c r="P201" i="6" s="1"/>
  <c r="G200" i="6"/>
  <c r="P200" i="6" s="1"/>
  <c r="G199" i="6"/>
  <c r="P199" i="6" s="1"/>
  <c r="G198" i="6"/>
  <c r="P198" i="6" s="1"/>
  <c r="G197" i="6"/>
  <c r="P197" i="6" s="1"/>
  <c r="G196" i="6"/>
  <c r="P196" i="6" s="1"/>
  <c r="G195" i="6"/>
  <c r="P195" i="6" s="1"/>
  <c r="G194" i="6"/>
  <c r="P194" i="6" s="1"/>
  <c r="G193" i="6"/>
  <c r="P193" i="6" s="1"/>
  <c r="G192" i="6"/>
  <c r="P192" i="6" s="1"/>
  <c r="G191" i="6"/>
  <c r="P191" i="6" s="1"/>
  <c r="G190" i="6"/>
  <c r="P190" i="6" s="1"/>
  <c r="G189" i="6"/>
  <c r="P189" i="6" s="1"/>
  <c r="G188" i="6"/>
  <c r="P188" i="6" s="1"/>
  <c r="G187" i="6"/>
  <c r="P187" i="6" s="1"/>
  <c r="G186" i="6"/>
  <c r="P186" i="6" s="1"/>
  <c r="G185" i="6"/>
  <c r="P185" i="6" s="1"/>
  <c r="G184" i="6"/>
  <c r="P184" i="6" s="1"/>
  <c r="G183" i="6"/>
  <c r="P183" i="6" s="1"/>
  <c r="G182" i="6"/>
  <c r="P182" i="6" s="1"/>
  <c r="G181" i="6"/>
  <c r="P181" i="6" s="1"/>
  <c r="G180" i="6"/>
  <c r="P180" i="6" s="1"/>
  <c r="G179" i="6"/>
  <c r="P179" i="6" s="1"/>
  <c r="G178" i="6"/>
  <c r="P178" i="6" s="1"/>
  <c r="G177" i="6"/>
  <c r="P177" i="6" s="1"/>
  <c r="G176" i="6"/>
  <c r="P176" i="6" s="1"/>
  <c r="G175" i="6"/>
  <c r="P175" i="6" s="1"/>
  <c r="G174" i="6"/>
  <c r="P174" i="6" s="1"/>
  <c r="G173" i="6"/>
  <c r="P173" i="6" s="1"/>
  <c r="G172" i="6"/>
  <c r="P172" i="6" s="1"/>
  <c r="G171" i="6"/>
  <c r="P171" i="6" s="1"/>
  <c r="G170" i="6"/>
  <c r="P170" i="6" s="1"/>
  <c r="G169" i="6"/>
  <c r="P169" i="6" s="1"/>
  <c r="G168" i="6"/>
  <c r="P168" i="6" s="1"/>
  <c r="G167" i="6"/>
  <c r="P167" i="6" s="1"/>
  <c r="G166" i="6"/>
  <c r="P166" i="6" s="1"/>
  <c r="G165" i="6"/>
  <c r="P165" i="6" s="1"/>
  <c r="G164" i="6"/>
  <c r="P164" i="6" s="1"/>
  <c r="G163" i="6"/>
  <c r="P163" i="6" s="1"/>
  <c r="G162" i="6"/>
  <c r="P162" i="6" s="1"/>
  <c r="G161" i="6"/>
  <c r="P161" i="6" s="1"/>
  <c r="G160" i="6"/>
  <c r="P160" i="6" s="1"/>
  <c r="G159" i="6"/>
  <c r="P159" i="6" s="1"/>
  <c r="G158" i="6"/>
  <c r="P158" i="6" s="1"/>
  <c r="G157" i="6"/>
  <c r="P157" i="6" s="1"/>
  <c r="G156" i="6"/>
  <c r="P156" i="6" s="1"/>
  <c r="G155" i="6"/>
  <c r="P155" i="6" s="1"/>
  <c r="G154" i="6"/>
  <c r="P154" i="6" s="1"/>
  <c r="G153" i="6"/>
  <c r="P153" i="6" s="1"/>
  <c r="G152" i="6"/>
  <c r="P152" i="6" s="1"/>
  <c r="G151" i="6"/>
  <c r="P151" i="6" s="1"/>
  <c r="G150" i="6"/>
  <c r="P150" i="6" s="1"/>
  <c r="G149" i="6"/>
  <c r="P149" i="6" s="1"/>
  <c r="G148" i="6"/>
  <c r="P148" i="6" s="1"/>
  <c r="G147" i="6"/>
  <c r="P147" i="6" s="1"/>
  <c r="G146" i="6"/>
  <c r="P146" i="6" s="1"/>
  <c r="G145" i="6"/>
  <c r="P145" i="6" s="1"/>
  <c r="G144" i="6"/>
  <c r="P144" i="6" s="1"/>
  <c r="G143" i="6"/>
  <c r="P143" i="6" s="1"/>
  <c r="G142" i="6"/>
  <c r="P142" i="6" s="1"/>
  <c r="G141" i="6"/>
  <c r="P141" i="6" s="1"/>
  <c r="G140" i="6"/>
  <c r="P140" i="6" s="1"/>
  <c r="G139" i="6"/>
  <c r="P139" i="6" s="1"/>
  <c r="G138" i="6"/>
  <c r="P138" i="6" s="1"/>
  <c r="G137" i="6"/>
  <c r="P137" i="6" s="1"/>
  <c r="G136" i="6"/>
  <c r="P136" i="6" s="1"/>
  <c r="G135" i="6"/>
  <c r="P135" i="6" s="1"/>
  <c r="G134" i="6"/>
  <c r="P134" i="6" s="1"/>
  <c r="G133" i="6"/>
  <c r="P133" i="6" s="1"/>
  <c r="G132" i="6"/>
  <c r="P132" i="6" s="1"/>
  <c r="G131" i="6"/>
  <c r="P131" i="6" s="1"/>
  <c r="G130" i="6"/>
  <c r="P130" i="6" s="1"/>
  <c r="G129" i="6"/>
  <c r="P129" i="6" s="1"/>
  <c r="G128" i="6"/>
  <c r="P128" i="6" s="1"/>
  <c r="G127" i="6"/>
  <c r="P127" i="6" s="1"/>
  <c r="G126" i="6"/>
  <c r="P126" i="6" s="1"/>
  <c r="G125" i="6"/>
  <c r="P125" i="6" s="1"/>
  <c r="G124" i="6"/>
  <c r="P124" i="6" s="1"/>
  <c r="G123" i="6"/>
  <c r="P123" i="6" s="1"/>
  <c r="G122" i="6"/>
  <c r="P122" i="6" s="1"/>
  <c r="G121" i="6"/>
  <c r="P121" i="6" s="1"/>
  <c r="G120" i="6"/>
  <c r="P120" i="6" s="1"/>
  <c r="G118" i="6"/>
  <c r="P118" i="6" s="1"/>
  <c r="G116" i="6"/>
  <c r="P116" i="6" s="1"/>
  <c r="G114" i="6"/>
  <c r="P114" i="6" s="1"/>
  <c r="G112" i="6"/>
  <c r="P112" i="6" s="1"/>
  <c r="G110" i="6"/>
  <c r="P110" i="6" s="1"/>
  <c r="G108" i="6"/>
  <c r="P108" i="6" s="1"/>
  <c r="G106" i="6"/>
  <c r="P106" i="6" s="1"/>
  <c r="G104" i="6"/>
  <c r="P104" i="6" s="1"/>
  <c r="G102" i="6"/>
  <c r="P102" i="6" s="1"/>
  <c r="G100" i="6"/>
  <c r="P100" i="6" s="1"/>
  <c r="G92" i="6"/>
  <c r="P92" i="6" s="1"/>
  <c r="G91" i="6"/>
  <c r="P91" i="6" s="1"/>
  <c r="G90" i="6"/>
  <c r="P90" i="6" s="1"/>
  <c r="G88" i="6"/>
  <c r="P88" i="6" s="1"/>
  <c r="G86" i="6"/>
  <c r="P86" i="6" s="1"/>
  <c r="G84" i="6"/>
  <c r="P84" i="6" s="1"/>
  <c r="G82" i="6"/>
  <c r="P82" i="6" s="1"/>
  <c r="G80" i="6"/>
  <c r="P80" i="6" s="1"/>
  <c r="G78" i="6"/>
  <c r="P78" i="6" s="1"/>
  <c r="G76" i="6"/>
  <c r="P76" i="6" s="1"/>
  <c r="G74" i="6"/>
  <c r="P74" i="6" s="1"/>
  <c r="G73" i="6"/>
  <c r="P73" i="6" s="1"/>
  <c r="G72" i="6"/>
  <c r="P72" i="6" s="1"/>
  <c r="G71" i="6"/>
  <c r="P71" i="6" s="1"/>
  <c r="G68" i="6"/>
  <c r="P68" i="6" s="1"/>
  <c r="G66" i="6"/>
  <c r="P66" i="6" s="1"/>
  <c r="G65" i="6"/>
  <c r="P65" i="6" s="1"/>
  <c r="G63" i="6"/>
  <c r="P63" i="6" s="1"/>
  <c r="G61" i="6"/>
  <c r="P61" i="6" s="1"/>
  <c r="G59" i="6"/>
  <c r="P59" i="6" s="1"/>
  <c r="G57" i="6"/>
  <c r="P57" i="6" s="1"/>
  <c r="G55" i="6"/>
  <c r="P55" i="6" s="1"/>
  <c r="G53" i="6"/>
  <c r="P53" i="6" s="1"/>
  <c r="G51" i="6"/>
  <c r="P51" i="6" s="1"/>
  <c r="G49" i="6"/>
  <c r="P49" i="6" s="1"/>
  <c r="G47" i="6"/>
  <c r="P47" i="6" s="1"/>
  <c r="G42" i="6"/>
  <c r="P42" i="6" s="1"/>
  <c r="G40" i="6"/>
  <c r="P40" i="6" s="1"/>
  <c r="G38" i="6"/>
  <c r="P38" i="6" s="1"/>
  <c r="G36" i="6"/>
  <c r="P36" i="6" s="1"/>
  <c r="G34" i="6"/>
  <c r="P34" i="6" s="1"/>
  <c r="G32" i="6"/>
  <c r="P32" i="6" s="1"/>
  <c r="G30" i="6"/>
  <c r="P30" i="6" s="1"/>
  <c r="G28" i="6"/>
  <c r="P28" i="6" s="1"/>
  <c r="G26" i="6"/>
  <c r="P26" i="6" s="1"/>
  <c r="G24" i="6"/>
  <c r="P24" i="6" s="1"/>
  <c r="G22" i="6"/>
  <c r="P22" i="6" s="1"/>
  <c r="G21" i="6"/>
  <c r="P21" i="6" s="1"/>
  <c r="G18" i="6"/>
  <c r="P18" i="6" s="1"/>
  <c r="G17" i="6"/>
  <c r="P17" i="6" s="1"/>
  <c r="G15" i="6"/>
  <c r="P15" i="6" s="1"/>
  <c r="G13" i="6"/>
  <c r="P13" i="6" s="1"/>
  <c r="G11" i="6"/>
  <c r="P11" i="6" s="1"/>
  <c r="G9" i="6"/>
  <c r="P9" i="6" s="1"/>
  <c r="G7" i="6"/>
  <c r="P7" i="6" s="1"/>
  <c r="G5" i="6"/>
  <c r="P5" i="6" s="1"/>
  <c r="G3" i="6"/>
  <c r="P3" i="6" s="1"/>
  <c r="G119" i="6"/>
  <c r="P119" i="6" s="1"/>
  <c r="G117" i="6"/>
  <c r="P117" i="6" s="1"/>
  <c r="G115" i="6"/>
  <c r="P115" i="6" s="1"/>
  <c r="G113" i="6"/>
  <c r="P113" i="6" s="1"/>
  <c r="G111" i="6"/>
  <c r="P111" i="6" s="1"/>
  <c r="G109" i="6"/>
  <c r="P109" i="6" s="1"/>
  <c r="G107" i="6"/>
  <c r="P107" i="6" s="1"/>
  <c r="G105" i="6"/>
  <c r="P105" i="6" s="1"/>
  <c r="G103" i="6"/>
  <c r="P103" i="6" s="1"/>
  <c r="G101" i="6"/>
  <c r="P101" i="6" s="1"/>
  <c r="G99" i="6"/>
  <c r="P99" i="6" s="1"/>
  <c r="G98" i="6"/>
  <c r="P98" i="6" s="1"/>
  <c r="G97" i="6"/>
  <c r="P97" i="6" s="1"/>
  <c r="G96" i="6"/>
  <c r="P96" i="6" s="1"/>
  <c r="G95" i="6"/>
  <c r="P95" i="6" s="1"/>
  <c r="G94" i="6"/>
  <c r="P94" i="6" s="1"/>
  <c r="G93" i="6"/>
  <c r="P93" i="6" s="1"/>
  <c r="G89" i="6"/>
  <c r="P89" i="6" s="1"/>
  <c r="G87" i="6"/>
  <c r="P87" i="6" s="1"/>
  <c r="G85" i="6"/>
  <c r="P85" i="6" s="1"/>
  <c r="G83" i="6"/>
  <c r="P83" i="6" s="1"/>
  <c r="G81" i="6"/>
  <c r="P81" i="6" s="1"/>
  <c r="G79" i="6"/>
  <c r="P79" i="6" s="1"/>
  <c r="G77" i="6"/>
  <c r="P77" i="6" s="1"/>
  <c r="G75" i="6"/>
  <c r="P75" i="6" s="1"/>
  <c r="G70" i="6"/>
  <c r="P70" i="6" s="1"/>
  <c r="G69" i="6"/>
  <c r="P69" i="6" s="1"/>
  <c r="G67" i="6"/>
  <c r="P67" i="6" s="1"/>
  <c r="G64" i="6"/>
  <c r="P64" i="6" s="1"/>
  <c r="G62" i="6"/>
  <c r="P62" i="6" s="1"/>
  <c r="G60" i="6"/>
  <c r="P60" i="6" s="1"/>
  <c r="G58" i="6"/>
  <c r="P58" i="6" s="1"/>
  <c r="G56" i="6"/>
  <c r="P56" i="6" s="1"/>
  <c r="G54" i="6"/>
  <c r="P54" i="6" s="1"/>
  <c r="G52" i="6"/>
  <c r="P52" i="6" s="1"/>
  <c r="G50" i="6"/>
  <c r="P50" i="6" s="1"/>
  <c r="G48" i="6"/>
  <c r="P48" i="6" s="1"/>
  <c r="G46" i="6"/>
  <c r="P46" i="6" s="1"/>
  <c r="G45" i="6"/>
  <c r="P45" i="6" s="1"/>
  <c r="G44" i="6"/>
  <c r="P44" i="6" s="1"/>
  <c r="G43" i="6"/>
  <c r="P43" i="6" s="1"/>
  <c r="G41" i="6"/>
  <c r="P41" i="6" s="1"/>
  <c r="G39" i="6"/>
  <c r="P39" i="6" s="1"/>
  <c r="G37" i="6"/>
  <c r="P37" i="6" s="1"/>
  <c r="G35" i="6"/>
  <c r="P35" i="6" s="1"/>
  <c r="G33" i="6"/>
  <c r="P33" i="6" s="1"/>
  <c r="G31" i="6"/>
  <c r="P31" i="6" s="1"/>
  <c r="G29" i="6"/>
  <c r="P29" i="6" s="1"/>
  <c r="G27" i="6"/>
  <c r="P27" i="6" s="1"/>
  <c r="G25" i="6"/>
  <c r="P25" i="6" s="1"/>
  <c r="G23" i="6"/>
  <c r="P23" i="6" s="1"/>
  <c r="G20" i="6"/>
  <c r="P20" i="6" s="1"/>
  <c r="G19" i="6"/>
  <c r="P19" i="6" s="1"/>
  <c r="G16" i="6"/>
  <c r="P16" i="6" s="1"/>
  <c r="G14" i="6"/>
  <c r="P14" i="6" s="1"/>
  <c r="G12" i="6"/>
  <c r="P12" i="6" s="1"/>
  <c r="G10" i="6"/>
  <c r="P10" i="6" s="1"/>
  <c r="G8" i="6"/>
  <c r="P8" i="6" s="1"/>
  <c r="G6" i="6"/>
  <c r="P6" i="6" s="1"/>
  <c r="G4" i="6"/>
  <c r="P4" i="6" s="1"/>
  <c r="E2" i="6"/>
  <c r="E302" i="6"/>
  <c r="N302" i="6" s="1"/>
  <c r="E301" i="6"/>
  <c r="N301" i="6" s="1"/>
  <c r="E300" i="6"/>
  <c r="N300" i="6" s="1"/>
  <c r="E299" i="6"/>
  <c r="N299" i="6" s="1"/>
  <c r="E298" i="6"/>
  <c r="N298" i="6" s="1"/>
  <c r="E297" i="6"/>
  <c r="N297" i="6" s="1"/>
  <c r="E296" i="6"/>
  <c r="N296" i="6" s="1"/>
  <c r="E295" i="6"/>
  <c r="N295" i="6" s="1"/>
  <c r="E294" i="6"/>
  <c r="N294" i="6" s="1"/>
  <c r="E293" i="6"/>
  <c r="N293" i="6" s="1"/>
  <c r="E292" i="6"/>
  <c r="N292" i="6" s="1"/>
  <c r="E291" i="6"/>
  <c r="N291" i="6" s="1"/>
  <c r="E290" i="6"/>
  <c r="N290" i="6" s="1"/>
  <c r="E289" i="6"/>
  <c r="N289" i="6" s="1"/>
  <c r="E288" i="6"/>
  <c r="N288" i="6" s="1"/>
  <c r="E287" i="6"/>
  <c r="N287" i="6" s="1"/>
  <c r="E286" i="6"/>
  <c r="N286" i="6" s="1"/>
  <c r="E285" i="6"/>
  <c r="N285" i="6" s="1"/>
  <c r="E284" i="6"/>
  <c r="N284" i="6" s="1"/>
  <c r="E283" i="6"/>
  <c r="N283" i="6" s="1"/>
  <c r="E282" i="6"/>
  <c r="N282" i="6" s="1"/>
  <c r="E281" i="6"/>
  <c r="N281" i="6" s="1"/>
  <c r="E280" i="6"/>
  <c r="N280" i="6" s="1"/>
  <c r="E279" i="6"/>
  <c r="N279" i="6" s="1"/>
  <c r="E278" i="6"/>
  <c r="N278" i="6" s="1"/>
  <c r="E277" i="6"/>
  <c r="N277" i="6" s="1"/>
  <c r="E276" i="6"/>
  <c r="N276" i="6" s="1"/>
  <c r="E275" i="6"/>
  <c r="N275" i="6" s="1"/>
  <c r="E274" i="6"/>
  <c r="N274" i="6" s="1"/>
  <c r="E273" i="6"/>
  <c r="N273" i="6" s="1"/>
  <c r="E272" i="6"/>
  <c r="N272" i="6" s="1"/>
  <c r="E271" i="6"/>
  <c r="N271" i="6" s="1"/>
  <c r="E270" i="6"/>
  <c r="N270" i="6" s="1"/>
  <c r="E269" i="6"/>
  <c r="N269" i="6" s="1"/>
  <c r="E268" i="6"/>
  <c r="N268" i="6" s="1"/>
  <c r="E267" i="6"/>
  <c r="N267" i="6" s="1"/>
  <c r="E266" i="6"/>
  <c r="N266" i="6" s="1"/>
  <c r="E265" i="6"/>
  <c r="N265" i="6" s="1"/>
  <c r="E264" i="6"/>
  <c r="N264" i="6" s="1"/>
  <c r="E263" i="6"/>
  <c r="N263" i="6" s="1"/>
  <c r="E262" i="6"/>
  <c r="N262" i="6" s="1"/>
  <c r="E261" i="6"/>
  <c r="N261" i="6" s="1"/>
  <c r="E260" i="6"/>
  <c r="N260" i="6" s="1"/>
  <c r="E259" i="6"/>
  <c r="N259" i="6" s="1"/>
  <c r="E258" i="6"/>
  <c r="N258" i="6" s="1"/>
  <c r="E257" i="6"/>
  <c r="N257" i="6" s="1"/>
  <c r="E256" i="6"/>
  <c r="N256" i="6" s="1"/>
  <c r="E255" i="6"/>
  <c r="N255" i="6" s="1"/>
  <c r="E254" i="6"/>
  <c r="N254" i="6" s="1"/>
  <c r="E253" i="6"/>
  <c r="N253" i="6" s="1"/>
  <c r="E252" i="6"/>
  <c r="N252" i="6" s="1"/>
  <c r="E251" i="6"/>
  <c r="N251" i="6" s="1"/>
  <c r="E250" i="6"/>
  <c r="N250" i="6" s="1"/>
  <c r="E249" i="6"/>
  <c r="N249" i="6" s="1"/>
  <c r="E248" i="6"/>
  <c r="N248" i="6" s="1"/>
  <c r="E247" i="6"/>
  <c r="N247" i="6" s="1"/>
  <c r="E246" i="6"/>
  <c r="N246" i="6" s="1"/>
  <c r="E245" i="6"/>
  <c r="N245" i="6" s="1"/>
  <c r="E244" i="6"/>
  <c r="N244" i="6" s="1"/>
  <c r="E243" i="6"/>
  <c r="N243" i="6" s="1"/>
  <c r="E242" i="6"/>
  <c r="N242" i="6" s="1"/>
  <c r="E241" i="6"/>
  <c r="N241" i="6" s="1"/>
  <c r="E240" i="6"/>
  <c r="N240" i="6" s="1"/>
  <c r="E239" i="6"/>
  <c r="N239" i="6" s="1"/>
  <c r="E238" i="6"/>
  <c r="N238" i="6" s="1"/>
  <c r="E237" i="6"/>
  <c r="N237" i="6" s="1"/>
  <c r="E236" i="6"/>
  <c r="N236" i="6" s="1"/>
  <c r="E235" i="6"/>
  <c r="N235" i="6" s="1"/>
  <c r="E234" i="6"/>
  <c r="N234" i="6" s="1"/>
  <c r="E233" i="6"/>
  <c r="N233" i="6" s="1"/>
  <c r="E232" i="6"/>
  <c r="N232" i="6" s="1"/>
  <c r="E231" i="6"/>
  <c r="N231" i="6" s="1"/>
  <c r="E230" i="6"/>
  <c r="N230" i="6" s="1"/>
  <c r="E229" i="6"/>
  <c r="N229" i="6" s="1"/>
  <c r="E228" i="6"/>
  <c r="N228" i="6" s="1"/>
  <c r="E227" i="6"/>
  <c r="N227" i="6" s="1"/>
  <c r="E226" i="6"/>
  <c r="N226" i="6" s="1"/>
  <c r="E225" i="6"/>
  <c r="N225" i="6" s="1"/>
  <c r="E224" i="6"/>
  <c r="N224" i="6" s="1"/>
  <c r="E223" i="6"/>
  <c r="N223" i="6" s="1"/>
  <c r="E222" i="6"/>
  <c r="N222" i="6" s="1"/>
  <c r="E221" i="6"/>
  <c r="N221" i="6" s="1"/>
  <c r="E220" i="6"/>
  <c r="N220" i="6" s="1"/>
  <c r="E219" i="6"/>
  <c r="N219" i="6" s="1"/>
  <c r="E218" i="6"/>
  <c r="N218" i="6" s="1"/>
  <c r="E217" i="6"/>
  <c r="N217" i="6" s="1"/>
  <c r="E216" i="6"/>
  <c r="N216" i="6" s="1"/>
  <c r="E215" i="6"/>
  <c r="N215" i="6" s="1"/>
  <c r="E214" i="6"/>
  <c r="N214" i="6" s="1"/>
  <c r="E213" i="6"/>
  <c r="N213" i="6" s="1"/>
  <c r="E212" i="6"/>
  <c r="N212" i="6" s="1"/>
  <c r="E211" i="6"/>
  <c r="N211" i="6" s="1"/>
  <c r="E210" i="6"/>
  <c r="N210" i="6" s="1"/>
  <c r="E209" i="6"/>
  <c r="N209" i="6" s="1"/>
  <c r="E208" i="6"/>
  <c r="N208" i="6" s="1"/>
  <c r="E207" i="6"/>
  <c r="N207" i="6" s="1"/>
  <c r="E206" i="6"/>
  <c r="N206" i="6" s="1"/>
  <c r="E205" i="6"/>
  <c r="N205" i="6" s="1"/>
  <c r="E204" i="6"/>
  <c r="N204" i="6" s="1"/>
  <c r="E203" i="6"/>
  <c r="N203" i="6" s="1"/>
  <c r="E202" i="6"/>
  <c r="N202" i="6" s="1"/>
  <c r="E201" i="6"/>
  <c r="N201" i="6" s="1"/>
  <c r="E200" i="6"/>
  <c r="N200" i="6" s="1"/>
  <c r="E199" i="6"/>
  <c r="N199" i="6" s="1"/>
  <c r="E198" i="6"/>
  <c r="N198" i="6" s="1"/>
  <c r="E197" i="6"/>
  <c r="N197" i="6" s="1"/>
  <c r="E196" i="6"/>
  <c r="N196" i="6" s="1"/>
  <c r="E195" i="6"/>
  <c r="N195" i="6" s="1"/>
  <c r="E194" i="6"/>
  <c r="N194" i="6" s="1"/>
  <c r="E193" i="6"/>
  <c r="N193" i="6" s="1"/>
  <c r="E192" i="6"/>
  <c r="N192" i="6" s="1"/>
  <c r="E191" i="6"/>
  <c r="N191" i="6" s="1"/>
  <c r="E190" i="6"/>
  <c r="N190" i="6" s="1"/>
  <c r="E189" i="6"/>
  <c r="N189" i="6" s="1"/>
  <c r="E188" i="6"/>
  <c r="N188" i="6" s="1"/>
  <c r="E187" i="6"/>
  <c r="N187" i="6" s="1"/>
  <c r="E186" i="6"/>
  <c r="N186" i="6" s="1"/>
  <c r="E185" i="6"/>
  <c r="N185" i="6" s="1"/>
  <c r="E184" i="6"/>
  <c r="N184" i="6" s="1"/>
  <c r="E183" i="6"/>
  <c r="N183" i="6" s="1"/>
  <c r="E182" i="6"/>
  <c r="N182" i="6" s="1"/>
  <c r="E181" i="6"/>
  <c r="N181" i="6" s="1"/>
  <c r="E180" i="6"/>
  <c r="N180" i="6" s="1"/>
  <c r="E179" i="6"/>
  <c r="N179" i="6" s="1"/>
  <c r="E178" i="6"/>
  <c r="N178" i="6" s="1"/>
  <c r="E177" i="6"/>
  <c r="N177" i="6" s="1"/>
  <c r="E176" i="6"/>
  <c r="N176" i="6" s="1"/>
  <c r="E175" i="6"/>
  <c r="N175" i="6" s="1"/>
  <c r="E174" i="6"/>
  <c r="N174" i="6" s="1"/>
  <c r="E173" i="6"/>
  <c r="N173" i="6" s="1"/>
  <c r="E172" i="6"/>
  <c r="N172" i="6" s="1"/>
  <c r="E171" i="6"/>
  <c r="N171" i="6" s="1"/>
  <c r="E170" i="6"/>
  <c r="N170" i="6" s="1"/>
  <c r="E169" i="6"/>
  <c r="N169" i="6" s="1"/>
  <c r="E168" i="6"/>
  <c r="N168" i="6" s="1"/>
  <c r="E167" i="6"/>
  <c r="N167" i="6" s="1"/>
  <c r="E166" i="6"/>
  <c r="N166" i="6" s="1"/>
  <c r="E165" i="6"/>
  <c r="N165" i="6" s="1"/>
  <c r="E164" i="6"/>
  <c r="N164" i="6" s="1"/>
  <c r="E163" i="6"/>
  <c r="N163" i="6" s="1"/>
  <c r="E162" i="6"/>
  <c r="N162" i="6" s="1"/>
  <c r="E161" i="6"/>
  <c r="N161" i="6" s="1"/>
  <c r="E160" i="6"/>
  <c r="N160" i="6" s="1"/>
  <c r="E159" i="6"/>
  <c r="N159" i="6" s="1"/>
  <c r="E158" i="6"/>
  <c r="N158" i="6" s="1"/>
  <c r="E157" i="6"/>
  <c r="N157" i="6" s="1"/>
  <c r="E156" i="6"/>
  <c r="N156" i="6" s="1"/>
  <c r="E155" i="6"/>
  <c r="N155" i="6" s="1"/>
  <c r="E154" i="6"/>
  <c r="N154" i="6" s="1"/>
  <c r="E153" i="6"/>
  <c r="N153" i="6" s="1"/>
  <c r="E152" i="6"/>
  <c r="N152" i="6" s="1"/>
  <c r="E151" i="6"/>
  <c r="N151" i="6" s="1"/>
  <c r="E150" i="6"/>
  <c r="N150" i="6" s="1"/>
  <c r="E149" i="6"/>
  <c r="N149" i="6" s="1"/>
  <c r="E148" i="6"/>
  <c r="N148" i="6" s="1"/>
  <c r="E147" i="6"/>
  <c r="N147" i="6" s="1"/>
  <c r="E146" i="6"/>
  <c r="N146" i="6" s="1"/>
  <c r="E145" i="6"/>
  <c r="N145" i="6" s="1"/>
  <c r="E144" i="6"/>
  <c r="N144" i="6" s="1"/>
  <c r="E143" i="6"/>
  <c r="N143" i="6" s="1"/>
  <c r="E142" i="6"/>
  <c r="N142" i="6" s="1"/>
  <c r="E141" i="6"/>
  <c r="N141" i="6" s="1"/>
  <c r="E140" i="6"/>
  <c r="N140" i="6" s="1"/>
  <c r="E139" i="6"/>
  <c r="N139" i="6" s="1"/>
  <c r="E138" i="6"/>
  <c r="N138" i="6" s="1"/>
  <c r="E137" i="6"/>
  <c r="N137" i="6" s="1"/>
  <c r="E136" i="6"/>
  <c r="N136" i="6" s="1"/>
  <c r="E135" i="6"/>
  <c r="N135" i="6" s="1"/>
  <c r="E134" i="6"/>
  <c r="N134" i="6" s="1"/>
  <c r="E133" i="6"/>
  <c r="N133" i="6" s="1"/>
  <c r="E132" i="6"/>
  <c r="N132" i="6" s="1"/>
  <c r="E131" i="6"/>
  <c r="N131" i="6" s="1"/>
  <c r="E130" i="6"/>
  <c r="N130" i="6" s="1"/>
  <c r="E129" i="6"/>
  <c r="N129" i="6" s="1"/>
  <c r="E128" i="6"/>
  <c r="N128" i="6" s="1"/>
  <c r="E127" i="6"/>
  <c r="N127" i="6" s="1"/>
  <c r="E126" i="6"/>
  <c r="N126" i="6" s="1"/>
  <c r="E125" i="6"/>
  <c r="N125" i="6" s="1"/>
  <c r="E124" i="6"/>
  <c r="N124" i="6" s="1"/>
  <c r="E123" i="6"/>
  <c r="N123" i="6" s="1"/>
  <c r="E122" i="6"/>
  <c r="N122" i="6" s="1"/>
  <c r="E121" i="6"/>
  <c r="N121" i="6" s="1"/>
  <c r="E120" i="6"/>
  <c r="N120" i="6" s="1"/>
  <c r="E118" i="6"/>
  <c r="N118" i="6" s="1"/>
  <c r="E116" i="6"/>
  <c r="N116" i="6" s="1"/>
  <c r="E114" i="6"/>
  <c r="N114" i="6" s="1"/>
  <c r="E112" i="6"/>
  <c r="N112" i="6" s="1"/>
  <c r="E110" i="6"/>
  <c r="N110" i="6" s="1"/>
  <c r="E108" i="6"/>
  <c r="N108" i="6" s="1"/>
  <c r="E106" i="6"/>
  <c r="N106" i="6" s="1"/>
  <c r="E104" i="6"/>
  <c r="N104" i="6" s="1"/>
  <c r="E102" i="6"/>
  <c r="N102" i="6" s="1"/>
  <c r="E100" i="6"/>
  <c r="N100" i="6" s="1"/>
  <c r="E92" i="6"/>
  <c r="N92" i="6" s="1"/>
  <c r="E91" i="6"/>
  <c r="N91" i="6" s="1"/>
  <c r="E90" i="6"/>
  <c r="N90" i="6" s="1"/>
  <c r="E88" i="6"/>
  <c r="N88" i="6" s="1"/>
  <c r="E86" i="6"/>
  <c r="N86" i="6" s="1"/>
  <c r="E84" i="6"/>
  <c r="N84" i="6" s="1"/>
  <c r="E82" i="6"/>
  <c r="N82" i="6" s="1"/>
  <c r="E80" i="6"/>
  <c r="N80" i="6" s="1"/>
  <c r="E78" i="6"/>
  <c r="N78" i="6" s="1"/>
  <c r="E76" i="6"/>
  <c r="N76" i="6" s="1"/>
  <c r="E72" i="6"/>
  <c r="N72" i="6" s="1"/>
  <c r="E71" i="6"/>
  <c r="N71" i="6" s="1"/>
  <c r="E68" i="6"/>
  <c r="N68" i="6" s="1"/>
  <c r="E66" i="6"/>
  <c r="N66" i="6" s="1"/>
  <c r="E65" i="6"/>
  <c r="N65" i="6" s="1"/>
  <c r="E63" i="6"/>
  <c r="N63" i="6" s="1"/>
  <c r="E61" i="6"/>
  <c r="N61" i="6" s="1"/>
  <c r="E59" i="6"/>
  <c r="N59" i="6" s="1"/>
  <c r="E57" i="6"/>
  <c r="N57" i="6" s="1"/>
  <c r="E55" i="6"/>
  <c r="N55" i="6" s="1"/>
  <c r="E53" i="6"/>
  <c r="N53" i="6" s="1"/>
  <c r="E51" i="6"/>
  <c r="N51" i="6" s="1"/>
  <c r="E49" i="6"/>
  <c r="N49" i="6" s="1"/>
  <c r="E42" i="6"/>
  <c r="N42" i="6" s="1"/>
  <c r="E40" i="6"/>
  <c r="N40" i="6" s="1"/>
  <c r="E38" i="6"/>
  <c r="N38" i="6" s="1"/>
  <c r="E36" i="6"/>
  <c r="N36" i="6" s="1"/>
  <c r="E34" i="6"/>
  <c r="N34" i="6" s="1"/>
  <c r="E32" i="6"/>
  <c r="N32" i="6" s="1"/>
  <c r="E30" i="6"/>
  <c r="N30" i="6" s="1"/>
  <c r="E28" i="6"/>
  <c r="N28" i="6" s="1"/>
  <c r="E26" i="6"/>
  <c r="N26" i="6" s="1"/>
  <c r="E24" i="6"/>
  <c r="N24" i="6" s="1"/>
  <c r="E22" i="6"/>
  <c r="N22" i="6" s="1"/>
  <c r="E21" i="6"/>
  <c r="N21" i="6" s="1"/>
  <c r="E18" i="6"/>
  <c r="N18" i="6" s="1"/>
  <c r="E17" i="6"/>
  <c r="N17" i="6" s="1"/>
  <c r="E15" i="6"/>
  <c r="N15" i="6" s="1"/>
  <c r="E13" i="6"/>
  <c r="N13" i="6" s="1"/>
  <c r="E11" i="6"/>
  <c r="N11" i="6" s="1"/>
  <c r="E9" i="6"/>
  <c r="N9" i="6" s="1"/>
  <c r="E7" i="6"/>
  <c r="N7" i="6" s="1"/>
  <c r="E5" i="6"/>
  <c r="N5" i="6" s="1"/>
  <c r="E3" i="6"/>
  <c r="N3" i="6" s="1"/>
  <c r="E119" i="6"/>
  <c r="N119" i="6" s="1"/>
  <c r="E117" i="6"/>
  <c r="N117" i="6" s="1"/>
  <c r="E115" i="6"/>
  <c r="N115" i="6" s="1"/>
  <c r="E113" i="6"/>
  <c r="N113" i="6" s="1"/>
  <c r="E111" i="6"/>
  <c r="N111" i="6" s="1"/>
  <c r="E109" i="6"/>
  <c r="N109" i="6" s="1"/>
  <c r="E107" i="6"/>
  <c r="N107" i="6" s="1"/>
  <c r="E105" i="6"/>
  <c r="N105" i="6" s="1"/>
  <c r="E103" i="6"/>
  <c r="N103" i="6" s="1"/>
  <c r="E101" i="6"/>
  <c r="N101" i="6" s="1"/>
  <c r="E99" i="6"/>
  <c r="N99" i="6" s="1"/>
  <c r="E98" i="6"/>
  <c r="N98" i="6" s="1"/>
  <c r="E97" i="6"/>
  <c r="N97" i="6" s="1"/>
  <c r="E96" i="6"/>
  <c r="N96" i="6" s="1"/>
  <c r="E95" i="6"/>
  <c r="N95" i="6" s="1"/>
  <c r="E94" i="6"/>
  <c r="N94" i="6" s="1"/>
  <c r="E93" i="6"/>
  <c r="N93" i="6" s="1"/>
  <c r="E89" i="6"/>
  <c r="N89" i="6" s="1"/>
  <c r="E87" i="6"/>
  <c r="N87" i="6" s="1"/>
  <c r="E85" i="6"/>
  <c r="N85" i="6" s="1"/>
  <c r="E83" i="6"/>
  <c r="N83" i="6" s="1"/>
  <c r="E81" i="6"/>
  <c r="N81" i="6" s="1"/>
  <c r="E79" i="6"/>
  <c r="N79" i="6" s="1"/>
  <c r="E77" i="6"/>
  <c r="N77" i="6" s="1"/>
  <c r="E75" i="6"/>
  <c r="N75" i="6" s="1"/>
  <c r="E74" i="6"/>
  <c r="N74" i="6" s="1"/>
  <c r="E73" i="6"/>
  <c r="N73" i="6" s="1"/>
  <c r="E70" i="6"/>
  <c r="N70" i="6" s="1"/>
  <c r="E69" i="6"/>
  <c r="N69" i="6" s="1"/>
  <c r="E67" i="6"/>
  <c r="N67" i="6" s="1"/>
  <c r="E64" i="6"/>
  <c r="N64" i="6" s="1"/>
  <c r="E62" i="6"/>
  <c r="N62" i="6" s="1"/>
  <c r="E60" i="6"/>
  <c r="N60" i="6" s="1"/>
  <c r="E58" i="6"/>
  <c r="N58" i="6" s="1"/>
  <c r="E56" i="6"/>
  <c r="N56" i="6" s="1"/>
  <c r="E54" i="6"/>
  <c r="N54" i="6" s="1"/>
  <c r="E52" i="6"/>
  <c r="N52" i="6" s="1"/>
  <c r="E50" i="6"/>
  <c r="N50" i="6" s="1"/>
  <c r="E48" i="6"/>
  <c r="N48" i="6" s="1"/>
  <c r="E47" i="6"/>
  <c r="N47" i="6" s="1"/>
  <c r="E46" i="6"/>
  <c r="N46" i="6" s="1"/>
  <c r="E45" i="6"/>
  <c r="N45" i="6" s="1"/>
  <c r="E44" i="6"/>
  <c r="N44" i="6" s="1"/>
  <c r="E43" i="6"/>
  <c r="N43" i="6" s="1"/>
  <c r="E41" i="6"/>
  <c r="N41" i="6" s="1"/>
  <c r="E39" i="6"/>
  <c r="N39" i="6" s="1"/>
  <c r="E37" i="6"/>
  <c r="N37" i="6" s="1"/>
  <c r="E35" i="6"/>
  <c r="N35" i="6" s="1"/>
  <c r="E33" i="6"/>
  <c r="N33" i="6" s="1"/>
  <c r="E31" i="6"/>
  <c r="N31" i="6" s="1"/>
  <c r="E29" i="6"/>
  <c r="N29" i="6" s="1"/>
  <c r="E27" i="6"/>
  <c r="N27" i="6" s="1"/>
  <c r="E25" i="6"/>
  <c r="N25" i="6" s="1"/>
  <c r="E23" i="6"/>
  <c r="N23" i="6" s="1"/>
  <c r="E20" i="6"/>
  <c r="N20" i="6" s="1"/>
  <c r="E19" i="6"/>
  <c r="N19" i="6" s="1"/>
  <c r="E16" i="6"/>
  <c r="N16" i="6" s="1"/>
  <c r="E14" i="6"/>
  <c r="N14" i="6" s="1"/>
  <c r="E12" i="6"/>
  <c r="N12" i="6" s="1"/>
  <c r="E10" i="6"/>
  <c r="N10" i="6" s="1"/>
  <c r="E8" i="6"/>
  <c r="N8" i="6" s="1"/>
  <c r="E6" i="6"/>
  <c r="N6" i="6" s="1"/>
  <c r="E4" i="6"/>
  <c r="N4" i="6" s="1"/>
  <c r="D2" i="6"/>
  <c r="D302" i="6"/>
  <c r="M302" i="6" s="1"/>
  <c r="D301" i="6"/>
  <c r="M301" i="6" s="1"/>
  <c r="D300" i="6"/>
  <c r="M300" i="6" s="1"/>
  <c r="D299" i="6"/>
  <c r="M299" i="6" s="1"/>
  <c r="D298" i="6"/>
  <c r="M298" i="6" s="1"/>
  <c r="D297" i="6"/>
  <c r="M297" i="6" s="1"/>
  <c r="D296" i="6"/>
  <c r="M296" i="6" s="1"/>
  <c r="D295" i="6"/>
  <c r="M295" i="6" s="1"/>
  <c r="D294" i="6"/>
  <c r="M294" i="6" s="1"/>
  <c r="D293" i="6"/>
  <c r="M293" i="6" s="1"/>
  <c r="D292" i="6"/>
  <c r="M292" i="6" s="1"/>
  <c r="D291" i="6"/>
  <c r="M291" i="6" s="1"/>
  <c r="D290" i="6"/>
  <c r="M290" i="6" s="1"/>
  <c r="D289" i="6"/>
  <c r="M289" i="6" s="1"/>
  <c r="D288" i="6"/>
  <c r="M288" i="6" s="1"/>
  <c r="D287" i="6"/>
  <c r="M287" i="6" s="1"/>
  <c r="D286" i="6"/>
  <c r="M286" i="6" s="1"/>
  <c r="D285" i="6"/>
  <c r="M285" i="6" s="1"/>
  <c r="D284" i="6"/>
  <c r="M284" i="6" s="1"/>
  <c r="D283" i="6"/>
  <c r="M283" i="6" s="1"/>
  <c r="D282" i="6"/>
  <c r="M282" i="6" s="1"/>
  <c r="D281" i="6"/>
  <c r="M281" i="6" s="1"/>
  <c r="D280" i="6"/>
  <c r="M280" i="6" s="1"/>
  <c r="D279" i="6"/>
  <c r="M279" i="6" s="1"/>
  <c r="D278" i="6"/>
  <c r="M278" i="6" s="1"/>
  <c r="D277" i="6"/>
  <c r="M277" i="6" s="1"/>
  <c r="D276" i="6"/>
  <c r="M276" i="6" s="1"/>
  <c r="D275" i="6"/>
  <c r="M275" i="6" s="1"/>
  <c r="D274" i="6"/>
  <c r="M274" i="6" s="1"/>
  <c r="D273" i="6"/>
  <c r="M273" i="6" s="1"/>
  <c r="D272" i="6"/>
  <c r="M272" i="6" s="1"/>
  <c r="D271" i="6"/>
  <c r="M271" i="6" s="1"/>
  <c r="D270" i="6"/>
  <c r="M270" i="6" s="1"/>
  <c r="D269" i="6"/>
  <c r="M269" i="6" s="1"/>
  <c r="D268" i="6"/>
  <c r="M268" i="6" s="1"/>
  <c r="D267" i="6"/>
  <c r="M267" i="6" s="1"/>
  <c r="D266" i="6"/>
  <c r="M266" i="6" s="1"/>
  <c r="D265" i="6"/>
  <c r="M265" i="6" s="1"/>
  <c r="D264" i="6"/>
  <c r="M264" i="6" s="1"/>
  <c r="D263" i="6"/>
  <c r="M263" i="6" s="1"/>
  <c r="D262" i="6"/>
  <c r="M262" i="6" s="1"/>
  <c r="D261" i="6"/>
  <c r="M261" i="6" s="1"/>
  <c r="D260" i="6"/>
  <c r="M260" i="6" s="1"/>
  <c r="D259" i="6"/>
  <c r="M259" i="6" s="1"/>
  <c r="D258" i="6"/>
  <c r="M258" i="6" s="1"/>
  <c r="D257" i="6"/>
  <c r="M257" i="6" s="1"/>
  <c r="D256" i="6"/>
  <c r="M256" i="6" s="1"/>
  <c r="D255" i="6"/>
  <c r="M255" i="6" s="1"/>
  <c r="D254" i="6"/>
  <c r="M254" i="6" s="1"/>
  <c r="D253" i="6"/>
  <c r="M253" i="6" s="1"/>
  <c r="D252" i="6"/>
  <c r="M252" i="6" s="1"/>
  <c r="D251" i="6"/>
  <c r="M251" i="6" s="1"/>
  <c r="D250" i="6"/>
  <c r="M250" i="6" s="1"/>
  <c r="D249" i="6"/>
  <c r="M249" i="6" s="1"/>
  <c r="D248" i="6"/>
  <c r="M248" i="6" s="1"/>
  <c r="D247" i="6"/>
  <c r="M247" i="6" s="1"/>
  <c r="D246" i="6"/>
  <c r="M246" i="6" s="1"/>
  <c r="D245" i="6"/>
  <c r="M245" i="6" s="1"/>
  <c r="D244" i="6"/>
  <c r="M244" i="6" s="1"/>
  <c r="D243" i="6"/>
  <c r="M243" i="6" s="1"/>
  <c r="D242" i="6"/>
  <c r="M242" i="6" s="1"/>
  <c r="D241" i="6"/>
  <c r="M241" i="6" s="1"/>
  <c r="D240" i="6"/>
  <c r="M240" i="6" s="1"/>
  <c r="D239" i="6"/>
  <c r="M239" i="6" s="1"/>
  <c r="D238" i="6"/>
  <c r="M238" i="6" s="1"/>
  <c r="D237" i="6"/>
  <c r="M237" i="6" s="1"/>
  <c r="D236" i="6"/>
  <c r="M236" i="6" s="1"/>
  <c r="D235" i="6"/>
  <c r="M235" i="6" s="1"/>
  <c r="D234" i="6"/>
  <c r="M234" i="6" s="1"/>
  <c r="D233" i="6"/>
  <c r="M233" i="6" s="1"/>
  <c r="D232" i="6"/>
  <c r="M232" i="6" s="1"/>
  <c r="D231" i="6"/>
  <c r="M231" i="6" s="1"/>
  <c r="D230" i="6"/>
  <c r="M230" i="6" s="1"/>
  <c r="D229" i="6"/>
  <c r="M229" i="6" s="1"/>
  <c r="D228" i="6"/>
  <c r="M228" i="6" s="1"/>
  <c r="D227" i="6"/>
  <c r="M227" i="6" s="1"/>
  <c r="D226" i="6"/>
  <c r="M226" i="6" s="1"/>
  <c r="D225" i="6"/>
  <c r="M225" i="6" s="1"/>
  <c r="D224" i="6"/>
  <c r="M224" i="6" s="1"/>
  <c r="D223" i="6"/>
  <c r="M223" i="6" s="1"/>
  <c r="D222" i="6"/>
  <c r="M222" i="6" s="1"/>
  <c r="D221" i="6"/>
  <c r="M221" i="6" s="1"/>
  <c r="D220" i="6"/>
  <c r="M220" i="6" s="1"/>
  <c r="D219" i="6"/>
  <c r="M219" i="6" s="1"/>
  <c r="D218" i="6"/>
  <c r="M218" i="6" s="1"/>
  <c r="D217" i="6"/>
  <c r="M217" i="6" s="1"/>
  <c r="D216" i="6"/>
  <c r="M216" i="6" s="1"/>
  <c r="D215" i="6"/>
  <c r="M215" i="6" s="1"/>
  <c r="D214" i="6"/>
  <c r="M214" i="6" s="1"/>
  <c r="D213" i="6"/>
  <c r="M213" i="6" s="1"/>
  <c r="D212" i="6"/>
  <c r="M212" i="6" s="1"/>
  <c r="D211" i="6"/>
  <c r="M211" i="6" s="1"/>
  <c r="D210" i="6"/>
  <c r="M210" i="6" s="1"/>
  <c r="D209" i="6"/>
  <c r="M209" i="6" s="1"/>
  <c r="D208" i="6"/>
  <c r="M208" i="6" s="1"/>
  <c r="D207" i="6"/>
  <c r="M207" i="6" s="1"/>
  <c r="D206" i="6"/>
  <c r="M206" i="6" s="1"/>
  <c r="D205" i="6"/>
  <c r="M205" i="6" s="1"/>
  <c r="D204" i="6"/>
  <c r="M204" i="6" s="1"/>
  <c r="D203" i="6"/>
  <c r="M203" i="6" s="1"/>
  <c r="D202" i="6"/>
  <c r="M202" i="6" s="1"/>
  <c r="D201" i="6"/>
  <c r="M201" i="6" s="1"/>
  <c r="D200" i="6"/>
  <c r="M200" i="6" s="1"/>
  <c r="D199" i="6"/>
  <c r="M199" i="6" s="1"/>
  <c r="D198" i="6"/>
  <c r="M198" i="6" s="1"/>
  <c r="D197" i="6"/>
  <c r="M197" i="6" s="1"/>
  <c r="D196" i="6"/>
  <c r="M196" i="6" s="1"/>
  <c r="D195" i="6"/>
  <c r="M195" i="6" s="1"/>
  <c r="D194" i="6"/>
  <c r="M194" i="6" s="1"/>
  <c r="D193" i="6"/>
  <c r="M193" i="6" s="1"/>
  <c r="D192" i="6"/>
  <c r="M192" i="6" s="1"/>
  <c r="D191" i="6"/>
  <c r="M191" i="6" s="1"/>
  <c r="D190" i="6"/>
  <c r="M190" i="6" s="1"/>
  <c r="D189" i="6"/>
  <c r="M189" i="6" s="1"/>
  <c r="D188" i="6"/>
  <c r="M188" i="6" s="1"/>
  <c r="D187" i="6"/>
  <c r="M187" i="6" s="1"/>
  <c r="D186" i="6"/>
  <c r="M186" i="6" s="1"/>
  <c r="D185" i="6"/>
  <c r="M185" i="6" s="1"/>
  <c r="D184" i="6"/>
  <c r="M184" i="6" s="1"/>
  <c r="D183" i="6"/>
  <c r="M183" i="6" s="1"/>
  <c r="D182" i="6"/>
  <c r="M182" i="6" s="1"/>
  <c r="D181" i="6"/>
  <c r="M181" i="6" s="1"/>
  <c r="D180" i="6"/>
  <c r="M180" i="6" s="1"/>
  <c r="D179" i="6"/>
  <c r="M179" i="6" s="1"/>
  <c r="D178" i="6"/>
  <c r="M178" i="6" s="1"/>
  <c r="D177" i="6"/>
  <c r="M177" i="6" s="1"/>
  <c r="D176" i="6"/>
  <c r="M176" i="6" s="1"/>
  <c r="D175" i="6"/>
  <c r="M175" i="6" s="1"/>
  <c r="D174" i="6"/>
  <c r="M174" i="6" s="1"/>
  <c r="D173" i="6"/>
  <c r="M173" i="6" s="1"/>
  <c r="D172" i="6"/>
  <c r="M172" i="6" s="1"/>
  <c r="D171" i="6"/>
  <c r="M171" i="6" s="1"/>
  <c r="D170" i="6"/>
  <c r="M170" i="6" s="1"/>
  <c r="D169" i="6"/>
  <c r="M169" i="6" s="1"/>
  <c r="D168" i="6"/>
  <c r="M168" i="6" s="1"/>
  <c r="D167" i="6"/>
  <c r="M167" i="6" s="1"/>
  <c r="D166" i="6"/>
  <c r="M166" i="6" s="1"/>
  <c r="D165" i="6"/>
  <c r="M165" i="6" s="1"/>
  <c r="D164" i="6"/>
  <c r="M164" i="6" s="1"/>
  <c r="D163" i="6"/>
  <c r="M163" i="6" s="1"/>
  <c r="D162" i="6"/>
  <c r="M162" i="6" s="1"/>
  <c r="D161" i="6"/>
  <c r="M161" i="6" s="1"/>
  <c r="D160" i="6"/>
  <c r="M160" i="6" s="1"/>
  <c r="D159" i="6"/>
  <c r="M159" i="6" s="1"/>
  <c r="D158" i="6"/>
  <c r="M158" i="6" s="1"/>
  <c r="D157" i="6"/>
  <c r="M157" i="6" s="1"/>
  <c r="D156" i="6"/>
  <c r="M156" i="6" s="1"/>
  <c r="D155" i="6"/>
  <c r="M155" i="6" s="1"/>
  <c r="D154" i="6"/>
  <c r="M154" i="6" s="1"/>
  <c r="D153" i="6"/>
  <c r="M153" i="6" s="1"/>
  <c r="D152" i="6"/>
  <c r="M152" i="6" s="1"/>
  <c r="D151" i="6"/>
  <c r="M151" i="6" s="1"/>
  <c r="D150" i="6"/>
  <c r="M150" i="6" s="1"/>
  <c r="D149" i="6"/>
  <c r="M149" i="6" s="1"/>
  <c r="D148" i="6"/>
  <c r="M148" i="6" s="1"/>
  <c r="D147" i="6"/>
  <c r="M147" i="6" s="1"/>
  <c r="D146" i="6"/>
  <c r="M146" i="6" s="1"/>
  <c r="D145" i="6"/>
  <c r="M145" i="6" s="1"/>
  <c r="D144" i="6"/>
  <c r="M144" i="6" s="1"/>
  <c r="D143" i="6"/>
  <c r="M143" i="6" s="1"/>
  <c r="D142" i="6"/>
  <c r="M142" i="6" s="1"/>
  <c r="D141" i="6"/>
  <c r="M141" i="6" s="1"/>
  <c r="D140" i="6"/>
  <c r="M140" i="6" s="1"/>
  <c r="D139" i="6"/>
  <c r="M139" i="6" s="1"/>
  <c r="D138" i="6"/>
  <c r="M138" i="6" s="1"/>
  <c r="D137" i="6"/>
  <c r="M137" i="6" s="1"/>
  <c r="D136" i="6"/>
  <c r="M136" i="6" s="1"/>
  <c r="D135" i="6"/>
  <c r="M135" i="6" s="1"/>
  <c r="D134" i="6"/>
  <c r="M134" i="6" s="1"/>
  <c r="D133" i="6"/>
  <c r="M133" i="6" s="1"/>
  <c r="D132" i="6"/>
  <c r="M132" i="6" s="1"/>
  <c r="D131" i="6"/>
  <c r="M131" i="6" s="1"/>
  <c r="D130" i="6"/>
  <c r="M130" i="6" s="1"/>
  <c r="D129" i="6"/>
  <c r="M129" i="6" s="1"/>
  <c r="D128" i="6"/>
  <c r="M128" i="6" s="1"/>
  <c r="D127" i="6"/>
  <c r="M127" i="6" s="1"/>
  <c r="D126" i="6"/>
  <c r="M126" i="6" s="1"/>
  <c r="D125" i="6"/>
  <c r="M125" i="6" s="1"/>
  <c r="D124" i="6"/>
  <c r="M124" i="6" s="1"/>
  <c r="D123" i="6"/>
  <c r="M123" i="6" s="1"/>
  <c r="D122" i="6"/>
  <c r="M122" i="6" s="1"/>
  <c r="D121" i="6"/>
  <c r="M121" i="6" s="1"/>
  <c r="D119" i="6"/>
  <c r="M119" i="6" s="1"/>
  <c r="D117" i="6"/>
  <c r="M117" i="6" s="1"/>
  <c r="D115" i="6"/>
  <c r="M115" i="6" s="1"/>
  <c r="D113" i="6"/>
  <c r="M113" i="6" s="1"/>
  <c r="D111" i="6"/>
  <c r="M111" i="6" s="1"/>
  <c r="D109" i="6"/>
  <c r="M109" i="6" s="1"/>
  <c r="D107" i="6"/>
  <c r="M107" i="6" s="1"/>
  <c r="D105" i="6"/>
  <c r="M105" i="6" s="1"/>
  <c r="D103" i="6"/>
  <c r="M103" i="6" s="1"/>
  <c r="D101" i="6"/>
  <c r="M101" i="6" s="1"/>
  <c r="D99" i="6"/>
  <c r="M99" i="6" s="1"/>
  <c r="D94" i="6"/>
  <c r="M94" i="6" s="1"/>
  <c r="D93" i="6"/>
  <c r="M93" i="6" s="1"/>
  <c r="D92" i="6"/>
  <c r="M92" i="6" s="1"/>
  <c r="D91" i="6"/>
  <c r="M91" i="6" s="1"/>
  <c r="D89" i="6"/>
  <c r="M89" i="6" s="1"/>
  <c r="D87" i="6"/>
  <c r="M87" i="6" s="1"/>
  <c r="D85" i="6"/>
  <c r="M85" i="6" s="1"/>
  <c r="D83" i="6"/>
  <c r="M83" i="6" s="1"/>
  <c r="D81" i="6"/>
  <c r="M81" i="6" s="1"/>
  <c r="D79" i="6"/>
  <c r="M79" i="6" s="1"/>
  <c r="D77" i="6"/>
  <c r="M77" i="6" s="1"/>
  <c r="D75" i="6"/>
  <c r="M75" i="6" s="1"/>
  <c r="D74" i="6"/>
  <c r="M74" i="6" s="1"/>
  <c r="D73" i="6"/>
  <c r="M73" i="6" s="1"/>
  <c r="D70" i="6"/>
  <c r="M70" i="6" s="1"/>
  <c r="D69" i="6"/>
  <c r="M69" i="6" s="1"/>
  <c r="D67" i="6"/>
  <c r="M67" i="6" s="1"/>
  <c r="D64" i="6"/>
  <c r="M64" i="6" s="1"/>
  <c r="D62" i="6"/>
  <c r="M62" i="6" s="1"/>
  <c r="D60" i="6"/>
  <c r="M60" i="6" s="1"/>
  <c r="D58" i="6"/>
  <c r="M58" i="6" s="1"/>
  <c r="D56" i="6"/>
  <c r="M56" i="6" s="1"/>
  <c r="D54" i="6"/>
  <c r="M54" i="6" s="1"/>
  <c r="D52" i="6"/>
  <c r="M52" i="6" s="1"/>
  <c r="D50" i="6"/>
  <c r="M50" i="6" s="1"/>
  <c r="D48" i="6"/>
  <c r="M48" i="6" s="1"/>
  <c r="D43" i="6"/>
  <c r="M43" i="6" s="1"/>
  <c r="D41" i="6"/>
  <c r="M41" i="6" s="1"/>
  <c r="D39" i="6"/>
  <c r="M39" i="6" s="1"/>
  <c r="D37" i="6"/>
  <c r="M37" i="6" s="1"/>
  <c r="D35" i="6"/>
  <c r="M35" i="6" s="1"/>
  <c r="D33" i="6"/>
  <c r="M33" i="6" s="1"/>
  <c r="D31" i="6"/>
  <c r="M31" i="6" s="1"/>
  <c r="D29" i="6"/>
  <c r="M29" i="6" s="1"/>
  <c r="D27" i="6"/>
  <c r="M27" i="6" s="1"/>
  <c r="D25" i="6"/>
  <c r="M25" i="6" s="1"/>
  <c r="D23" i="6"/>
  <c r="M23" i="6" s="1"/>
  <c r="D21" i="6"/>
  <c r="M21" i="6" s="1"/>
  <c r="D19" i="6"/>
  <c r="M19" i="6" s="1"/>
  <c r="D16" i="6"/>
  <c r="M16" i="6" s="1"/>
  <c r="D14" i="6"/>
  <c r="M14" i="6" s="1"/>
  <c r="D12" i="6"/>
  <c r="M12" i="6" s="1"/>
  <c r="D10" i="6"/>
  <c r="M10" i="6" s="1"/>
  <c r="D8" i="6"/>
  <c r="M8" i="6" s="1"/>
  <c r="D6" i="6"/>
  <c r="M6" i="6" s="1"/>
  <c r="D4" i="6"/>
  <c r="M4" i="6" s="1"/>
  <c r="D120" i="6"/>
  <c r="M120" i="6" s="1"/>
  <c r="D118" i="6"/>
  <c r="M118" i="6" s="1"/>
  <c r="D116" i="6"/>
  <c r="M116" i="6" s="1"/>
  <c r="D114" i="6"/>
  <c r="M114" i="6" s="1"/>
  <c r="D112" i="6"/>
  <c r="M112" i="6" s="1"/>
  <c r="D110" i="6"/>
  <c r="M110" i="6" s="1"/>
  <c r="D108" i="6"/>
  <c r="M108" i="6" s="1"/>
  <c r="D106" i="6"/>
  <c r="M106" i="6" s="1"/>
  <c r="D104" i="6"/>
  <c r="M104" i="6" s="1"/>
  <c r="D102" i="6"/>
  <c r="M102" i="6" s="1"/>
  <c r="D100" i="6"/>
  <c r="M100" i="6" s="1"/>
  <c r="D98" i="6"/>
  <c r="M98" i="6" s="1"/>
  <c r="D97" i="6"/>
  <c r="M97" i="6" s="1"/>
  <c r="D96" i="6"/>
  <c r="M96" i="6" s="1"/>
  <c r="D95" i="6"/>
  <c r="M95" i="6" s="1"/>
  <c r="D90" i="6"/>
  <c r="M90" i="6" s="1"/>
  <c r="D88" i="6"/>
  <c r="M88" i="6" s="1"/>
  <c r="D86" i="6"/>
  <c r="M86" i="6" s="1"/>
  <c r="D84" i="6"/>
  <c r="M84" i="6" s="1"/>
  <c r="D82" i="6"/>
  <c r="M82" i="6" s="1"/>
  <c r="D80" i="6"/>
  <c r="M80" i="6" s="1"/>
  <c r="D78" i="6"/>
  <c r="M78" i="6" s="1"/>
  <c r="D76" i="6"/>
  <c r="M76" i="6" s="1"/>
  <c r="D72" i="6"/>
  <c r="M72" i="6" s="1"/>
  <c r="D71" i="6"/>
  <c r="M71" i="6" s="1"/>
  <c r="D68" i="6"/>
  <c r="M68" i="6" s="1"/>
  <c r="D66" i="6"/>
  <c r="M66" i="6" s="1"/>
  <c r="D65" i="6"/>
  <c r="M65" i="6" s="1"/>
  <c r="D63" i="6"/>
  <c r="M63" i="6" s="1"/>
  <c r="D61" i="6"/>
  <c r="M61" i="6" s="1"/>
  <c r="D59" i="6"/>
  <c r="M59" i="6" s="1"/>
  <c r="D57" i="6"/>
  <c r="M57" i="6" s="1"/>
  <c r="D55" i="6"/>
  <c r="M55" i="6" s="1"/>
  <c r="D53" i="6"/>
  <c r="M53" i="6" s="1"/>
  <c r="D51" i="6"/>
  <c r="M51" i="6" s="1"/>
  <c r="D49" i="6"/>
  <c r="M49" i="6" s="1"/>
  <c r="D47" i="6"/>
  <c r="M47" i="6" s="1"/>
  <c r="D46" i="6"/>
  <c r="M46" i="6" s="1"/>
  <c r="D45" i="6"/>
  <c r="M45" i="6" s="1"/>
  <c r="D44" i="6"/>
  <c r="M44" i="6" s="1"/>
  <c r="D42" i="6"/>
  <c r="M42" i="6" s="1"/>
  <c r="D40" i="6"/>
  <c r="M40" i="6" s="1"/>
  <c r="D38" i="6"/>
  <c r="M38" i="6" s="1"/>
  <c r="D36" i="6"/>
  <c r="M36" i="6" s="1"/>
  <c r="D34" i="6"/>
  <c r="M34" i="6" s="1"/>
  <c r="D32" i="6"/>
  <c r="M32" i="6" s="1"/>
  <c r="D30" i="6"/>
  <c r="M30" i="6" s="1"/>
  <c r="D28" i="6"/>
  <c r="M28" i="6" s="1"/>
  <c r="D26" i="6"/>
  <c r="M26" i="6" s="1"/>
  <c r="D24" i="6"/>
  <c r="M24" i="6" s="1"/>
  <c r="D22" i="6"/>
  <c r="M22" i="6" s="1"/>
  <c r="D20" i="6"/>
  <c r="M20" i="6" s="1"/>
  <c r="D18" i="6"/>
  <c r="M18" i="6" s="1"/>
  <c r="D17" i="6"/>
  <c r="M17" i="6" s="1"/>
  <c r="D15" i="6"/>
  <c r="M15" i="6" s="1"/>
  <c r="D13" i="6"/>
  <c r="M13" i="6" s="1"/>
  <c r="D11" i="6"/>
  <c r="M11" i="6" s="1"/>
  <c r="D9" i="6"/>
  <c r="M9" i="6" s="1"/>
  <c r="D7" i="6"/>
  <c r="M7" i="6" s="1"/>
  <c r="D5" i="6"/>
  <c r="M5" i="6" s="1"/>
  <c r="D3" i="6"/>
  <c r="M3" i="6" s="1"/>
  <c r="C2" i="6"/>
  <c r="C302" i="6"/>
  <c r="L302" i="6" s="1"/>
  <c r="C301" i="6"/>
  <c r="L301" i="6" s="1"/>
  <c r="C300" i="6"/>
  <c r="L300" i="6" s="1"/>
  <c r="C299" i="6"/>
  <c r="L299" i="6" s="1"/>
  <c r="C298" i="6"/>
  <c r="L298" i="6" s="1"/>
  <c r="C297" i="6"/>
  <c r="L297" i="6" s="1"/>
  <c r="C296" i="6"/>
  <c r="L296" i="6" s="1"/>
  <c r="C295" i="6"/>
  <c r="L295" i="6" s="1"/>
  <c r="C294" i="6"/>
  <c r="L294" i="6" s="1"/>
  <c r="C293" i="6"/>
  <c r="L293" i="6" s="1"/>
  <c r="C292" i="6"/>
  <c r="L292" i="6" s="1"/>
  <c r="C291" i="6"/>
  <c r="L291" i="6" s="1"/>
  <c r="C290" i="6"/>
  <c r="L290" i="6" s="1"/>
  <c r="C289" i="6"/>
  <c r="L289" i="6" s="1"/>
  <c r="C288" i="6"/>
  <c r="L288" i="6" s="1"/>
  <c r="C287" i="6"/>
  <c r="L287" i="6" s="1"/>
  <c r="C286" i="6"/>
  <c r="L286" i="6" s="1"/>
  <c r="C285" i="6"/>
  <c r="L285" i="6" s="1"/>
  <c r="C284" i="6"/>
  <c r="L284" i="6" s="1"/>
  <c r="C283" i="6"/>
  <c r="L283" i="6" s="1"/>
  <c r="C282" i="6"/>
  <c r="L282" i="6" s="1"/>
  <c r="C281" i="6"/>
  <c r="L281" i="6" s="1"/>
  <c r="C280" i="6"/>
  <c r="L280" i="6" s="1"/>
  <c r="C279" i="6"/>
  <c r="L279" i="6" s="1"/>
  <c r="C278" i="6"/>
  <c r="L278" i="6" s="1"/>
  <c r="C277" i="6"/>
  <c r="L277" i="6" s="1"/>
  <c r="C276" i="6"/>
  <c r="L276" i="6" s="1"/>
  <c r="C275" i="6"/>
  <c r="L275" i="6" s="1"/>
  <c r="C274" i="6"/>
  <c r="L274" i="6" s="1"/>
  <c r="C273" i="6"/>
  <c r="L273" i="6" s="1"/>
  <c r="C272" i="6"/>
  <c r="L272" i="6" s="1"/>
  <c r="C271" i="6"/>
  <c r="L271" i="6" s="1"/>
  <c r="C270" i="6"/>
  <c r="L270" i="6" s="1"/>
  <c r="C269" i="6"/>
  <c r="L269" i="6" s="1"/>
  <c r="C268" i="6"/>
  <c r="L268" i="6" s="1"/>
  <c r="C267" i="6"/>
  <c r="L267" i="6" s="1"/>
  <c r="C266" i="6"/>
  <c r="L266" i="6" s="1"/>
  <c r="C265" i="6"/>
  <c r="L265" i="6" s="1"/>
  <c r="C264" i="6"/>
  <c r="L264" i="6" s="1"/>
  <c r="C263" i="6"/>
  <c r="L263" i="6" s="1"/>
  <c r="C262" i="6"/>
  <c r="L262" i="6" s="1"/>
  <c r="C261" i="6"/>
  <c r="L261" i="6" s="1"/>
  <c r="C260" i="6"/>
  <c r="L260" i="6" s="1"/>
  <c r="C259" i="6"/>
  <c r="L259" i="6" s="1"/>
  <c r="C258" i="6"/>
  <c r="L258" i="6" s="1"/>
  <c r="C257" i="6"/>
  <c r="L257" i="6" s="1"/>
  <c r="C256" i="6"/>
  <c r="L256" i="6" s="1"/>
  <c r="C255" i="6"/>
  <c r="L255" i="6" s="1"/>
  <c r="C254" i="6"/>
  <c r="L254" i="6" s="1"/>
  <c r="C253" i="6"/>
  <c r="L253" i="6" s="1"/>
  <c r="C252" i="6"/>
  <c r="L252" i="6" s="1"/>
  <c r="C251" i="6"/>
  <c r="L251" i="6" s="1"/>
  <c r="C250" i="6"/>
  <c r="L250" i="6" s="1"/>
  <c r="C249" i="6"/>
  <c r="L249" i="6" s="1"/>
  <c r="C248" i="6"/>
  <c r="L248" i="6" s="1"/>
  <c r="C247" i="6"/>
  <c r="L247" i="6" s="1"/>
  <c r="C246" i="6"/>
  <c r="L246" i="6" s="1"/>
  <c r="C245" i="6"/>
  <c r="L245" i="6" s="1"/>
  <c r="C244" i="6"/>
  <c r="L244" i="6" s="1"/>
  <c r="C243" i="6"/>
  <c r="L243" i="6" s="1"/>
  <c r="C242" i="6"/>
  <c r="L242" i="6" s="1"/>
  <c r="C241" i="6"/>
  <c r="L241" i="6" s="1"/>
  <c r="C240" i="6"/>
  <c r="L240" i="6" s="1"/>
  <c r="C239" i="6"/>
  <c r="L239" i="6" s="1"/>
  <c r="C238" i="6"/>
  <c r="L238" i="6" s="1"/>
  <c r="C237" i="6"/>
  <c r="L237" i="6" s="1"/>
  <c r="C236" i="6"/>
  <c r="L236" i="6" s="1"/>
  <c r="C235" i="6"/>
  <c r="L235" i="6" s="1"/>
  <c r="C234" i="6"/>
  <c r="L234" i="6" s="1"/>
  <c r="C233" i="6"/>
  <c r="L233" i="6" s="1"/>
  <c r="C232" i="6"/>
  <c r="L232" i="6" s="1"/>
  <c r="C231" i="6"/>
  <c r="L231" i="6" s="1"/>
  <c r="C230" i="6"/>
  <c r="L230" i="6" s="1"/>
  <c r="C229" i="6"/>
  <c r="L229" i="6" s="1"/>
  <c r="C228" i="6"/>
  <c r="L228" i="6" s="1"/>
  <c r="C227" i="6"/>
  <c r="L227" i="6" s="1"/>
  <c r="C226" i="6"/>
  <c r="L226" i="6" s="1"/>
  <c r="C225" i="6"/>
  <c r="L225" i="6" s="1"/>
  <c r="C224" i="6"/>
  <c r="L224" i="6" s="1"/>
  <c r="C223" i="6"/>
  <c r="L223" i="6" s="1"/>
  <c r="C222" i="6"/>
  <c r="L222" i="6" s="1"/>
  <c r="C221" i="6"/>
  <c r="L221" i="6" s="1"/>
  <c r="C220" i="6"/>
  <c r="L220" i="6" s="1"/>
  <c r="C219" i="6"/>
  <c r="L219" i="6" s="1"/>
  <c r="C218" i="6"/>
  <c r="L218" i="6" s="1"/>
  <c r="C217" i="6"/>
  <c r="L217" i="6" s="1"/>
  <c r="C216" i="6"/>
  <c r="L216" i="6" s="1"/>
  <c r="C215" i="6"/>
  <c r="L215" i="6" s="1"/>
  <c r="C214" i="6"/>
  <c r="L214" i="6" s="1"/>
  <c r="C213" i="6"/>
  <c r="L213" i="6" s="1"/>
  <c r="C212" i="6"/>
  <c r="L212" i="6" s="1"/>
  <c r="C211" i="6"/>
  <c r="L211" i="6" s="1"/>
  <c r="C210" i="6"/>
  <c r="L210" i="6" s="1"/>
  <c r="C209" i="6"/>
  <c r="L209" i="6" s="1"/>
  <c r="C208" i="6"/>
  <c r="L208" i="6" s="1"/>
  <c r="C207" i="6"/>
  <c r="L207" i="6" s="1"/>
  <c r="C206" i="6"/>
  <c r="L206" i="6" s="1"/>
  <c r="C205" i="6"/>
  <c r="L205" i="6" s="1"/>
  <c r="C204" i="6"/>
  <c r="L204" i="6" s="1"/>
  <c r="C203" i="6"/>
  <c r="L203" i="6" s="1"/>
  <c r="C202" i="6"/>
  <c r="L202" i="6" s="1"/>
  <c r="C201" i="6"/>
  <c r="L201" i="6" s="1"/>
  <c r="C200" i="6"/>
  <c r="L200" i="6" s="1"/>
  <c r="C199" i="6"/>
  <c r="L199" i="6" s="1"/>
  <c r="C198" i="6"/>
  <c r="L198" i="6" s="1"/>
  <c r="C197" i="6"/>
  <c r="L197" i="6" s="1"/>
  <c r="C196" i="6"/>
  <c r="L196" i="6" s="1"/>
  <c r="C195" i="6"/>
  <c r="L195" i="6" s="1"/>
  <c r="C194" i="6"/>
  <c r="L194" i="6" s="1"/>
  <c r="C193" i="6"/>
  <c r="L193" i="6" s="1"/>
  <c r="C192" i="6"/>
  <c r="L192" i="6" s="1"/>
  <c r="C191" i="6"/>
  <c r="L191" i="6" s="1"/>
  <c r="C190" i="6"/>
  <c r="L190" i="6" s="1"/>
  <c r="C189" i="6"/>
  <c r="L189" i="6" s="1"/>
  <c r="C188" i="6"/>
  <c r="L188" i="6" s="1"/>
  <c r="C187" i="6"/>
  <c r="L187" i="6" s="1"/>
  <c r="C186" i="6"/>
  <c r="L186" i="6" s="1"/>
  <c r="C185" i="6"/>
  <c r="L185" i="6" s="1"/>
  <c r="C184" i="6"/>
  <c r="L184" i="6" s="1"/>
  <c r="C183" i="6"/>
  <c r="L183" i="6" s="1"/>
  <c r="C182" i="6"/>
  <c r="L182" i="6" s="1"/>
  <c r="C181" i="6"/>
  <c r="L181" i="6" s="1"/>
  <c r="C180" i="6"/>
  <c r="L180" i="6" s="1"/>
  <c r="C179" i="6"/>
  <c r="L179" i="6" s="1"/>
  <c r="C178" i="6"/>
  <c r="L178" i="6" s="1"/>
  <c r="C177" i="6"/>
  <c r="L177" i="6" s="1"/>
  <c r="C176" i="6"/>
  <c r="L176" i="6" s="1"/>
  <c r="C175" i="6"/>
  <c r="L175" i="6" s="1"/>
  <c r="C174" i="6"/>
  <c r="L174" i="6" s="1"/>
  <c r="C173" i="6"/>
  <c r="L173" i="6" s="1"/>
  <c r="C172" i="6"/>
  <c r="L172" i="6" s="1"/>
  <c r="C171" i="6"/>
  <c r="L171" i="6" s="1"/>
  <c r="C170" i="6"/>
  <c r="L170" i="6" s="1"/>
  <c r="C169" i="6"/>
  <c r="L169" i="6" s="1"/>
  <c r="C168" i="6"/>
  <c r="L168" i="6" s="1"/>
  <c r="C167" i="6"/>
  <c r="L167" i="6" s="1"/>
  <c r="C166" i="6"/>
  <c r="L166" i="6" s="1"/>
  <c r="C165" i="6"/>
  <c r="L165" i="6" s="1"/>
  <c r="C164" i="6"/>
  <c r="L164" i="6" s="1"/>
  <c r="C163" i="6"/>
  <c r="L163" i="6" s="1"/>
  <c r="C162" i="6"/>
  <c r="L162" i="6" s="1"/>
  <c r="C161" i="6"/>
  <c r="L161" i="6" s="1"/>
  <c r="C160" i="6"/>
  <c r="L160" i="6" s="1"/>
  <c r="C159" i="6"/>
  <c r="L159" i="6" s="1"/>
  <c r="C158" i="6"/>
  <c r="L158" i="6" s="1"/>
  <c r="C157" i="6"/>
  <c r="L157" i="6" s="1"/>
  <c r="C156" i="6"/>
  <c r="L156" i="6" s="1"/>
  <c r="C155" i="6"/>
  <c r="L155" i="6" s="1"/>
  <c r="C154" i="6"/>
  <c r="L154" i="6" s="1"/>
  <c r="C153" i="6"/>
  <c r="L153" i="6" s="1"/>
  <c r="C152" i="6"/>
  <c r="L152" i="6" s="1"/>
  <c r="C151" i="6"/>
  <c r="L151" i="6" s="1"/>
  <c r="C150" i="6"/>
  <c r="L150" i="6" s="1"/>
  <c r="C149" i="6"/>
  <c r="L149" i="6" s="1"/>
  <c r="C148" i="6"/>
  <c r="L148" i="6" s="1"/>
  <c r="C147" i="6"/>
  <c r="L147" i="6" s="1"/>
  <c r="C146" i="6"/>
  <c r="L146" i="6" s="1"/>
  <c r="C145" i="6"/>
  <c r="L145" i="6" s="1"/>
  <c r="C144" i="6"/>
  <c r="L144" i="6" s="1"/>
  <c r="C143" i="6"/>
  <c r="L143" i="6" s="1"/>
  <c r="C142" i="6"/>
  <c r="L142" i="6" s="1"/>
  <c r="C141" i="6"/>
  <c r="L141" i="6" s="1"/>
  <c r="C140" i="6"/>
  <c r="L140" i="6" s="1"/>
  <c r="C139" i="6"/>
  <c r="L139" i="6" s="1"/>
  <c r="C138" i="6"/>
  <c r="L138" i="6" s="1"/>
  <c r="C137" i="6"/>
  <c r="L137" i="6" s="1"/>
  <c r="C136" i="6"/>
  <c r="L136" i="6" s="1"/>
  <c r="C135" i="6"/>
  <c r="L135" i="6" s="1"/>
  <c r="C134" i="6"/>
  <c r="L134" i="6" s="1"/>
  <c r="C133" i="6"/>
  <c r="L133" i="6" s="1"/>
  <c r="C132" i="6"/>
  <c r="L132" i="6" s="1"/>
  <c r="C131" i="6"/>
  <c r="L131" i="6" s="1"/>
  <c r="C130" i="6"/>
  <c r="L130" i="6" s="1"/>
  <c r="C129" i="6"/>
  <c r="L129" i="6" s="1"/>
  <c r="C128" i="6"/>
  <c r="L128" i="6" s="1"/>
  <c r="C127" i="6"/>
  <c r="L127" i="6" s="1"/>
  <c r="C126" i="6"/>
  <c r="L126" i="6" s="1"/>
  <c r="C125" i="6"/>
  <c r="L125" i="6" s="1"/>
  <c r="C124" i="6"/>
  <c r="L124" i="6" s="1"/>
  <c r="C123" i="6"/>
  <c r="L123" i="6" s="1"/>
  <c r="C122" i="6"/>
  <c r="L122" i="6" s="1"/>
  <c r="C121" i="6"/>
  <c r="L121" i="6" s="1"/>
  <c r="C120" i="6"/>
  <c r="L120" i="6" s="1"/>
  <c r="C118" i="6"/>
  <c r="L118" i="6" s="1"/>
  <c r="C116" i="6"/>
  <c r="L116" i="6" s="1"/>
  <c r="C114" i="6"/>
  <c r="L114" i="6" s="1"/>
  <c r="C112" i="6"/>
  <c r="L112" i="6" s="1"/>
  <c r="C110" i="6"/>
  <c r="L110" i="6" s="1"/>
  <c r="C108" i="6"/>
  <c r="L108" i="6" s="1"/>
  <c r="C106" i="6"/>
  <c r="L106" i="6" s="1"/>
  <c r="C104" i="6"/>
  <c r="L104" i="6" s="1"/>
  <c r="C102" i="6"/>
  <c r="L102" i="6" s="1"/>
  <c r="C100" i="6"/>
  <c r="L100" i="6" s="1"/>
  <c r="C95" i="6"/>
  <c r="L95" i="6" s="1"/>
  <c r="C94" i="6"/>
  <c r="L94" i="6" s="1"/>
  <c r="C92" i="6"/>
  <c r="L92" i="6" s="1"/>
  <c r="C90" i="6"/>
  <c r="L90" i="6" s="1"/>
  <c r="C88" i="6"/>
  <c r="L88" i="6" s="1"/>
  <c r="C86" i="6"/>
  <c r="L86" i="6" s="1"/>
  <c r="C84" i="6"/>
  <c r="L84" i="6" s="1"/>
  <c r="C82" i="6"/>
  <c r="L82" i="6" s="1"/>
  <c r="C78" i="6"/>
  <c r="L78" i="6" s="1"/>
  <c r="C76" i="6"/>
  <c r="L76" i="6" s="1"/>
  <c r="C72" i="6"/>
  <c r="L72" i="6" s="1"/>
  <c r="C71" i="6"/>
  <c r="L71" i="6" s="1"/>
  <c r="C70" i="6"/>
  <c r="L70" i="6" s="1"/>
  <c r="C68" i="6"/>
  <c r="L68" i="6" s="1"/>
  <c r="C66" i="6"/>
  <c r="L66" i="6" s="1"/>
  <c r="C65" i="6"/>
  <c r="L65" i="6" s="1"/>
  <c r="C63" i="6"/>
  <c r="L63" i="6" s="1"/>
  <c r="C61" i="6"/>
  <c r="L61" i="6" s="1"/>
  <c r="C59" i="6"/>
  <c r="L59" i="6" s="1"/>
  <c r="C57" i="6"/>
  <c r="L57" i="6" s="1"/>
  <c r="C55" i="6"/>
  <c r="L55" i="6" s="1"/>
  <c r="C53" i="6"/>
  <c r="L53" i="6" s="1"/>
  <c r="C51" i="6"/>
  <c r="L51" i="6" s="1"/>
  <c r="C49" i="6"/>
  <c r="L49" i="6" s="1"/>
  <c r="C44" i="6"/>
  <c r="L44" i="6" s="1"/>
  <c r="C42" i="6"/>
  <c r="L42" i="6" s="1"/>
  <c r="C40" i="6"/>
  <c r="L40" i="6" s="1"/>
  <c r="C38" i="6"/>
  <c r="L38" i="6" s="1"/>
  <c r="C36" i="6"/>
  <c r="L36" i="6" s="1"/>
  <c r="C34" i="6"/>
  <c r="L34" i="6" s="1"/>
  <c r="C32" i="6"/>
  <c r="L32" i="6" s="1"/>
  <c r="C30" i="6"/>
  <c r="L30" i="6" s="1"/>
  <c r="C28" i="6"/>
  <c r="L28" i="6" s="1"/>
  <c r="C26" i="6"/>
  <c r="L26" i="6" s="1"/>
  <c r="C24" i="6"/>
  <c r="L24" i="6" s="1"/>
  <c r="C22" i="6"/>
  <c r="L22" i="6" s="1"/>
  <c r="C21" i="6"/>
  <c r="L21" i="6" s="1"/>
  <c r="C18" i="6"/>
  <c r="L18" i="6" s="1"/>
  <c r="C17" i="6"/>
  <c r="L17" i="6" s="1"/>
  <c r="C15" i="6"/>
  <c r="L15" i="6" s="1"/>
  <c r="C13" i="6"/>
  <c r="L13" i="6" s="1"/>
  <c r="C11" i="6"/>
  <c r="L11" i="6" s="1"/>
  <c r="C9" i="6"/>
  <c r="L9" i="6" s="1"/>
  <c r="C7" i="6"/>
  <c r="L7" i="6" s="1"/>
  <c r="C5" i="6"/>
  <c r="L5" i="6" s="1"/>
  <c r="C119" i="6"/>
  <c r="L119" i="6" s="1"/>
  <c r="C117" i="6"/>
  <c r="L117" i="6" s="1"/>
  <c r="C115" i="6"/>
  <c r="L115" i="6" s="1"/>
  <c r="C113" i="6"/>
  <c r="L113" i="6" s="1"/>
  <c r="C111" i="6"/>
  <c r="L111" i="6" s="1"/>
  <c r="C109" i="6"/>
  <c r="L109" i="6" s="1"/>
  <c r="C107" i="6"/>
  <c r="L107" i="6" s="1"/>
  <c r="C105" i="6"/>
  <c r="L105" i="6" s="1"/>
  <c r="C103" i="6"/>
  <c r="L103" i="6" s="1"/>
  <c r="C101" i="6"/>
  <c r="L101" i="6" s="1"/>
  <c r="C99" i="6"/>
  <c r="L99" i="6" s="1"/>
  <c r="C98" i="6"/>
  <c r="L98" i="6" s="1"/>
  <c r="C97" i="6"/>
  <c r="L97" i="6" s="1"/>
  <c r="C96" i="6"/>
  <c r="L96" i="6" s="1"/>
  <c r="C93" i="6"/>
  <c r="L93" i="6" s="1"/>
  <c r="C91" i="6"/>
  <c r="L91" i="6" s="1"/>
  <c r="C89" i="6"/>
  <c r="L89" i="6" s="1"/>
  <c r="C87" i="6"/>
  <c r="L87" i="6" s="1"/>
  <c r="C85" i="6"/>
  <c r="L85" i="6" s="1"/>
  <c r="C83" i="6"/>
  <c r="L83" i="6" s="1"/>
  <c r="C81" i="6"/>
  <c r="L81" i="6" s="1"/>
  <c r="C80" i="6"/>
  <c r="L80" i="6" s="1"/>
  <c r="C79" i="6"/>
  <c r="L79" i="6" s="1"/>
  <c r="C77" i="6"/>
  <c r="L77" i="6" s="1"/>
  <c r="C75" i="6"/>
  <c r="L75" i="6" s="1"/>
  <c r="C74" i="6"/>
  <c r="L74" i="6" s="1"/>
  <c r="C73" i="6"/>
  <c r="L73" i="6" s="1"/>
  <c r="C69" i="6"/>
  <c r="L69" i="6" s="1"/>
  <c r="C67" i="6"/>
  <c r="L67" i="6" s="1"/>
  <c r="C64" i="6"/>
  <c r="L64" i="6" s="1"/>
  <c r="C62" i="6"/>
  <c r="L62" i="6" s="1"/>
  <c r="C60" i="6"/>
  <c r="L60" i="6" s="1"/>
  <c r="C58" i="6"/>
  <c r="L58" i="6" s="1"/>
  <c r="C56" i="6"/>
  <c r="L56" i="6" s="1"/>
  <c r="C54" i="6"/>
  <c r="L54" i="6" s="1"/>
  <c r="C52" i="6"/>
  <c r="L52" i="6" s="1"/>
  <c r="C50" i="6"/>
  <c r="L50" i="6" s="1"/>
  <c r="C48" i="6"/>
  <c r="L48" i="6" s="1"/>
  <c r="C47" i="6"/>
  <c r="L47" i="6" s="1"/>
  <c r="C46" i="6"/>
  <c r="L46" i="6" s="1"/>
  <c r="C45" i="6"/>
  <c r="L45" i="6" s="1"/>
  <c r="C43" i="6"/>
  <c r="L43" i="6" s="1"/>
  <c r="C41" i="6"/>
  <c r="L41" i="6" s="1"/>
  <c r="C39" i="6"/>
  <c r="L39" i="6" s="1"/>
  <c r="C37" i="6"/>
  <c r="L37" i="6" s="1"/>
  <c r="C35" i="6"/>
  <c r="L35" i="6" s="1"/>
  <c r="C33" i="6"/>
  <c r="L33" i="6" s="1"/>
  <c r="C31" i="6"/>
  <c r="L31" i="6" s="1"/>
  <c r="C29" i="6"/>
  <c r="L29" i="6" s="1"/>
  <c r="C27" i="6"/>
  <c r="L27" i="6" s="1"/>
  <c r="C25" i="6"/>
  <c r="L25" i="6" s="1"/>
  <c r="C23" i="6"/>
  <c r="L23" i="6" s="1"/>
  <c r="C20" i="6"/>
  <c r="L20" i="6" s="1"/>
  <c r="C19" i="6"/>
  <c r="L19" i="6" s="1"/>
  <c r="C16" i="6"/>
  <c r="L16" i="6" s="1"/>
  <c r="C14" i="6"/>
  <c r="L14" i="6" s="1"/>
  <c r="C12" i="6"/>
  <c r="L12" i="6" s="1"/>
  <c r="C10" i="6"/>
  <c r="L10" i="6" s="1"/>
  <c r="C8" i="6"/>
  <c r="L8" i="6" s="1"/>
  <c r="C6" i="6"/>
  <c r="L6" i="6" s="1"/>
  <c r="C4" i="6"/>
  <c r="L4" i="6" s="1"/>
  <c r="C3" i="6"/>
  <c r="L3" i="6" s="1"/>
  <c r="S129" i="2"/>
  <c r="S133" i="2"/>
  <c r="S38" i="2"/>
  <c r="S175" i="2"/>
  <c r="S43" i="2"/>
  <c r="S136" i="2"/>
  <c r="S134" i="2"/>
  <c r="S132" i="2"/>
  <c r="S92" i="2"/>
  <c r="S174" i="2"/>
  <c r="S173" i="2"/>
  <c r="S128" i="2"/>
  <c r="S139" i="2"/>
  <c r="S137" i="2"/>
  <c r="S131" i="2"/>
  <c r="S135" i="2"/>
  <c r="S141" i="2"/>
  <c r="S39" i="2"/>
  <c r="S41" i="2"/>
  <c r="S42" i="2"/>
  <c r="S44" i="2"/>
  <c r="S33" i="2"/>
  <c r="S142" i="2"/>
  <c r="S145" i="2"/>
  <c r="S146" i="2"/>
  <c r="S147" i="2"/>
  <c r="S103" i="2"/>
  <c r="S138" i="2"/>
  <c r="S144" i="2"/>
  <c r="S143" i="2"/>
  <c r="S84" i="2"/>
  <c r="S85" i="2"/>
  <c r="S86" i="2"/>
  <c r="S87" i="2"/>
  <c r="S88" i="2"/>
  <c r="S90" i="2"/>
  <c r="S93" i="2"/>
  <c r="S94" i="2"/>
  <c r="S95" i="2"/>
  <c r="S97" i="2"/>
  <c r="S98" i="2"/>
  <c r="S99" i="2"/>
  <c r="S100" i="2"/>
  <c r="S102" i="2"/>
  <c r="S130" i="2"/>
  <c r="S140" i="2"/>
  <c r="S148" i="2"/>
  <c r="S101" i="2"/>
  <c r="S89" i="2"/>
  <c r="S96" i="2"/>
  <c r="S91" i="2"/>
  <c r="S40" i="2"/>
  <c r="S269" i="2"/>
  <c r="S270" i="2"/>
  <c r="S272" i="2"/>
  <c r="S273" i="2"/>
  <c r="S266" i="2"/>
  <c r="S260" i="2"/>
  <c r="S264" i="2"/>
  <c r="S274" i="2"/>
  <c r="S293" i="2"/>
  <c r="S83" i="2"/>
  <c r="S267" i="2"/>
  <c r="S171" i="2"/>
  <c r="S263" i="2"/>
  <c r="S265" i="2"/>
  <c r="S172" i="2"/>
  <c r="S31" i="2"/>
  <c r="S124" i="2"/>
  <c r="S261" i="2"/>
  <c r="S218" i="2"/>
  <c r="S219" i="2"/>
  <c r="S220" i="2"/>
  <c r="S221" i="2"/>
  <c r="S222" i="2"/>
  <c r="S223" i="2"/>
  <c r="S224" i="2"/>
  <c r="S225" i="2"/>
  <c r="S226" i="2"/>
  <c r="S217" i="2"/>
  <c r="S268" i="2"/>
  <c r="S271" i="2"/>
  <c r="S212" i="2"/>
  <c r="S176" i="2"/>
  <c r="S177" i="2"/>
  <c r="S178" i="2"/>
  <c r="S179" i="2"/>
  <c r="S35" i="2"/>
  <c r="S67" i="2"/>
  <c r="S45" i="2"/>
  <c r="S46" i="2"/>
  <c r="S47" i="2"/>
  <c r="S48" i="2"/>
  <c r="S49" i="2"/>
  <c r="S50" i="2"/>
  <c r="S51" i="2"/>
  <c r="S56" i="2"/>
  <c r="S149" i="2"/>
  <c r="S152" i="2"/>
  <c r="S154" i="2"/>
  <c r="S155" i="2"/>
  <c r="S161" i="2"/>
  <c r="S162" i="2"/>
  <c r="S168" i="2"/>
  <c r="S26" i="2"/>
  <c r="S66" i="2"/>
  <c r="S77" i="2"/>
  <c r="S81" i="2"/>
  <c r="S82" i="2"/>
  <c r="S127" i="2"/>
  <c r="S262" i="2"/>
  <c r="S216" i="2"/>
  <c r="S30" i="2"/>
  <c r="S60" i="2"/>
  <c r="S76" i="2"/>
  <c r="S78" i="2"/>
  <c r="S79" i="2"/>
  <c r="S80" i="2"/>
  <c r="S159" i="2"/>
  <c r="S164" i="2"/>
  <c r="S214" i="2"/>
  <c r="S64" i="2"/>
  <c r="S69" i="2"/>
  <c r="S71" i="2"/>
  <c r="S110" i="2"/>
  <c r="S118" i="2"/>
  <c r="S119" i="2"/>
  <c r="S250" i="2"/>
  <c r="S255" i="2"/>
  <c r="S104" i="2"/>
  <c r="S105" i="2"/>
  <c r="S106" i="2"/>
  <c r="S107" i="2"/>
  <c r="S123" i="2"/>
  <c r="S157" i="2"/>
  <c r="S211" i="2"/>
  <c r="S248" i="2"/>
  <c r="S180" i="2"/>
  <c r="S181" i="2"/>
  <c r="S182" i="2"/>
  <c r="S183" i="2"/>
  <c r="S185" i="2"/>
  <c r="S186" i="2"/>
  <c r="S187" i="2"/>
  <c r="S188" i="2"/>
  <c r="S194" i="2"/>
  <c r="S196" i="2"/>
  <c r="S198" i="2"/>
  <c r="S202" i="2"/>
  <c r="S203" i="2"/>
  <c r="S210" i="2"/>
  <c r="S246" i="2"/>
  <c r="S249" i="2"/>
  <c r="S227" i="2"/>
  <c r="S228" i="2"/>
  <c r="S229" i="2"/>
  <c r="S230" i="2"/>
  <c r="S231" i="2"/>
  <c r="S232" i="2"/>
  <c r="S233" i="2"/>
  <c r="S234" i="2"/>
  <c r="S235" i="2"/>
  <c r="S236" i="2"/>
  <c r="S242" i="2"/>
  <c r="S243" i="2"/>
  <c r="S256" i="2"/>
  <c r="S275" i="2"/>
  <c r="S286" i="2"/>
  <c r="S292" i="2"/>
  <c r="S295" i="2"/>
  <c r="S34" i="2"/>
  <c r="S37" i="2"/>
  <c r="S61" i="2"/>
  <c r="S73" i="2"/>
  <c r="S74" i="2"/>
  <c r="S75" i="2"/>
  <c r="S120" i="2"/>
  <c r="S125" i="2"/>
  <c r="S257" i="2"/>
  <c r="S36" i="2"/>
  <c r="S109" i="2"/>
  <c r="S112" i="2"/>
  <c r="S244" i="2"/>
  <c r="S296" i="2"/>
  <c r="S23" i="2"/>
  <c r="S55" i="2"/>
  <c r="S58" i="2"/>
  <c r="S63" i="2"/>
  <c r="S121" i="2"/>
  <c r="S156" i="2"/>
  <c r="S158" i="2"/>
  <c r="S160" i="2"/>
  <c r="S28" i="2"/>
  <c r="S57" i="2"/>
  <c r="S114" i="2"/>
  <c r="S245" i="2"/>
  <c r="S247" i="2"/>
  <c r="S115" i="2"/>
  <c r="S117" i="2"/>
  <c r="S166" i="2"/>
  <c r="S150" i="2"/>
  <c r="S151" i="2"/>
  <c r="S153" i="2"/>
  <c r="S165" i="2"/>
  <c r="S204" i="2"/>
  <c r="S205" i="2"/>
  <c r="S215" i="2"/>
  <c r="S53" i="2"/>
  <c r="S52" i="2"/>
  <c r="S54" i="2"/>
  <c r="S25" i="2"/>
  <c r="S72" i="2"/>
  <c r="S113" i="2"/>
  <c r="S122" i="2"/>
  <c r="S299" i="2"/>
  <c r="S116" i="2"/>
  <c r="S199" i="2"/>
  <c r="S207" i="2"/>
  <c r="S208" i="2"/>
  <c r="S209" i="2"/>
  <c r="S301" i="2"/>
  <c r="S252" i="2"/>
  <c r="S291" i="2"/>
  <c r="S294" i="2"/>
  <c r="S298" i="2"/>
  <c r="S302" i="2"/>
  <c r="S193" i="2"/>
  <c r="S195" i="2"/>
  <c r="S240" i="2"/>
  <c r="S241" i="2"/>
  <c r="S251" i="2"/>
  <c r="S253" i="2"/>
  <c r="S283" i="2"/>
  <c r="S288" i="2"/>
  <c r="S170" i="2"/>
  <c r="S184" i="2"/>
  <c r="S190" i="2"/>
  <c r="S191" i="2"/>
  <c r="S192" i="2"/>
  <c r="S200" i="2"/>
  <c r="S239" i="2"/>
  <c r="S254" i="2"/>
  <c r="S278" i="2"/>
  <c r="S287" i="2"/>
  <c r="S300" i="2"/>
  <c r="S29" i="2"/>
  <c r="S32" i="2"/>
  <c r="S108" i="2"/>
  <c r="S24" i="2"/>
  <c r="S27" i="2"/>
  <c r="S65" i="2"/>
  <c r="S70" i="2"/>
  <c r="S111" i="2"/>
  <c r="S167" i="2"/>
  <c r="S213" i="2"/>
  <c r="S237" i="2"/>
  <c r="S279" i="2"/>
  <c r="S280" i="2"/>
  <c r="S281" i="2"/>
  <c r="S284" i="2"/>
  <c r="S285" i="2"/>
  <c r="S297" i="2"/>
  <c r="S59" i="2"/>
  <c r="S68" i="2"/>
  <c r="S126" i="2"/>
  <c r="S169" i="2"/>
  <c r="S276" i="2"/>
  <c r="S277" i="2"/>
  <c r="S289" i="2"/>
  <c r="S290" i="2"/>
  <c r="S62" i="2"/>
  <c r="S189" i="2"/>
  <c r="S197" i="2"/>
  <c r="S201" i="2"/>
  <c r="S206" i="2"/>
  <c r="S238" i="2"/>
  <c r="S258" i="2"/>
  <c r="S259" i="2"/>
  <c r="S282" i="2"/>
  <c r="G304" i="6" l="1"/>
  <c r="P2" i="6"/>
  <c r="E304" i="6"/>
  <c r="N2" i="6"/>
  <c r="D304" i="6"/>
  <c r="M2" i="6"/>
  <c r="C304" i="6"/>
  <c r="L2" i="6"/>
  <c r="B152" i="6"/>
  <c r="B301" i="6"/>
  <c r="B300" i="6"/>
  <c r="B299" i="6"/>
  <c r="B298" i="6"/>
  <c r="B297" i="6"/>
  <c r="B296" i="6"/>
  <c r="B295" i="6"/>
  <c r="B294" i="6"/>
  <c r="B292" i="6"/>
  <c r="B291" i="6"/>
  <c r="B289" i="6"/>
  <c r="B288" i="6"/>
  <c r="B286" i="6"/>
  <c r="B285" i="6"/>
  <c r="B284" i="6"/>
  <c r="B283" i="6"/>
  <c r="B281" i="6"/>
  <c r="B280" i="6"/>
  <c r="B279" i="6"/>
  <c r="B277" i="6"/>
  <c r="B276" i="6"/>
  <c r="B275" i="6"/>
  <c r="B274" i="6"/>
  <c r="B272" i="6"/>
  <c r="B271" i="6"/>
  <c r="B270" i="6"/>
  <c r="B268" i="6"/>
  <c r="B267" i="6"/>
  <c r="B266" i="6"/>
  <c r="B264" i="6"/>
  <c r="B263" i="6"/>
  <c r="B261" i="6"/>
  <c r="B260" i="6"/>
  <c r="B258" i="6"/>
  <c r="B257" i="6"/>
  <c r="B256" i="6"/>
  <c r="B254" i="6"/>
  <c r="B253" i="6"/>
  <c r="B251" i="6"/>
  <c r="B250" i="6"/>
  <c r="B249" i="6"/>
  <c r="B248" i="6"/>
  <c r="B302" i="6"/>
  <c r="B293" i="6"/>
  <c r="B290" i="6"/>
  <c r="B287" i="6"/>
  <c r="B282" i="6"/>
  <c r="B278" i="6"/>
  <c r="B273" i="6"/>
  <c r="B269" i="6"/>
  <c r="B265" i="6"/>
  <c r="B262" i="6"/>
  <c r="B259" i="6"/>
  <c r="B255" i="6"/>
  <c r="B252" i="6"/>
  <c r="B247" i="6"/>
  <c r="B246" i="6"/>
  <c r="B245" i="6"/>
  <c r="B244" i="6"/>
  <c r="B243" i="6"/>
  <c r="B242" i="6"/>
  <c r="B241" i="6"/>
  <c r="B240" i="6"/>
  <c r="B239" i="6"/>
  <c r="B238" i="6"/>
  <c r="B237" i="6"/>
  <c r="B236" i="6"/>
  <c r="B235" i="6"/>
  <c r="B234" i="6"/>
  <c r="B233" i="6"/>
  <c r="B232" i="6"/>
  <c r="B231" i="6"/>
  <c r="B230" i="6"/>
  <c r="B229" i="6"/>
  <c r="B228" i="6"/>
  <c r="B227" i="6"/>
  <c r="B226" i="6"/>
  <c r="B225" i="6"/>
  <c r="B224" i="6"/>
  <c r="B223" i="6"/>
  <c r="B222" i="6"/>
  <c r="B221" i="6"/>
  <c r="B220" i="6"/>
  <c r="B219" i="6"/>
  <c r="B218" i="6"/>
  <c r="B217" i="6"/>
  <c r="B216" i="6"/>
  <c r="B215" i="6"/>
  <c r="B214" i="6"/>
  <c r="B213" i="6"/>
  <c r="B212" i="6"/>
  <c r="B211" i="6"/>
  <c r="B210" i="6"/>
  <c r="B209" i="6"/>
  <c r="B208" i="6"/>
  <c r="B207" i="6"/>
  <c r="B206" i="6"/>
  <c r="B205" i="6"/>
  <c r="B204" i="6"/>
  <c r="B203" i="6"/>
  <c r="B202" i="6"/>
  <c r="B201" i="6"/>
  <c r="B200" i="6"/>
  <c r="B199" i="6"/>
  <c r="B198" i="6"/>
  <c r="B197" i="6"/>
  <c r="B196" i="6"/>
  <c r="B195" i="6"/>
  <c r="B194" i="6"/>
  <c r="B193" i="6"/>
  <c r="B192" i="6"/>
  <c r="B191" i="6"/>
  <c r="B190" i="6"/>
  <c r="B189" i="6"/>
  <c r="B188" i="6"/>
  <c r="B187" i="6"/>
  <c r="B186" i="6"/>
  <c r="B185" i="6"/>
  <c r="B184" i="6"/>
  <c r="B183" i="6"/>
  <c r="B182" i="6"/>
  <c r="B181" i="6"/>
  <c r="B180" i="6"/>
  <c r="B179" i="6"/>
  <c r="B178" i="6"/>
  <c r="B177" i="6"/>
  <c r="B176" i="6"/>
  <c r="B175" i="6"/>
  <c r="B174" i="6"/>
  <c r="B173" i="6"/>
  <c r="B172" i="6"/>
  <c r="B171" i="6"/>
  <c r="B170" i="6"/>
  <c r="B169" i="6"/>
  <c r="B168" i="6"/>
  <c r="B167" i="6"/>
  <c r="B166" i="6"/>
  <c r="B165" i="6"/>
  <c r="B164" i="6"/>
  <c r="B163" i="6"/>
  <c r="B162" i="6"/>
  <c r="B161" i="6"/>
  <c r="B160" i="6"/>
  <c r="B159" i="6"/>
  <c r="B158" i="6"/>
  <c r="B157" i="6"/>
  <c r="B156" i="6"/>
  <c r="B155" i="6"/>
  <c r="B154" i="6"/>
  <c r="B153" i="6"/>
  <c r="B2" i="6"/>
  <c r="B151" i="6"/>
  <c r="B150" i="6"/>
  <c r="B149" i="6"/>
  <c r="B148" i="6"/>
  <c r="B147" i="6"/>
  <c r="B146" i="6"/>
  <c r="B145" i="6"/>
  <c r="B144" i="6"/>
  <c r="B143" i="6"/>
  <c r="B142" i="6"/>
  <c r="B141" i="6"/>
  <c r="B140" i="6"/>
  <c r="B139" i="6"/>
  <c r="B138" i="6"/>
  <c r="B137" i="6"/>
  <c r="B136" i="6"/>
  <c r="B135" i="6"/>
  <c r="B134" i="6"/>
  <c r="B133" i="6"/>
  <c r="B132" i="6"/>
  <c r="B131" i="6"/>
  <c r="B130" i="6"/>
  <c r="B129" i="6"/>
  <c r="B128" i="6"/>
  <c r="B127" i="6"/>
  <c r="B126" i="6"/>
  <c r="B125" i="6"/>
  <c r="B124" i="6"/>
  <c r="B123" i="6"/>
  <c r="B122" i="6"/>
  <c r="B121" i="6"/>
  <c r="B119" i="6"/>
  <c r="B117" i="6"/>
  <c r="B115" i="6"/>
  <c r="B113" i="6"/>
  <c r="B111" i="6"/>
  <c r="B109" i="6"/>
  <c r="B107" i="6"/>
  <c r="B105" i="6"/>
  <c r="B103" i="6"/>
  <c r="B101" i="6"/>
  <c r="B99" i="6"/>
  <c r="B93" i="6"/>
  <c r="B92" i="6"/>
  <c r="B91" i="6"/>
  <c r="B89" i="6"/>
  <c r="B87" i="6"/>
  <c r="B85" i="6"/>
  <c r="B83" i="6"/>
  <c r="B81" i="6"/>
  <c r="B80" i="6"/>
  <c r="B79" i="6"/>
  <c r="B77" i="6"/>
  <c r="B75" i="6"/>
  <c r="B74" i="6"/>
  <c r="B73" i="6"/>
  <c r="B72" i="6"/>
  <c r="B69" i="6"/>
  <c r="B67" i="6"/>
  <c r="B64" i="6"/>
  <c r="B62" i="6"/>
  <c r="B60" i="6"/>
  <c r="B58" i="6"/>
  <c r="B56" i="6"/>
  <c r="B54" i="6"/>
  <c r="B52" i="6"/>
  <c r="B50" i="6"/>
  <c r="B48" i="6"/>
  <c r="B43" i="6"/>
  <c r="B41" i="6"/>
  <c r="B39" i="6"/>
  <c r="B37" i="6"/>
  <c r="B35" i="6"/>
  <c r="B33" i="6"/>
  <c r="B31" i="6"/>
  <c r="B29" i="6"/>
  <c r="B27" i="6"/>
  <c r="B25" i="6"/>
  <c r="B23" i="6"/>
  <c r="B21" i="6"/>
  <c r="B20" i="6"/>
  <c r="B19" i="6"/>
  <c r="B16" i="6"/>
  <c r="B14" i="6"/>
  <c r="B12" i="6"/>
  <c r="B10" i="6"/>
  <c r="B8" i="6"/>
  <c r="B6" i="6"/>
  <c r="B4" i="6"/>
  <c r="B3" i="6"/>
  <c r="B120" i="6"/>
  <c r="B118" i="6"/>
  <c r="B116" i="6"/>
  <c r="B114" i="6"/>
  <c r="B112" i="6"/>
  <c r="B110" i="6"/>
  <c r="B108" i="6"/>
  <c r="B106" i="6"/>
  <c r="B104" i="6"/>
  <c r="B102" i="6"/>
  <c r="B100" i="6"/>
  <c r="B98" i="6"/>
  <c r="B97" i="6"/>
  <c r="B96" i="6"/>
  <c r="B95" i="6"/>
  <c r="B94" i="6"/>
  <c r="B90" i="6"/>
  <c r="B88" i="6"/>
  <c r="B86" i="6"/>
  <c r="B84" i="6"/>
  <c r="B82" i="6"/>
  <c r="B78" i="6"/>
  <c r="B76" i="6"/>
  <c r="B71" i="6"/>
  <c r="B70" i="6"/>
  <c r="B68" i="6"/>
  <c r="B66" i="6"/>
  <c r="B65" i="6"/>
  <c r="B63" i="6"/>
  <c r="B61" i="6"/>
  <c r="B59" i="6"/>
  <c r="B57" i="6"/>
  <c r="B55" i="6"/>
  <c r="B53" i="6"/>
  <c r="B51" i="6"/>
  <c r="B49" i="6"/>
  <c r="B47" i="6"/>
  <c r="B46" i="6"/>
  <c r="B45" i="6"/>
  <c r="B44" i="6"/>
  <c r="B42" i="6"/>
  <c r="B40" i="6"/>
  <c r="B38" i="6"/>
  <c r="B36" i="6"/>
  <c r="B34" i="6"/>
  <c r="B32" i="6"/>
  <c r="B30" i="6"/>
  <c r="B28" i="6"/>
  <c r="B26" i="6"/>
  <c r="B24" i="6"/>
  <c r="B22" i="6"/>
  <c r="B18" i="6"/>
  <c r="B17" i="6"/>
  <c r="B15" i="6"/>
  <c r="B13" i="6"/>
  <c r="B11" i="6"/>
  <c r="B9" i="6"/>
  <c r="B7" i="6"/>
  <c r="B5" i="6"/>
  <c r="E6" i="5"/>
  <c r="M6" i="5" s="1"/>
  <c r="K6" i="5"/>
  <c r="C13" i="5"/>
  <c r="D13" i="5"/>
  <c r="E13" i="5"/>
  <c r="F13" i="5"/>
  <c r="G13" i="5"/>
  <c r="H13" i="5"/>
  <c r="B13" i="5"/>
  <c r="C6" i="5"/>
  <c r="D6" i="5"/>
  <c r="L6" i="5" s="1"/>
  <c r="F6" i="5"/>
  <c r="G6" i="5"/>
  <c r="H12" i="5" s="1"/>
  <c r="H24" i="5" s="1"/>
  <c r="H6" i="5"/>
  <c r="B6" i="5"/>
  <c r="B304" i="6" l="1"/>
  <c r="F12" i="5"/>
  <c r="F24" i="5" s="1"/>
  <c r="H2" i="6"/>
  <c r="H302" i="6"/>
  <c r="Q302" i="6" s="1"/>
  <c r="H301" i="6"/>
  <c r="Q301" i="6" s="1"/>
  <c r="H300" i="6"/>
  <c r="Q300" i="6" s="1"/>
  <c r="H299" i="6"/>
  <c r="Q299" i="6" s="1"/>
  <c r="H298" i="6"/>
  <c r="Q298" i="6" s="1"/>
  <c r="H297" i="6"/>
  <c r="Q297" i="6" s="1"/>
  <c r="H296" i="6"/>
  <c r="Q296" i="6" s="1"/>
  <c r="H295" i="6"/>
  <c r="Q295" i="6" s="1"/>
  <c r="H294" i="6"/>
  <c r="Q294" i="6" s="1"/>
  <c r="H293" i="6"/>
  <c r="Q293" i="6" s="1"/>
  <c r="H292" i="6"/>
  <c r="Q292" i="6" s="1"/>
  <c r="H291" i="6"/>
  <c r="Q291" i="6" s="1"/>
  <c r="H290" i="6"/>
  <c r="Q290" i="6" s="1"/>
  <c r="H289" i="6"/>
  <c r="Q289" i="6" s="1"/>
  <c r="H288" i="6"/>
  <c r="Q288" i="6" s="1"/>
  <c r="H287" i="6"/>
  <c r="Q287" i="6" s="1"/>
  <c r="H286" i="6"/>
  <c r="Q286" i="6" s="1"/>
  <c r="H285" i="6"/>
  <c r="Q285" i="6" s="1"/>
  <c r="H284" i="6"/>
  <c r="Q284" i="6" s="1"/>
  <c r="H283" i="6"/>
  <c r="Q283" i="6" s="1"/>
  <c r="H282" i="6"/>
  <c r="Q282" i="6" s="1"/>
  <c r="H281" i="6"/>
  <c r="Q281" i="6" s="1"/>
  <c r="H280" i="6"/>
  <c r="Q280" i="6" s="1"/>
  <c r="H279" i="6"/>
  <c r="Q279" i="6" s="1"/>
  <c r="H278" i="6"/>
  <c r="Q278" i="6" s="1"/>
  <c r="H277" i="6"/>
  <c r="Q277" i="6" s="1"/>
  <c r="H276" i="6"/>
  <c r="Q276" i="6" s="1"/>
  <c r="H275" i="6"/>
  <c r="Q275" i="6" s="1"/>
  <c r="H274" i="6"/>
  <c r="Q274" i="6" s="1"/>
  <c r="H273" i="6"/>
  <c r="Q273" i="6" s="1"/>
  <c r="H272" i="6"/>
  <c r="Q272" i="6" s="1"/>
  <c r="H271" i="6"/>
  <c r="Q271" i="6" s="1"/>
  <c r="H270" i="6"/>
  <c r="Q270" i="6" s="1"/>
  <c r="H269" i="6"/>
  <c r="Q269" i="6" s="1"/>
  <c r="H268" i="6"/>
  <c r="Q268" i="6" s="1"/>
  <c r="H267" i="6"/>
  <c r="Q267" i="6" s="1"/>
  <c r="H266" i="6"/>
  <c r="Q266" i="6" s="1"/>
  <c r="H265" i="6"/>
  <c r="Q265" i="6" s="1"/>
  <c r="H264" i="6"/>
  <c r="Q264" i="6" s="1"/>
  <c r="H263" i="6"/>
  <c r="Q263" i="6" s="1"/>
  <c r="H262" i="6"/>
  <c r="Q262" i="6" s="1"/>
  <c r="H261" i="6"/>
  <c r="Q261" i="6" s="1"/>
  <c r="H260" i="6"/>
  <c r="Q260" i="6" s="1"/>
  <c r="H259" i="6"/>
  <c r="Q259" i="6" s="1"/>
  <c r="H258" i="6"/>
  <c r="Q258" i="6" s="1"/>
  <c r="H257" i="6"/>
  <c r="Q257" i="6" s="1"/>
  <c r="H256" i="6"/>
  <c r="Q256" i="6" s="1"/>
  <c r="H255" i="6"/>
  <c r="Q255" i="6" s="1"/>
  <c r="H254" i="6"/>
  <c r="Q254" i="6" s="1"/>
  <c r="H253" i="6"/>
  <c r="Q253" i="6" s="1"/>
  <c r="H252" i="6"/>
  <c r="Q252" i="6" s="1"/>
  <c r="H251" i="6"/>
  <c r="Q251" i="6" s="1"/>
  <c r="H250" i="6"/>
  <c r="Q250" i="6" s="1"/>
  <c r="H249" i="6"/>
  <c r="Q249" i="6" s="1"/>
  <c r="H248" i="6"/>
  <c r="Q248" i="6" s="1"/>
  <c r="H247" i="6"/>
  <c r="Q247" i="6" s="1"/>
  <c r="H246" i="6"/>
  <c r="Q246" i="6" s="1"/>
  <c r="H245" i="6"/>
  <c r="Q245" i="6" s="1"/>
  <c r="H244" i="6"/>
  <c r="Q244" i="6" s="1"/>
  <c r="H243" i="6"/>
  <c r="Q243" i="6" s="1"/>
  <c r="H242" i="6"/>
  <c r="Q242" i="6" s="1"/>
  <c r="H241" i="6"/>
  <c r="Q241" i="6" s="1"/>
  <c r="H240" i="6"/>
  <c r="Q240" i="6" s="1"/>
  <c r="H239" i="6"/>
  <c r="Q239" i="6" s="1"/>
  <c r="H238" i="6"/>
  <c r="Q238" i="6" s="1"/>
  <c r="H237" i="6"/>
  <c r="Q237" i="6" s="1"/>
  <c r="H236" i="6"/>
  <c r="Q236" i="6" s="1"/>
  <c r="H235" i="6"/>
  <c r="Q235" i="6" s="1"/>
  <c r="H234" i="6"/>
  <c r="Q234" i="6" s="1"/>
  <c r="H233" i="6"/>
  <c r="Q233" i="6" s="1"/>
  <c r="H232" i="6"/>
  <c r="Q232" i="6" s="1"/>
  <c r="H231" i="6"/>
  <c r="Q231" i="6" s="1"/>
  <c r="H230" i="6"/>
  <c r="Q230" i="6" s="1"/>
  <c r="H229" i="6"/>
  <c r="Q229" i="6" s="1"/>
  <c r="H228" i="6"/>
  <c r="Q228" i="6" s="1"/>
  <c r="H227" i="6"/>
  <c r="Q227" i="6" s="1"/>
  <c r="H226" i="6"/>
  <c r="Q226" i="6" s="1"/>
  <c r="H225" i="6"/>
  <c r="Q225" i="6" s="1"/>
  <c r="H224" i="6"/>
  <c r="Q224" i="6" s="1"/>
  <c r="H223" i="6"/>
  <c r="Q223" i="6" s="1"/>
  <c r="H222" i="6"/>
  <c r="Q222" i="6" s="1"/>
  <c r="H221" i="6"/>
  <c r="Q221" i="6" s="1"/>
  <c r="H220" i="6"/>
  <c r="Q220" i="6" s="1"/>
  <c r="H219" i="6"/>
  <c r="Q219" i="6" s="1"/>
  <c r="H218" i="6"/>
  <c r="Q218" i="6" s="1"/>
  <c r="H217" i="6"/>
  <c r="Q217" i="6" s="1"/>
  <c r="H216" i="6"/>
  <c r="Q216" i="6" s="1"/>
  <c r="H215" i="6"/>
  <c r="Q215" i="6" s="1"/>
  <c r="H214" i="6"/>
  <c r="Q214" i="6" s="1"/>
  <c r="H213" i="6"/>
  <c r="Q213" i="6" s="1"/>
  <c r="H212" i="6"/>
  <c r="Q212" i="6" s="1"/>
  <c r="H211" i="6"/>
  <c r="Q211" i="6" s="1"/>
  <c r="H210" i="6"/>
  <c r="Q210" i="6" s="1"/>
  <c r="H209" i="6"/>
  <c r="Q209" i="6" s="1"/>
  <c r="H208" i="6"/>
  <c r="Q208" i="6" s="1"/>
  <c r="H207" i="6"/>
  <c r="Q207" i="6" s="1"/>
  <c r="H206" i="6"/>
  <c r="Q206" i="6" s="1"/>
  <c r="H205" i="6"/>
  <c r="Q205" i="6" s="1"/>
  <c r="H204" i="6"/>
  <c r="Q204" i="6" s="1"/>
  <c r="H203" i="6"/>
  <c r="Q203" i="6" s="1"/>
  <c r="H202" i="6"/>
  <c r="Q202" i="6" s="1"/>
  <c r="H201" i="6"/>
  <c r="Q201" i="6" s="1"/>
  <c r="H200" i="6"/>
  <c r="Q200" i="6" s="1"/>
  <c r="H199" i="6"/>
  <c r="Q199" i="6" s="1"/>
  <c r="H198" i="6"/>
  <c r="Q198" i="6" s="1"/>
  <c r="H197" i="6"/>
  <c r="Q197" i="6" s="1"/>
  <c r="H196" i="6"/>
  <c r="Q196" i="6" s="1"/>
  <c r="H195" i="6"/>
  <c r="Q195" i="6" s="1"/>
  <c r="H194" i="6"/>
  <c r="Q194" i="6" s="1"/>
  <c r="H193" i="6"/>
  <c r="Q193" i="6" s="1"/>
  <c r="H192" i="6"/>
  <c r="Q192" i="6" s="1"/>
  <c r="H191" i="6"/>
  <c r="Q191" i="6" s="1"/>
  <c r="H190" i="6"/>
  <c r="Q190" i="6" s="1"/>
  <c r="H189" i="6"/>
  <c r="Q189" i="6" s="1"/>
  <c r="H188" i="6"/>
  <c r="Q188" i="6" s="1"/>
  <c r="H187" i="6"/>
  <c r="Q187" i="6" s="1"/>
  <c r="H186" i="6"/>
  <c r="Q186" i="6" s="1"/>
  <c r="H185" i="6"/>
  <c r="Q185" i="6" s="1"/>
  <c r="H184" i="6"/>
  <c r="Q184" i="6" s="1"/>
  <c r="H183" i="6"/>
  <c r="Q183" i="6" s="1"/>
  <c r="H182" i="6"/>
  <c r="Q182" i="6" s="1"/>
  <c r="H181" i="6"/>
  <c r="Q181" i="6" s="1"/>
  <c r="H180" i="6"/>
  <c r="Q180" i="6" s="1"/>
  <c r="H179" i="6"/>
  <c r="Q179" i="6" s="1"/>
  <c r="H178" i="6"/>
  <c r="Q178" i="6" s="1"/>
  <c r="H177" i="6"/>
  <c r="Q177" i="6" s="1"/>
  <c r="H176" i="6"/>
  <c r="Q176" i="6" s="1"/>
  <c r="H175" i="6"/>
  <c r="Q175" i="6" s="1"/>
  <c r="H174" i="6"/>
  <c r="Q174" i="6" s="1"/>
  <c r="H173" i="6"/>
  <c r="Q173" i="6" s="1"/>
  <c r="H172" i="6"/>
  <c r="Q172" i="6" s="1"/>
  <c r="H171" i="6"/>
  <c r="Q171" i="6" s="1"/>
  <c r="H170" i="6"/>
  <c r="Q170" i="6" s="1"/>
  <c r="H169" i="6"/>
  <c r="Q169" i="6" s="1"/>
  <c r="H168" i="6"/>
  <c r="Q168" i="6" s="1"/>
  <c r="H167" i="6"/>
  <c r="Q167" i="6" s="1"/>
  <c r="H166" i="6"/>
  <c r="Q166" i="6" s="1"/>
  <c r="H165" i="6"/>
  <c r="Q165" i="6" s="1"/>
  <c r="H164" i="6"/>
  <c r="Q164" i="6" s="1"/>
  <c r="H163" i="6"/>
  <c r="Q163" i="6" s="1"/>
  <c r="H162" i="6"/>
  <c r="Q162" i="6" s="1"/>
  <c r="H161" i="6"/>
  <c r="Q161" i="6" s="1"/>
  <c r="H160" i="6"/>
  <c r="Q160" i="6" s="1"/>
  <c r="H159" i="6"/>
  <c r="Q159" i="6" s="1"/>
  <c r="H158" i="6"/>
  <c r="Q158" i="6" s="1"/>
  <c r="H157" i="6"/>
  <c r="Q157" i="6" s="1"/>
  <c r="H156" i="6"/>
  <c r="Q156" i="6" s="1"/>
  <c r="H155" i="6"/>
  <c r="Q155" i="6" s="1"/>
  <c r="H154" i="6"/>
  <c r="Q154" i="6" s="1"/>
  <c r="H153" i="6"/>
  <c r="Q153" i="6" s="1"/>
  <c r="H152" i="6"/>
  <c r="Q152" i="6" s="1"/>
  <c r="H151" i="6"/>
  <c r="Q151" i="6" s="1"/>
  <c r="H150" i="6"/>
  <c r="Q150" i="6" s="1"/>
  <c r="H149" i="6"/>
  <c r="Q149" i="6" s="1"/>
  <c r="H148" i="6"/>
  <c r="Q148" i="6" s="1"/>
  <c r="H147" i="6"/>
  <c r="Q147" i="6" s="1"/>
  <c r="H146" i="6"/>
  <c r="Q146" i="6" s="1"/>
  <c r="H145" i="6"/>
  <c r="Q145" i="6" s="1"/>
  <c r="H144" i="6"/>
  <c r="Q144" i="6" s="1"/>
  <c r="H143" i="6"/>
  <c r="Q143" i="6" s="1"/>
  <c r="H142" i="6"/>
  <c r="Q142" i="6" s="1"/>
  <c r="H141" i="6"/>
  <c r="Q141" i="6" s="1"/>
  <c r="H140" i="6"/>
  <c r="Q140" i="6" s="1"/>
  <c r="H139" i="6"/>
  <c r="Q139" i="6" s="1"/>
  <c r="H138" i="6"/>
  <c r="Q138" i="6" s="1"/>
  <c r="H137" i="6"/>
  <c r="Q137" i="6" s="1"/>
  <c r="H136" i="6"/>
  <c r="Q136" i="6" s="1"/>
  <c r="H135" i="6"/>
  <c r="Q135" i="6" s="1"/>
  <c r="H134" i="6"/>
  <c r="Q134" i="6" s="1"/>
  <c r="H133" i="6"/>
  <c r="Q133" i="6" s="1"/>
  <c r="H132" i="6"/>
  <c r="Q132" i="6" s="1"/>
  <c r="H131" i="6"/>
  <c r="Q131" i="6" s="1"/>
  <c r="H130" i="6"/>
  <c r="Q130" i="6" s="1"/>
  <c r="H129" i="6"/>
  <c r="Q129" i="6" s="1"/>
  <c r="H128" i="6"/>
  <c r="Q128" i="6" s="1"/>
  <c r="H127" i="6"/>
  <c r="Q127" i="6" s="1"/>
  <c r="H126" i="6"/>
  <c r="Q126" i="6" s="1"/>
  <c r="H125" i="6"/>
  <c r="Q125" i="6" s="1"/>
  <c r="H124" i="6"/>
  <c r="Q124" i="6" s="1"/>
  <c r="H123" i="6"/>
  <c r="Q123" i="6" s="1"/>
  <c r="H122" i="6"/>
  <c r="Q122" i="6" s="1"/>
  <c r="H121" i="6"/>
  <c r="Q121" i="6" s="1"/>
  <c r="H119" i="6"/>
  <c r="Q119" i="6" s="1"/>
  <c r="H117" i="6"/>
  <c r="Q117" i="6" s="1"/>
  <c r="H115" i="6"/>
  <c r="Q115" i="6" s="1"/>
  <c r="H113" i="6"/>
  <c r="Q113" i="6" s="1"/>
  <c r="H111" i="6"/>
  <c r="Q111" i="6" s="1"/>
  <c r="H109" i="6"/>
  <c r="Q109" i="6" s="1"/>
  <c r="H107" i="6"/>
  <c r="Q107" i="6" s="1"/>
  <c r="H105" i="6"/>
  <c r="Q105" i="6" s="1"/>
  <c r="H103" i="6"/>
  <c r="Q103" i="6" s="1"/>
  <c r="H101" i="6"/>
  <c r="Q101" i="6" s="1"/>
  <c r="H99" i="6"/>
  <c r="Q99" i="6" s="1"/>
  <c r="H94" i="6"/>
  <c r="Q94" i="6" s="1"/>
  <c r="H93" i="6"/>
  <c r="Q93" i="6" s="1"/>
  <c r="H91" i="6"/>
  <c r="Q91" i="6" s="1"/>
  <c r="H89" i="6"/>
  <c r="Q89" i="6" s="1"/>
  <c r="H87" i="6"/>
  <c r="Q87" i="6" s="1"/>
  <c r="H85" i="6"/>
  <c r="Q85" i="6" s="1"/>
  <c r="H83" i="6"/>
  <c r="Q83" i="6" s="1"/>
  <c r="H81" i="6"/>
  <c r="Q81" i="6" s="1"/>
  <c r="H77" i="6"/>
  <c r="Q77" i="6" s="1"/>
  <c r="H75" i="6"/>
  <c r="Q75" i="6" s="1"/>
  <c r="H70" i="6"/>
  <c r="Q70" i="6" s="1"/>
  <c r="H69" i="6"/>
  <c r="Q69" i="6" s="1"/>
  <c r="H67" i="6"/>
  <c r="Q67" i="6" s="1"/>
  <c r="H64" i="6"/>
  <c r="Q64" i="6" s="1"/>
  <c r="H62" i="6"/>
  <c r="Q62" i="6" s="1"/>
  <c r="H60" i="6"/>
  <c r="Q60" i="6" s="1"/>
  <c r="H58" i="6"/>
  <c r="Q58" i="6" s="1"/>
  <c r="H56" i="6"/>
  <c r="Q56" i="6" s="1"/>
  <c r="H54" i="6"/>
  <c r="Q54" i="6" s="1"/>
  <c r="H52" i="6"/>
  <c r="Q52" i="6" s="1"/>
  <c r="H50" i="6"/>
  <c r="Q50" i="6" s="1"/>
  <c r="H48" i="6"/>
  <c r="Q48" i="6" s="1"/>
  <c r="H43" i="6"/>
  <c r="Q43" i="6" s="1"/>
  <c r="H41" i="6"/>
  <c r="Q41" i="6" s="1"/>
  <c r="H39" i="6"/>
  <c r="Q39" i="6" s="1"/>
  <c r="H37" i="6"/>
  <c r="Q37" i="6" s="1"/>
  <c r="H35" i="6"/>
  <c r="Q35" i="6" s="1"/>
  <c r="H33" i="6"/>
  <c r="Q33" i="6" s="1"/>
  <c r="H31" i="6"/>
  <c r="Q31" i="6" s="1"/>
  <c r="H29" i="6"/>
  <c r="Q29" i="6" s="1"/>
  <c r="H27" i="6"/>
  <c r="Q27" i="6" s="1"/>
  <c r="H25" i="6"/>
  <c r="Q25" i="6" s="1"/>
  <c r="H23" i="6"/>
  <c r="Q23" i="6" s="1"/>
  <c r="H21" i="6"/>
  <c r="Q21" i="6" s="1"/>
  <c r="H19" i="6"/>
  <c r="Q19" i="6" s="1"/>
  <c r="H16" i="6"/>
  <c r="Q16" i="6" s="1"/>
  <c r="H14" i="6"/>
  <c r="Q14" i="6" s="1"/>
  <c r="H12" i="6"/>
  <c r="Q12" i="6" s="1"/>
  <c r="H10" i="6"/>
  <c r="Q10" i="6" s="1"/>
  <c r="H8" i="6"/>
  <c r="Q8" i="6" s="1"/>
  <c r="H6" i="6"/>
  <c r="Q6" i="6" s="1"/>
  <c r="H4" i="6"/>
  <c r="Q4" i="6" s="1"/>
  <c r="H120" i="6"/>
  <c r="Q120" i="6" s="1"/>
  <c r="H118" i="6"/>
  <c r="Q118" i="6" s="1"/>
  <c r="H116" i="6"/>
  <c r="Q116" i="6" s="1"/>
  <c r="H114" i="6"/>
  <c r="Q114" i="6" s="1"/>
  <c r="H112" i="6"/>
  <c r="Q112" i="6" s="1"/>
  <c r="H110" i="6"/>
  <c r="Q110" i="6" s="1"/>
  <c r="H108" i="6"/>
  <c r="Q108" i="6" s="1"/>
  <c r="H106" i="6"/>
  <c r="Q106" i="6" s="1"/>
  <c r="H104" i="6"/>
  <c r="Q104" i="6" s="1"/>
  <c r="H102" i="6"/>
  <c r="Q102" i="6" s="1"/>
  <c r="H100" i="6"/>
  <c r="Q100" i="6" s="1"/>
  <c r="H98" i="6"/>
  <c r="Q98" i="6" s="1"/>
  <c r="H97" i="6"/>
  <c r="Q97" i="6" s="1"/>
  <c r="H96" i="6"/>
  <c r="Q96" i="6" s="1"/>
  <c r="H95" i="6"/>
  <c r="Q95" i="6" s="1"/>
  <c r="H92" i="6"/>
  <c r="Q92" i="6" s="1"/>
  <c r="H90" i="6"/>
  <c r="Q90" i="6" s="1"/>
  <c r="H88" i="6"/>
  <c r="Q88" i="6" s="1"/>
  <c r="H86" i="6"/>
  <c r="Q86" i="6" s="1"/>
  <c r="H84" i="6"/>
  <c r="Q84" i="6" s="1"/>
  <c r="H82" i="6"/>
  <c r="Q82" i="6" s="1"/>
  <c r="H80" i="6"/>
  <c r="Q80" i="6" s="1"/>
  <c r="H79" i="6"/>
  <c r="Q79" i="6" s="1"/>
  <c r="H78" i="6"/>
  <c r="Q78" i="6" s="1"/>
  <c r="H76" i="6"/>
  <c r="Q76" i="6" s="1"/>
  <c r="H74" i="6"/>
  <c r="Q74" i="6" s="1"/>
  <c r="H73" i="6"/>
  <c r="Q73" i="6" s="1"/>
  <c r="H72" i="6"/>
  <c r="Q72" i="6" s="1"/>
  <c r="H71" i="6"/>
  <c r="Q71" i="6" s="1"/>
  <c r="H68" i="6"/>
  <c r="Q68" i="6" s="1"/>
  <c r="H66" i="6"/>
  <c r="Q66" i="6" s="1"/>
  <c r="H65" i="6"/>
  <c r="Q65" i="6" s="1"/>
  <c r="H63" i="6"/>
  <c r="Q63" i="6" s="1"/>
  <c r="H61" i="6"/>
  <c r="Q61" i="6" s="1"/>
  <c r="H59" i="6"/>
  <c r="Q59" i="6" s="1"/>
  <c r="H57" i="6"/>
  <c r="Q57" i="6" s="1"/>
  <c r="H55" i="6"/>
  <c r="Q55" i="6" s="1"/>
  <c r="H53" i="6"/>
  <c r="Q53" i="6" s="1"/>
  <c r="H51" i="6"/>
  <c r="Q51" i="6" s="1"/>
  <c r="H49" i="6"/>
  <c r="Q49" i="6" s="1"/>
  <c r="H47" i="6"/>
  <c r="Q47" i="6" s="1"/>
  <c r="H46" i="6"/>
  <c r="Q46" i="6" s="1"/>
  <c r="H45" i="6"/>
  <c r="Q45" i="6" s="1"/>
  <c r="H44" i="6"/>
  <c r="Q44" i="6" s="1"/>
  <c r="H42" i="6"/>
  <c r="Q42" i="6" s="1"/>
  <c r="H40" i="6"/>
  <c r="Q40" i="6" s="1"/>
  <c r="H38" i="6"/>
  <c r="Q38" i="6" s="1"/>
  <c r="H36" i="6"/>
  <c r="Q36" i="6" s="1"/>
  <c r="H34" i="6"/>
  <c r="Q34" i="6" s="1"/>
  <c r="H32" i="6"/>
  <c r="Q32" i="6" s="1"/>
  <c r="H30" i="6"/>
  <c r="Q30" i="6" s="1"/>
  <c r="H28" i="6"/>
  <c r="Q28" i="6" s="1"/>
  <c r="H26" i="6"/>
  <c r="Q26" i="6" s="1"/>
  <c r="H24" i="6"/>
  <c r="Q24" i="6" s="1"/>
  <c r="H22" i="6"/>
  <c r="Q22" i="6" s="1"/>
  <c r="H20" i="6"/>
  <c r="Q20" i="6" s="1"/>
  <c r="H18" i="6"/>
  <c r="Q18" i="6" s="1"/>
  <c r="H17" i="6"/>
  <c r="Q17" i="6" s="1"/>
  <c r="H15" i="6"/>
  <c r="Q15" i="6" s="1"/>
  <c r="H13" i="6"/>
  <c r="Q13" i="6" s="1"/>
  <c r="H11" i="6"/>
  <c r="Q11" i="6" s="1"/>
  <c r="H9" i="6"/>
  <c r="Q9" i="6" s="1"/>
  <c r="H7" i="6"/>
  <c r="Q7" i="6" s="1"/>
  <c r="H5" i="6"/>
  <c r="Q5" i="6" s="1"/>
  <c r="H3" i="6"/>
  <c r="Q3" i="6" s="1"/>
  <c r="F2" i="6" l="1"/>
  <c r="F302" i="6"/>
  <c r="O302" i="6" s="1"/>
  <c r="S302" i="6" s="1"/>
  <c r="F301" i="6"/>
  <c r="O301" i="6" s="1"/>
  <c r="S301" i="6" s="1"/>
  <c r="F300" i="6"/>
  <c r="O300" i="6" s="1"/>
  <c r="S300" i="6" s="1"/>
  <c r="F299" i="6"/>
  <c r="O299" i="6" s="1"/>
  <c r="S299" i="6" s="1"/>
  <c r="F298" i="6"/>
  <c r="O298" i="6" s="1"/>
  <c r="S298" i="6" s="1"/>
  <c r="F297" i="6"/>
  <c r="O297" i="6" s="1"/>
  <c r="S297" i="6" s="1"/>
  <c r="F296" i="6"/>
  <c r="O296" i="6" s="1"/>
  <c r="S296" i="6" s="1"/>
  <c r="F295" i="6"/>
  <c r="O295" i="6" s="1"/>
  <c r="S295" i="6" s="1"/>
  <c r="F294" i="6"/>
  <c r="O294" i="6" s="1"/>
  <c r="S294" i="6" s="1"/>
  <c r="F293" i="6"/>
  <c r="O293" i="6" s="1"/>
  <c r="S293" i="6" s="1"/>
  <c r="F292" i="6"/>
  <c r="O292" i="6" s="1"/>
  <c r="S292" i="6" s="1"/>
  <c r="F291" i="6"/>
  <c r="O291" i="6" s="1"/>
  <c r="S291" i="6" s="1"/>
  <c r="F290" i="6"/>
  <c r="O290" i="6" s="1"/>
  <c r="S290" i="6" s="1"/>
  <c r="F289" i="6"/>
  <c r="O289" i="6" s="1"/>
  <c r="S289" i="6" s="1"/>
  <c r="F288" i="6"/>
  <c r="O288" i="6" s="1"/>
  <c r="S288" i="6" s="1"/>
  <c r="F287" i="6"/>
  <c r="O287" i="6" s="1"/>
  <c r="S287" i="6" s="1"/>
  <c r="F286" i="6"/>
  <c r="O286" i="6" s="1"/>
  <c r="S286" i="6" s="1"/>
  <c r="F285" i="6"/>
  <c r="O285" i="6" s="1"/>
  <c r="S285" i="6" s="1"/>
  <c r="F284" i="6"/>
  <c r="O284" i="6" s="1"/>
  <c r="S284" i="6" s="1"/>
  <c r="F283" i="6"/>
  <c r="O283" i="6" s="1"/>
  <c r="S283" i="6" s="1"/>
  <c r="F282" i="6"/>
  <c r="O282" i="6" s="1"/>
  <c r="S282" i="6" s="1"/>
  <c r="F281" i="6"/>
  <c r="O281" i="6" s="1"/>
  <c r="S281" i="6" s="1"/>
  <c r="F280" i="6"/>
  <c r="O280" i="6" s="1"/>
  <c r="S280" i="6" s="1"/>
  <c r="F279" i="6"/>
  <c r="O279" i="6" s="1"/>
  <c r="S279" i="6" s="1"/>
  <c r="F278" i="6"/>
  <c r="O278" i="6" s="1"/>
  <c r="S278" i="6" s="1"/>
  <c r="F277" i="6"/>
  <c r="O277" i="6" s="1"/>
  <c r="S277" i="6" s="1"/>
  <c r="F276" i="6"/>
  <c r="O276" i="6" s="1"/>
  <c r="S276" i="6" s="1"/>
  <c r="F275" i="6"/>
  <c r="O275" i="6" s="1"/>
  <c r="S275" i="6" s="1"/>
  <c r="F274" i="6"/>
  <c r="O274" i="6" s="1"/>
  <c r="S274" i="6" s="1"/>
  <c r="F273" i="6"/>
  <c r="O273" i="6" s="1"/>
  <c r="S273" i="6" s="1"/>
  <c r="F272" i="6"/>
  <c r="O272" i="6" s="1"/>
  <c r="S272" i="6" s="1"/>
  <c r="F271" i="6"/>
  <c r="O271" i="6" s="1"/>
  <c r="S271" i="6" s="1"/>
  <c r="F270" i="6"/>
  <c r="O270" i="6" s="1"/>
  <c r="S270" i="6" s="1"/>
  <c r="F269" i="6"/>
  <c r="O269" i="6" s="1"/>
  <c r="S269" i="6" s="1"/>
  <c r="F268" i="6"/>
  <c r="O268" i="6" s="1"/>
  <c r="S268" i="6" s="1"/>
  <c r="F267" i="6"/>
  <c r="O267" i="6" s="1"/>
  <c r="S267" i="6" s="1"/>
  <c r="F266" i="6"/>
  <c r="O266" i="6" s="1"/>
  <c r="S266" i="6" s="1"/>
  <c r="F265" i="6"/>
  <c r="O265" i="6" s="1"/>
  <c r="S265" i="6" s="1"/>
  <c r="F264" i="6"/>
  <c r="O264" i="6" s="1"/>
  <c r="S264" i="6" s="1"/>
  <c r="F263" i="6"/>
  <c r="O263" i="6" s="1"/>
  <c r="S263" i="6" s="1"/>
  <c r="F262" i="6"/>
  <c r="O262" i="6" s="1"/>
  <c r="S262" i="6" s="1"/>
  <c r="F261" i="6"/>
  <c r="O261" i="6" s="1"/>
  <c r="S261" i="6" s="1"/>
  <c r="F260" i="6"/>
  <c r="O260" i="6" s="1"/>
  <c r="S260" i="6" s="1"/>
  <c r="F259" i="6"/>
  <c r="O259" i="6" s="1"/>
  <c r="S259" i="6" s="1"/>
  <c r="F258" i="6"/>
  <c r="O258" i="6" s="1"/>
  <c r="S258" i="6" s="1"/>
  <c r="F257" i="6"/>
  <c r="O257" i="6" s="1"/>
  <c r="S257" i="6" s="1"/>
  <c r="F256" i="6"/>
  <c r="O256" i="6" s="1"/>
  <c r="S256" i="6" s="1"/>
  <c r="F255" i="6"/>
  <c r="O255" i="6" s="1"/>
  <c r="S255" i="6" s="1"/>
  <c r="F254" i="6"/>
  <c r="O254" i="6" s="1"/>
  <c r="S254" i="6" s="1"/>
  <c r="F253" i="6"/>
  <c r="O253" i="6" s="1"/>
  <c r="S253" i="6" s="1"/>
  <c r="F252" i="6"/>
  <c r="O252" i="6" s="1"/>
  <c r="S252" i="6" s="1"/>
  <c r="F251" i="6"/>
  <c r="O251" i="6" s="1"/>
  <c r="S251" i="6" s="1"/>
  <c r="F250" i="6"/>
  <c r="O250" i="6" s="1"/>
  <c r="S250" i="6" s="1"/>
  <c r="F249" i="6"/>
  <c r="O249" i="6" s="1"/>
  <c r="S249" i="6" s="1"/>
  <c r="F248" i="6"/>
  <c r="O248" i="6" s="1"/>
  <c r="S248" i="6" s="1"/>
  <c r="F247" i="6"/>
  <c r="O247" i="6" s="1"/>
  <c r="S247" i="6" s="1"/>
  <c r="F246" i="6"/>
  <c r="O246" i="6" s="1"/>
  <c r="S246" i="6" s="1"/>
  <c r="F245" i="6"/>
  <c r="O245" i="6" s="1"/>
  <c r="S245" i="6" s="1"/>
  <c r="F244" i="6"/>
  <c r="O244" i="6" s="1"/>
  <c r="S244" i="6" s="1"/>
  <c r="F243" i="6"/>
  <c r="O243" i="6" s="1"/>
  <c r="S243" i="6" s="1"/>
  <c r="F242" i="6"/>
  <c r="O242" i="6" s="1"/>
  <c r="S242" i="6" s="1"/>
  <c r="F241" i="6"/>
  <c r="O241" i="6" s="1"/>
  <c r="S241" i="6" s="1"/>
  <c r="F240" i="6"/>
  <c r="O240" i="6" s="1"/>
  <c r="S240" i="6" s="1"/>
  <c r="F239" i="6"/>
  <c r="O239" i="6" s="1"/>
  <c r="S239" i="6" s="1"/>
  <c r="F238" i="6"/>
  <c r="O238" i="6" s="1"/>
  <c r="S238" i="6" s="1"/>
  <c r="F237" i="6"/>
  <c r="O237" i="6" s="1"/>
  <c r="S237" i="6" s="1"/>
  <c r="F236" i="6"/>
  <c r="O236" i="6" s="1"/>
  <c r="S236" i="6" s="1"/>
  <c r="F235" i="6"/>
  <c r="O235" i="6" s="1"/>
  <c r="S235" i="6" s="1"/>
  <c r="F234" i="6"/>
  <c r="O234" i="6" s="1"/>
  <c r="S234" i="6" s="1"/>
  <c r="F233" i="6"/>
  <c r="O233" i="6" s="1"/>
  <c r="S233" i="6" s="1"/>
  <c r="F232" i="6"/>
  <c r="O232" i="6" s="1"/>
  <c r="S232" i="6" s="1"/>
  <c r="F230" i="6"/>
  <c r="O230" i="6" s="1"/>
  <c r="S230" i="6" s="1"/>
  <c r="F229" i="6"/>
  <c r="O229" i="6" s="1"/>
  <c r="S229" i="6" s="1"/>
  <c r="F228" i="6"/>
  <c r="O228" i="6" s="1"/>
  <c r="S228" i="6" s="1"/>
  <c r="F227" i="6"/>
  <c r="O227" i="6" s="1"/>
  <c r="S227" i="6" s="1"/>
  <c r="F226" i="6"/>
  <c r="O226" i="6" s="1"/>
  <c r="S226" i="6" s="1"/>
  <c r="F225" i="6"/>
  <c r="O225" i="6" s="1"/>
  <c r="S225" i="6" s="1"/>
  <c r="F224" i="6"/>
  <c r="O224" i="6" s="1"/>
  <c r="S224" i="6" s="1"/>
  <c r="F223" i="6"/>
  <c r="O223" i="6" s="1"/>
  <c r="S223" i="6" s="1"/>
  <c r="F222" i="6"/>
  <c r="O222" i="6" s="1"/>
  <c r="S222" i="6" s="1"/>
  <c r="F221" i="6"/>
  <c r="O221" i="6" s="1"/>
  <c r="S221" i="6" s="1"/>
  <c r="F220" i="6"/>
  <c r="O220" i="6" s="1"/>
  <c r="S220" i="6" s="1"/>
  <c r="F219" i="6"/>
  <c r="O219" i="6" s="1"/>
  <c r="S219" i="6" s="1"/>
  <c r="F218" i="6"/>
  <c r="O218" i="6" s="1"/>
  <c r="S218" i="6" s="1"/>
  <c r="F217" i="6"/>
  <c r="O217" i="6" s="1"/>
  <c r="S217" i="6" s="1"/>
  <c r="F216" i="6"/>
  <c r="O216" i="6" s="1"/>
  <c r="S216" i="6" s="1"/>
  <c r="F215" i="6"/>
  <c r="O215" i="6" s="1"/>
  <c r="S215" i="6" s="1"/>
  <c r="F214" i="6"/>
  <c r="O214" i="6" s="1"/>
  <c r="S214" i="6" s="1"/>
  <c r="F213" i="6"/>
  <c r="O213" i="6" s="1"/>
  <c r="S213" i="6" s="1"/>
  <c r="F212" i="6"/>
  <c r="O212" i="6" s="1"/>
  <c r="S212" i="6" s="1"/>
  <c r="F211" i="6"/>
  <c r="O211" i="6" s="1"/>
  <c r="S211" i="6" s="1"/>
  <c r="F210" i="6"/>
  <c r="O210" i="6" s="1"/>
  <c r="S210" i="6" s="1"/>
  <c r="F209" i="6"/>
  <c r="O209" i="6" s="1"/>
  <c r="S209" i="6" s="1"/>
  <c r="F208" i="6"/>
  <c r="O208" i="6" s="1"/>
  <c r="S208" i="6" s="1"/>
  <c r="F207" i="6"/>
  <c r="O207" i="6" s="1"/>
  <c r="S207" i="6" s="1"/>
  <c r="F206" i="6"/>
  <c r="O206" i="6" s="1"/>
  <c r="S206" i="6" s="1"/>
  <c r="F205" i="6"/>
  <c r="O205" i="6" s="1"/>
  <c r="S205" i="6" s="1"/>
  <c r="F204" i="6"/>
  <c r="O204" i="6" s="1"/>
  <c r="S204" i="6" s="1"/>
  <c r="F203" i="6"/>
  <c r="O203" i="6" s="1"/>
  <c r="S203" i="6" s="1"/>
  <c r="F202" i="6"/>
  <c r="O202" i="6" s="1"/>
  <c r="S202" i="6" s="1"/>
  <c r="F201" i="6"/>
  <c r="O201" i="6" s="1"/>
  <c r="S201" i="6" s="1"/>
  <c r="F200" i="6"/>
  <c r="O200" i="6" s="1"/>
  <c r="S200" i="6" s="1"/>
  <c r="F199" i="6"/>
  <c r="O199" i="6" s="1"/>
  <c r="S199" i="6" s="1"/>
  <c r="F198" i="6"/>
  <c r="O198" i="6" s="1"/>
  <c r="S198" i="6" s="1"/>
  <c r="F197" i="6"/>
  <c r="O197" i="6" s="1"/>
  <c r="S197" i="6" s="1"/>
  <c r="F196" i="6"/>
  <c r="O196" i="6" s="1"/>
  <c r="S196" i="6" s="1"/>
  <c r="F195" i="6"/>
  <c r="O195" i="6" s="1"/>
  <c r="S195" i="6" s="1"/>
  <c r="F194" i="6"/>
  <c r="O194" i="6" s="1"/>
  <c r="S194" i="6" s="1"/>
  <c r="F193" i="6"/>
  <c r="O193" i="6" s="1"/>
  <c r="S193" i="6" s="1"/>
  <c r="F192" i="6"/>
  <c r="O192" i="6" s="1"/>
  <c r="S192" i="6" s="1"/>
  <c r="F191" i="6"/>
  <c r="O191" i="6" s="1"/>
  <c r="S191" i="6" s="1"/>
  <c r="F190" i="6"/>
  <c r="O190" i="6" s="1"/>
  <c r="S190" i="6" s="1"/>
  <c r="F189" i="6"/>
  <c r="O189" i="6" s="1"/>
  <c r="S189" i="6" s="1"/>
  <c r="F188" i="6"/>
  <c r="O188" i="6" s="1"/>
  <c r="S188" i="6" s="1"/>
  <c r="F187" i="6"/>
  <c r="O187" i="6" s="1"/>
  <c r="S187" i="6" s="1"/>
  <c r="F186" i="6"/>
  <c r="O186" i="6" s="1"/>
  <c r="S186" i="6" s="1"/>
  <c r="F185" i="6"/>
  <c r="O185" i="6" s="1"/>
  <c r="S185" i="6" s="1"/>
  <c r="F184" i="6"/>
  <c r="O184" i="6" s="1"/>
  <c r="S184" i="6" s="1"/>
  <c r="F183" i="6"/>
  <c r="O183" i="6" s="1"/>
  <c r="S183" i="6" s="1"/>
  <c r="F182" i="6"/>
  <c r="O182" i="6" s="1"/>
  <c r="S182" i="6" s="1"/>
  <c r="F181" i="6"/>
  <c r="O181" i="6" s="1"/>
  <c r="S181" i="6" s="1"/>
  <c r="F180" i="6"/>
  <c r="O180" i="6" s="1"/>
  <c r="S180" i="6" s="1"/>
  <c r="F179" i="6"/>
  <c r="O179" i="6" s="1"/>
  <c r="S179" i="6" s="1"/>
  <c r="F178" i="6"/>
  <c r="O178" i="6" s="1"/>
  <c r="S178" i="6" s="1"/>
  <c r="F177" i="6"/>
  <c r="O177" i="6" s="1"/>
  <c r="S177" i="6" s="1"/>
  <c r="F176" i="6"/>
  <c r="O176" i="6" s="1"/>
  <c r="S176" i="6" s="1"/>
  <c r="F175" i="6"/>
  <c r="O175" i="6" s="1"/>
  <c r="S175" i="6" s="1"/>
  <c r="F174" i="6"/>
  <c r="O174" i="6" s="1"/>
  <c r="S174" i="6" s="1"/>
  <c r="F173" i="6"/>
  <c r="O173" i="6" s="1"/>
  <c r="S173" i="6" s="1"/>
  <c r="F172" i="6"/>
  <c r="O172" i="6" s="1"/>
  <c r="S172" i="6" s="1"/>
  <c r="F171" i="6"/>
  <c r="O171" i="6" s="1"/>
  <c r="S171" i="6" s="1"/>
  <c r="F170" i="6"/>
  <c r="O170" i="6" s="1"/>
  <c r="S170" i="6" s="1"/>
  <c r="F169" i="6"/>
  <c r="O169" i="6" s="1"/>
  <c r="S169" i="6" s="1"/>
  <c r="F168" i="6"/>
  <c r="O168" i="6" s="1"/>
  <c r="S168" i="6" s="1"/>
  <c r="F167" i="6"/>
  <c r="O167" i="6" s="1"/>
  <c r="S167" i="6" s="1"/>
  <c r="F166" i="6"/>
  <c r="O166" i="6" s="1"/>
  <c r="S166" i="6" s="1"/>
  <c r="F165" i="6"/>
  <c r="O165" i="6" s="1"/>
  <c r="S165" i="6" s="1"/>
  <c r="F164" i="6"/>
  <c r="O164" i="6" s="1"/>
  <c r="S164" i="6" s="1"/>
  <c r="F163" i="6"/>
  <c r="O163" i="6" s="1"/>
  <c r="S163" i="6" s="1"/>
  <c r="F162" i="6"/>
  <c r="O162" i="6" s="1"/>
  <c r="S162" i="6" s="1"/>
  <c r="F161" i="6"/>
  <c r="O161" i="6" s="1"/>
  <c r="S161" i="6" s="1"/>
  <c r="F160" i="6"/>
  <c r="O160" i="6" s="1"/>
  <c r="S160" i="6" s="1"/>
  <c r="F159" i="6"/>
  <c r="O159" i="6" s="1"/>
  <c r="S159" i="6" s="1"/>
  <c r="F158" i="6"/>
  <c r="O158" i="6" s="1"/>
  <c r="S158" i="6" s="1"/>
  <c r="F157" i="6"/>
  <c r="O157" i="6" s="1"/>
  <c r="S157" i="6" s="1"/>
  <c r="F156" i="6"/>
  <c r="O156" i="6" s="1"/>
  <c r="S156" i="6" s="1"/>
  <c r="F155" i="6"/>
  <c r="O155" i="6" s="1"/>
  <c r="S155" i="6" s="1"/>
  <c r="F154" i="6"/>
  <c r="O154" i="6" s="1"/>
  <c r="S154" i="6" s="1"/>
  <c r="F153" i="6"/>
  <c r="O153" i="6" s="1"/>
  <c r="S153" i="6" s="1"/>
  <c r="F152" i="6"/>
  <c r="O152" i="6" s="1"/>
  <c r="S152" i="6" s="1"/>
  <c r="F151" i="6"/>
  <c r="O151" i="6" s="1"/>
  <c r="S151" i="6" s="1"/>
  <c r="F150" i="6"/>
  <c r="O150" i="6" s="1"/>
  <c r="S150" i="6" s="1"/>
  <c r="F149" i="6"/>
  <c r="O149" i="6" s="1"/>
  <c r="S149" i="6" s="1"/>
  <c r="F148" i="6"/>
  <c r="O148" i="6" s="1"/>
  <c r="S148" i="6" s="1"/>
  <c r="F147" i="6"/>
  <c r="O147" i="6" s="1"/>
  <c r="S147" i="6" s="1"/>
  <c r="F146" i="6"/>
  <c r="O146" i="6" s="1"/>
  <c r="S146" i="6" s="1"/>
  <c r="F145" i="6"/>
  <c r="O145" i="6" s="1"/>
  <c r="S145" i="6" s="1"/>
  <c r="F144" i="6"/>
  <c r="O144" i="6" s="1"/>
  <c r="S144" i="6" s="1"/>
  <c r="F143" i="6"/>
  <c r="O143" i="6" s="1"/>
  <c r="S143" i="6" s="1"/>
  <c r="F142" i="6"/>
  <c r="O142" i="6" s="1"/>
  <c r="S142" i="6" s="1"/>
  <c r="F141" i="6"/>
  <c r="O141" i="6" s="1"/>
  <c r="S141" i="6" s="1"/>
  <c r="F140" i="6"/>
  <c r="O140" i="6" s="1"/>
  <c r="S140" i="6" s="1"/>
  <c r="F139" i="6"/>
  <c r="O139" i="6" s="1"/>
  <c r="S139" i="6" s="1"/>
  <c r="F138" i="6"/>
  <c r="O138" i="6" s="1"/>
  <c r="S138" i="6" s="1"/>
  <c r="F137" i="6"/>
  <c r="O137" i="6" s="1"/>
  <c r="S137" i="6" s="1"/>
  <c r="F136" i="6"/>
  <c r="O136" i="6" s="1"/>
  <c r="S136" i="6" s="1"/>
  <c r="F135" i="6"/>
  <c r="O135" i="6" s="1"/>
  <c r="S135" i="6" s="1"/>
  <c r="F134" i="6"/>
  <c r="O134" i="6" s="1"/>
  <c r="S134" i="6" s="1"/>
  <c r="F133" i="6"/>
  <c r="O133" i="6" s="1"/>
  <c r="S133" i="6" s="1"/>
  <c r="F132" i="6"/>
  <c r="O132" i="6" s="1"/>
  <c r="S132" i="6" s="1"/>
  <c r="F131" i="6"/>
  <c r="O131" i="6" s="1"/>
  <c r="S131" i="6" s="1"/>
  <c r="F130" i="6"/>
  <c r="O130" i="6" s="1"/>
  <c r="S130" i="6" s="1"/>
  <c r="F129" i="6"/>
  <c r="O129" i="6" s="1"/>
  <c r="S129" i="6" s="1"/>
  <c r="F128" i="6"/>
  <c r="O128" i="6" s="1"/>
  <c r="S128" i="6" s="1"/>
  <c r="F127" i="6"/>
  <c r="O127" i="6" s="1"/>
  <c r="S127" i="6" s="1"/>
  <c r="F126" i="6"/>
  <c r="O126" i="6" s="1"/>
  <c r="S126" i="6" s="1"/>
  <c r="F125" i="6"/>
  <c r="O125" i="6" s="1"/>
  <c r="S125" i="6" s="1"/>
  <c r="F124" i="6"/>
  <c r="O124" i="6" s="1"/>
  <c r="S124" i="6" s="1"/>
  <c r="F123" i="6"/>
  <c r="O123" i="6" s="1"/>
  <c r="S123" i="6" s="1"/>
  <c r="F122" i="6"/>
  <c r="O122" i="6" s="1"/>
  <c r="S122" i="6" s="1"/>
  <c r="F121" i="6"/>
  <c r="O121" i="6" s="1"/>
  <c r="S121" i="6" s="1"/>
  <c r="F119" i="6"/>
  <c r="O119" i="6" s="1"/>
  <c r="S119" i="6" s="1"/>
  <c r="F117" i="6"/>
  <c r="O117" i="6" s="1"/>
  <c r="S117" i="6" s="1"/>
  <c r="F115" i="6"/>
  <c r="O115" i="6" s="1"/>
  <c r="S115" i="6" s="1"/>
  <c r="F113" i="6"/>
  <c r="O113" i="6" s="1"/>
  <c r="S113" i="6" s="1"/>
  <c r="F111" i="6"/>
  <c r="O111" i="6" s="1"/>
  <c r="S111" i="6" s="1"/>
  <c r="F109" i="6"/>
  <c r="O109" i="6" s="1"/>
  <c r="S109" i="6" s="1"/>
  <c r="F107" i="6"/>
  <c r="O107" i="6" s="1"/>
  <c r="S107" i="6" s="1"/>
  <c r="F105" i="6"/>
  <c r="O105" i="6" s="1"/>
  <c r="S105" i="6" s="1"/>
  <c r="F103" i="6"/>
  <c r="O103" i="6" s="1"/>
  <c r="S103" i="6" s="1"/>
  <c r="F101" i="6"/>
  <c r="O101" i="6" s="1"/>
  <c r="S101" i="6" s="1"/>
  <c r="F99" i="6"/>
  <c r="O99" i="6" s="1"/>
  <c r="S99" i="6" s="1"/>
  <c r="F94" i="6"/>
  <c r="O94" i="6" s="1"/>
  <c r="S94" i="6" s="1"/>
  <c r="F93" i="6"/>
  <c r="O93" i="6" s="1"/>
  <c r="S93" i="6" s="1"/>
  <c r="F92" i="6"/>
  <c r="O92" i="6" s="1"/>
  <c r="S92" i="6" s="1"/>
  <c r="F91" i="6"/>
  <c r="O91" i="6" s="1"/>
  <c r="S91" i="6" s="1"/>
  <c r="F89" i="6"/>
  <c r="O89" i="6" s="1"/>
  <c r="S89" i="6" s="1"/>
  <c r="F87" i="6"/>
  <c r="O87" i="6" s="1"/>
  <c r="S87" i="6" s="1"/>
  <c r="F85" i="6"/>
  <c r="O85" i="6" s="1"/>
  <c r="S85" i="6" s="1"/>
  <c r="F83" i="6"/>
  <c r="O83" i="6" s="1"/>
  <c r="S83" i="6" s="1"/>
  <c r="F81" i="6"/>
  <c r="O81" i="6" s="1"/>
  <c r="S81" i="6" s="1"/>
  <c r="F79" i="6"/>
  <c r="O79" i="6" s="1"/>
  <c r="S79" i="6" s="1"/>
  <c r="F77" i="6"/>
  <c r="O77" i="6" s="1"/>
  <c r="S77" i="6" s="1"/>
  <c r="F75" i="6"/>
  <c r="O75" i="6" s="1"/>
  <c r="S75" i="6" s="1"/>
  <c r="F70" i="6"/>
  <c r="O70" i="6" s="1"/>
  <c r="S70" i="6" s="1"/>
  <c r="F69" i="6"/>
  <c r="O69" i="6" s="1"/>
  <c r="S69" i="6" s="1"/>
  <c r="F67" i="6"/>
  <c r="O67" i="6" s="1"/>
  <c r="S67" i="6" s="1"/>
  <c r="F64" i="6"/>
  <c r="O64" i="6" s="1"/>
  <c r="S64" i="6" s="1"/>
  <c r="F62" i="6"/>
  <c r="O62" i="6" s="1"/>
  <c r="S62" i="6" s="1"/>
  <c r="F60" i="6"/>
  <c r="O60" i="6" s="1"/>
  <c r="S60" i="6" s="1"/>
  <c r="F58" i="6"/>
  <c r="O58" i="6" s="1"/>
  <c r="S58" i="6" s="1"/>
  <c r="F56" i="6"/>
  <c r="O56" i="6" s="1"/>
  <c r="S56" i="6" s="1"/>
  <c r="F54" i="6"/>
  <c r="O54" i="6" s="1"/>
  <c r="S54" i="6" s="1"/>
  <c r="F52" i="6"/>
  <c r="O52" i="6" s="1"/>
  <c r="S52" i="6" s="1"/>
  <c r="F50" i="6"/>
  <c r="O50" i="6" s="1"/>
  <c r="S50" i="6" s="1"/>
  <c r="F48" i="6"/>
  <c r="O48" i="6" s="1"/>
  <c r="S48" i="6" s="1"/>
  <c r="F43" i="6"/>
  <c r="O43" i="6" s="1"/>
  <c r="S43" i="6" s="1"/>
  <c r="F41" i="6"/>
  <c r="O41" i="6" s="1"/>
  <c r="S41" i="6" s="1"/>
  <c r="F39" i="6"/>
  <c r="O39" i="6" s="1"/>
  <c r="S39" i="6" s="1"/>
  <c r="F37" i="6"/>
  <c r="O37" i="6" s="1"/>
  <c r="S37" i="6" s="1"/>
  <c r="F35" i="6"/>
  <c r="O35" i="6" s="1"/>
  <c r="S35" i="6" s="1"/>
  <c r="F33" i="6"/>
  <c r="O33" i="6" s="1"/>
  <c r="S33" i="6" s="1"/>
  <c r="F31" i="6"/>
  <c r="O31" i="6" s="1"/>
  <c r="S31" i="6" s="1"/>
  <c r="F29" i="6"/>
  <c r="O29" i="6" s="1"/>
  <c r="S29" i="6" s="1"/>
  <c r="F27" i="6"/>
  <c r="O27" i="6" s="1"/>
  <c r="S27" i="6" s="1"/>
  <c r="F25" i="6"/>
  <c r="O25" i="6" s="1"/>
  <c r="S25" i="6" s="1"/>
  <c r="F23" i="6"/>
  <c r="O23" i="6" s="1"/>
  <c r="S23" i="6" s="1"/>
  <c r="F21" i="6"/>
  <c r="O21" i="6" s="1"/>
  <c r="S21" i="6" s="1"/>
  <c r="F19" i="6"/>
  <c r="O19" i="6" s="1"/>
  <c r="S19" i="6" s="1"/>
  <c r="F16" i="6"/>
  <c r="O16" i="6" s="1"/>
  <c r="S16" i="6" s="1"/>
  <c r="F14" i="6"/>
  <c r="O14" i="6" s="1"/>
  <c r="S14" i="6" s="1"/>
  <c r="F12" i="6"/>
  <c r="O12" i="6" s="1"/>
  <c r="S12" i="6" s="1"/>
  <c r="F10" i="6"/>
  <c r="O10" i="6" s="1"/>
  <c r="S10" i="6" s="1"/>
  <c r="F8" i="6"/>
  <c r="O8" i="6" s="1"/>
  <c r="S8" i="6" s="1"/>
  <c r="F6" i="6"/>
  <c r="O6" i="6" s="1"/>
  <c r="S6" i="6" s="1"/>
  <c r="F4" i="6"/>
  <c r="O4" i="6" s="1"/>
  <c r="S4" i="6" s="1"/>
  <c r="F120" i="6"/>
  <c r="O120" i="6" s="1"/>
  <c r="S120" i="6" s="1"/>
  <c r="F118" i="6"/>
  <c r="O118" i="6" s="1"/>
  <c r="S118" i="6" s="1"/>
  <c r="F116" i="6"/>
  <c r="O116" i="6" s="1"/>
  <c r="S116" i="6" s="1"/>
  <c r="F114" i="6"/>
  <c r="O114" i="6" s="1"/>
  <c r="S114" i="6" s="1"/>
  <c r="F112" i="6"/>
  <c r="O112" i="6" s="1"/>
  <c r="S112" i="6" s="1"/>
  <c r="F110" i="6"/>
  <c r="O110" i="6" s="1"/>
  <c r="S110" i="6" s="1"/>
  <c r="F108" i="6"/>
  <c r="O108" i="6" s="1"/>
  <c r="S108" i="6" s="1"/>
  <c r="F106" i="6"/>
  <c r="O106" i="6" s="1"/>
  <c r="S106" i="6" s="1"/>
  <c r="F104" i="6"/>
  <c r="O104" i="6" s="1"/>
  <c r="S104" i="6" s="1"/>
  <c r="F102" i="6"/>
  <c r="O102" i="6" s="1"/>
  <c r="S102" i="6" s="1"/>
  <c r="F100" i="6"/>
  <c r="O100" i="6" s="1"/>
  <c r="S100" i="6" s="1"/>
  <c r="F98" i="6"/>
  <c r="O98" i="6" s="1"/>
  <c r="S98" i="6" s="1"/>
  <c r="F97" i="6"/>
  <c r="O97" i="6" s="1"/>
  <c r="S97" i="6" s="1"/>
  <c r="F96" i="6"/>
  <c r="O96" i="6" s="1"/>
  <c r="S96" i="6" s="1"/>
  <c r="F95" i="6"/>
  <c r="O95" i="6" s="1"/>
  <c r="S95" i="6" s="1"/>
  <c r="F90" i="6"/>
  <c r="O90" i="6" s="1"/>
  <c r="S90" i="6" s="1"/>
  <c r="F88" i="6"/>
  <c r="O88" i="6" s="1"/>
  <c r="S88" i="6" s="1"/>
  <c r="F86" i="6"/>
  <c r="O86" i="6" s="1"/>
  <c r="S86" i="6" s="1"/>
  <c r="F84" i="6"/>
  <c r="O84" i="6" s="1"/>
  <c r="S84" i="6" s="1"/>
  <c r="F82" i="6"/>
  <c r="O82" i="6" s="1"/>
  <c r="S82" i="6" s="1"/>
  <c r="F80" i="6"/>
  <c r="O80" i="6" s="1"/>
  <c r="S80" i="6" s="1"/>
  <c r="F78" i="6"/>
  <c r="O78" i="6" s="1"/>
  <c r="S78" i="6" s="1"/>
  <c r="F76" i="6"/>
  <c r="O76" i="6" s="1"/>
  <c r="S76" i="6" s="1"/>
  <c r="F74" i="6"/>
  <c r="O74" i="6" s="1"/>
  <c r="S74" i="6" s="1"/>
  <c r="F73" i="6"/>
  <c r="O73" i="6" s="1"/>
  <c r="S73" i="6" s="1"/>
  <c r="F72" i="6"/>
  <c r="O72" i="6" s="1"/>
  <c r="S72" i="6" s="1"/>
  <c r="F71" i="6"/>
  <c r="O71" i="6" s="1"/>
  <c r="S71" i="6" s="1"/>
  <c r="F68" i="6"/>
  <c r="O68" i="6" s="1"/>
  <c r="S68" i="6" s="1"/>
  <c r="F66" i="6"/>
  <c r="O66" i="6" s="1"/>
  <c r="S66" i="6" s="1"/>
  <c r="F65" i="6"/>
  <c r="O65" i="6" s="1"/>
  <c r="S65" i="6" s="1"/>
  <c r="F63" i="6"/>
  <c r="O63" i="6" s="1"/>
  <c r="S63" i="6" s="1"/>
  <c r="F61" i="6"/>
  <c r="O61" i="6" s="1"/>
  <c r="S61" i="6" s="1"/>
  <c r="F59" i="6"/>
  <c r="O59" i="6" s="1"/>
  <c r="S59" i="6" s="1"/>
  <c r="F57" i="6"/>
  <c r="O57" i="6" s="1"/>
  <c r="S57" i="6" s="1"/>
  <c r="F55" i="6"/>
  <c r="O55" i="6" s="1"/>
  <c r="S55" i="6" s="1"/>
  <c r="F53" i="6"/>
  <c r="O53" i="6" s="1"/>
  <c r="S53" i="6" s="1"/>
  <c r="F51" i="6"/>
  <c r="O51" i="6" s="1"/>
  <c r="S51" i="6" s="1"/>
  <c r="F49" i="6"/>
  <c r="O49" i="6" s="1"/>
  <c r="S49" i="6" s="1"/>
  <c r="F47" i="6"/>
  <c r="O47" i="6" s="1"/>
  <c r="S47" i="6" s="1"/>
  <c r="F46" i="6"/>
  <c r="O46" i="6" s="1"/>
  <c r="S46" i="6" s="1"/>
  <c r="F45" i="6"/>
  <c r="O45" i="6" s="1"/>
  <c r="S45" i="6" s="1"/>
  <c r="F44" i="6"/>
  <c r="O44" i="6" s="1"/>
  <c r="S44" i="6" s="1"/>
  <c r="F42" i="6"/>
  <c r="O42" i="6" s="1"/>
  <c r="S42" i="6" s="1"/>
  <c r="F40" i="6"/>
  <c r="O40" i="6" s="1"/>
  <c r="S40" i="6" s="1"/>
  <c r="F38" i="6"/>
  <c r="O38" i="6" s="1"/>
  <c r="S38" i="6" s="1"/>
  <c r="F36" i="6"/>
  <c r="O36" i="6" s="1"/>
  <c r="S36" i="6" s="1"/>
  <c r="F34" i="6"/>
  <c r="O34" i="6" s="1"/>
  <c r="S34" i="6" s="1"/>
  <c r="F32" i="6"/>
  <c r="O32" i="6" s="1"/>
  <c r="S32" i="6" s="1"/>
  <c r="F30" i="6"/>
  <c r="O30" i="6" s="1"/>
  <c r="S30" i="6" s="1"/>
  <c r="F28" i="6"/>
  <c r="O28" i="6" s="1"/>
  <c r="S28" i="6" s="1"/>
  <c r="F26" i="6"/>
  <c r="O26" i="6" s="1"/>
  <c r="S26" i="6" s="1"/>
  <c r="F24" i="6"/>
  <c r="O24" i="6" s="1"/>
  <c r="S24" i="6" s="1"/>
  <c r="F22" i="6"/>
  <c r="O22" i="6" s="1"/>
  <c r="S22" i="6" s="1"/>
  <c r="F20" i="6"/>
  <c r="O20" i="6" s="1"/>
  <c r="S20" i="6" s="1"/>
  <c r="F18" i="6"/>
  <c r="O18" i="6" s="1"/>
  <c r="S18" i="6" s="1"/>
  <c r="F17" i="6"/>
  <c r="O17" i="6" s="1"/>
  <c r="S17" i="6" s="1"/>
  <c r="F15" i="6"/>
  <c r="O15" i="6" s="1"/>
  <c r="S15" i="6" s="1"/>
  <c r="F13" i="6"/>
  <c r="O13" i="6" s="1"/>
  <c r="S13" i="6" s="1"/>
  <c r="F11" i="6"/>
  <c r="O11" i="6" s="1"/>
  <c r="S11" i="6" s="1"/>
  <c r="F9" i="6"/>
  <c r="O9" i="6" s="1"/>
  <c r="S9" i="6" s="1"/>
  <c r="F7" i="6"/>
  <c r="O7" i="6" s="1"/>
  <c r="S7" i="6" s="1"/>
  <c r="F5" i="6"/>
  <c r="O5" i="6" s="1"/>
  <c r="S5" i="6" s="1"/>
  <c r="F3" i="6"/>
  <c r="O3" i="6" s="1"/>
  <c r="S3" i="6" s="1"/>
  <c r="F231" i="6"/>
  <c r="O231" i="6" s="1"/>
  <c r="S231" i="6" s="1"/>
  <c r="H304" i="6"/>
  <c r="Q2" i="6"/>
  <c r="F304" i="6" l="1"/>
  <c r="O2" i="6"/>
  <c r="S2" i="6" s="1"/>
</calcChain>
</file>

<file path=xl/sharedStrings.xml><?xml version="1.0" encoding="utf-8"?>
<sst xmlns="http://purl.oclc.org/ooxml/spreadsheetml/main" count="253" uniqueCount="125">
  <si>
    <t>date</t>
  </si>
  <si>
    <t>0_0</t>
  </si>
  <si>
    <t>1_4</t>
  </si>
  <si>
    <t>5_12</t>
  </si>
  <si>
    <t>13_17</t>
  </si>
  <si>
    <t>18_49</t>
  </si>
  <si>
    <t>50_64</t>
  </si>
  <si>
    <t>65_99</t>
  </si>
  <si>
    <t>double</t>
  </si>
  <si>
    <t>original</t>
  </si>
  <si>
    <t>https://www.mass.gov/info-details/immunizations-for-respiratory-diseases</t>
  </si>
  <si>
    <t xml:space="preserve">Mass DPH dashboard </t>
  </si>
  <si>
    <t>2025-2026 vaccination rates per age group</t>
  </si>
  <si>
    <t>Accessed 2026 09 10</t>
  </si>
  <si>
    <t>0_4</t>
  </si>
  <si>
    <t>5_19</t>
  </si>
  <si>
    <t>20_34</t>
  </si>
  <si>
    <t>35_49</t>
  </si>
  <si>
    <t>80+</t>
  </si>
  <si>
    <t>Age Group</t>
  </si>
  <si>
    <t>Vax rate</t>
  </si>
  <si>
    <t>65_79</t>
  </si>
  <si>
    <t>Target age groups</t>
  </si>
  <si>
    <t>From tab source</t>
  </si>
  <si>
    <t>Population</t>
  </si>
  <si>
    <t>NAME</t>
  </si>
  <si>
    <t>population</t>
  </si>
  <si>
    <t>age_lb</t>
  </si>
  <si>
    <t>age_ub</t>
  </si>
  <si>
    <t>age_group</t>
  </si>
  <si>
    <t>Massachusetts</t>
  </si>
  <si>
    <t>1_1</t>
  </si>
  <si>
    <t>2_2</t>
  </si>
  <si>
    <t>3_3</t>
  </si>
  <si>
    <t>4_4</t>
  </si>
  <si>
    <t>5_5</t>
  </si>
  <si>
    <t>6_6</t>
  </si>
  <si>
    <t>7_7</t>
  </si>
  <si>
    <t>8_8</t>
  </si>
  <si>
    <t>9_9</t>
  </si>
  <si>
    <t>10_10</t>
  </si>
  <si>
    <t>11_11</t>
  </si>
  <si>
    <t>12_12</t>
  </si>
  <si>
    <t>13_13</t>
  </si>
  <si>
    <t>14_14</t>
  </si>
  <si>
    <t>15_15</t>
  </si>
  <si>
    <t>16_16</t>
  </si>
  <si>
    <t>17_17</t>
  </si>
  <si>
    <t>18_18</t>
  </si>
  <si>
    <t>19_19</t>
  </si>
  <si>
    <t>20_20</t>
  </si>
  <si>
    <t>21_21</t>
  </si>
  <si>
    <t>22_22</t>
  </si>
  <si>
    <t>23_23</t>
  </si>
  <si>
    <t>24_24</t>
  </si>
  <si>
    <t>25_25</t>
  </si>
  <si>
    <t>26_26</t>
  </si>
  <si>
    <t>27_27</t>
  </si>
  <si>
    <t>28_28</t>
  </si>
  <si>
    <t>29_29</t>
  </si>
  <si>
    <t>30_30</t>
  </si>
  <si>
    <t>31_31</t>
  </si>
  <si>
    <t>32_32</t>
  </si>
  <si>
    <t>33_33</t>
  </si>
  <si>
    <t>34_34</t>
  </si>
  <si>
    <t>35_35</t>
  </si>
  <si>
    <t>36_36</t>
  </si>
  <si>
    <t>37_37</t>
  </si>
  <si>
    <t>38_38</t>
  </si>
  <si>
    <t>39_39</t>
  </si>
  <si>
    <t>40_40</t>
  </si>
  <si>
    <t>41_41</t>
  </si>
  <si>
    <t>42_42</t>
  </si>
  <si>
    <t>43_43</t>
  </si>
  <si>
    <t>44_44</t>
  </si>
  <si>
    <t>45_45</t>
  </si>
  <si>
    <t>46_46</t>
  </si>
  <si>
    <t>47_47</t>
  </si>
  <si>
    <t>48_48</t>
  </si>
  <si>
    <t>49_49</t>
  </si>
  <si>
    <t>50_50</t>
  </si>
  <si>
    <t>51_51</t>
  </si>
  <si>
    <t>52_52</t>
  </si>
  <si>
    <t>53_53</t>
  </si>
  <si>
    <t>54_54</t>
  </si>
  <si>
    <t>55_55</t>
  </si>
  <si>
    <t>56_56</t>
  </si>
  <si>
    <t>57_57</t>
  </si>
  <si>
    <t>58_58</t>
  </si>
  <si>
    <t>59_59</t>
  </si>
  <si>
    <t>60_60</t>
  </si>
  <si>
    <t>61_61</t>
  </si>
  <si>
    <t>62_62</t>
  </si>
  <si>
    <t>63_63</t>
  </si>
  <si>
    <t>64_64</t>
  </si>
  <si>
    <t>65_65</t>
  </si>
  <si>
    <t>66_66</t>
  </si>
  <si>
    <t>67_67</t>
  </si>
  <si>
    <t>68_68</t>
  </si>
  <si>
    <t>69_69</t>
  </si>
  <si>
    <t>70_70</t>
  </si>
  <si>
    <t>71_71</t>
  </si>
  <si>
    <t>72_72</t>
  </si>
  <si>
    <t>73_73</t>
  </si>
  <si>
    <t>74_74</t>
  </si>
  <si>
    <t>75_75</t>
  </si>
  <si>
    <t>76_76</t>
  </si>
  <si>
    <t>77_77</t>
  </si>
  <si>
    <t>78_78</t>
  </si>
  <si>
    <t>79_79</t>
  </si>
  <si>
    <t>80_80</t>
  </si>
  <si>
    <t>81_81</t>
  </si>
  <si>
    <t>82_82</t>
  </si>
  <si>
    <t>83_83</t>
  </si>
  <si>
    <t>84_84</t>
  </si>
  <si>
    <t>85_85</t>
  </si>
  <si>
    <t>86_86</t>
  </si>
  <si>
    <t>87_87</t>
  </si>
  <si>
    <t>88_88</t>
  </si>
  <si>
    <t>89_89</t>
  </si>
  <si>
    <t>18_19</t>
  </si>
  <si>
    <t>Total</t>
  </si>
  <si>
    <t>Total from Scenario Modeling Hub</t>
  </si>
  <si>
    <t>Fixing ratio</t>
  </si>
  <si>
    <t>Ratio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</si>
</sst>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000"/>
    <numFmt numFmtId="171" formatCode="_(* #,##0.00000000_);_(* \(#,##0.00000000\);_(* &quot;-&quot;??_);_(@_)"/>
  </numFmts>
  <fonts count="20" x14ac:knownFonts="1">
    <font>
      <sz val="12"/>
      <color theme="1"/>
      <name val="Aptos Narrow"/>
      <family val="2"/>
      <scheme val="minor"/>
    </font>
    <font>
      <sz val="12"/>
      <color indexed="8"/>
      <name val="Aptos Narrow"/>
      <family val="2"/>
    </font>
    <font>
      <b/>
      <sz val="15"/>
      <color indexed="56"/>
      <name val="Aptos Narrow"/>
      <family val="2"/>
    </font>
    <font>
      <b/>
      <sz val="13"/>
      <color indexed="56"/>
      <name val="Aptos Narrow"/>
      <family val="2"/>
    </font>
    <font>
      <b/>
      <sz val="11"/>
      <color indexed="56"/>
      <name val="Aptos Narrow"/>
      <family val="2"/>
    </font>
    <font>
      <sz val="12"/>
      <color indexed="52"/>
      <name val="Aptos Narrow"/>
      <family val="2"/>
    </font>
    <font>
      <sz val="18"/>
      <color indexed="56"/>
      <name val="Aptos Display"/>
      <family val="2"/>
      <charset val="1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9C0006"/>
      <name val="Aptos Narrow"/>
      <family val="2"/>
      <scheme val="minor"/>
    </font>
    <font>
      <b/>
      <sz val="12"/>
      <color indexed="5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sz val="12"/>
      <color rgb="FF006100"/>
      <name val="Aptos Narrow"/>
      <family val="2"/>
      <scheme val="minor"/>
    </font>
    <font>
      <b/>
      <sz val="11"/>
      <color indexed="56"/>
      <name val="Aptos Narrow"/>
      <family val="2"/>
      <scheme val="minor"/>
    </font>
    <font>
      <sz val="12"/>
      <color rgb="FF3F3F76"/>
      <name val="Aptos Narrow"/>
      <family val="2"/>
      <scheme val="minor"/>
    </font>
    <font>
      <sz val="12"/>
      <color rgb="FF9C5700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48"/>
      </patternFill>
    </fill>
    <fill>
      <patternFill patternType="solid">
        <fgColor indexed="25"/>
      </patternFill>
    </fill>
    <fill>
      <patternFill patternType="solid">
        <fgColor indexed="11"/>
      </patternFill>
    </fill>
    <fill>
      <patternFill patternType="solid">
        <fgColor indexed="21"/>
      </patternFill>
    </fill>
    <fill>
      <patternFill patternType="solid">
        <fgColor indexed="53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start/>
      <end/>
      <top/>
      <bottom/>
      <diagonal/>
    </border>
    <border>
      <start/>
      <end/>
      <top/>
      <bottom style="thick">
        <color indexed="21"/>
      </bottom>
      <diagonal/>
    </border>
    <border>
      <start/>
      <end/>
      <top/>
      <bottom style="thick">
        <color indexed="49"/>
      </bottom>
      <diagonal/>
    </border>
    <border>
      <start/>
      <end/>
      <top/>
      <bottom style="double">
        <color indexed="52"/>
      </bottom>
      <diagonal/>
    </border>
    <border>
      <start/>
      <end/>
      <top style="thin">
        <color indexed="21"/>
      </top>
      <bottom style="double">
        <color indexed="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</borders>
  <cellStyleXfs count="44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3" borderId="0" applyNumberFormat="0" applyBorder="0" applyAlignment="0" applyProtection="0"/>
    <xf numFmtId="0" fontId="7" fillId="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7" borderId="0" applyNumberFormat="0" applyBorder="0" applyAlignment="0" applyProtection="0"/>
    <xf numFmtId="0" fontId="8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7" borderId="0" applyNumberFormat="0" applyBorder="0" applyAlignment="0" applyProtection="0"/>
    <xf numFmtId="0" fontId="9" fillId="5" borderId="0" applyNumberFormat="0" applyBorder="0" applyAlignment="0" applyProtection="0"/>
    <xf numFmtId="0" fontId="10" fillId="3" borderId="5" applyNumberFormat="0" applyAlignment="0" applyProtection="0"/>
    <xf numFmtId="0" fontId="11" fillId="22" borderId="6" applyNumberFormat="0" applyAlignment="0" applyProtection="0"/>
    <xf numFmtId="43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14" fillId="0" borderId="7" applyNumberFormat="0" applyFill="0" applyAlignment="0" applyProtection="0"/>
    <xf numFmtId="0" fontId="4" fillId="0" borderId="0" applyNumberFormat="0" applyFill="0" applyBorder="0" applyAlignment="0" applyProtection="0"/>
    <xf numFmtId="0" fontId="15" fillId="3" borderId="5" applyNumberFormat="0" applyAlignment="0" applyProtection="0"/>
    <xf numFmtId="0" fontId="5" fillId="0" borderId="3" applyNumberFormat="0" applyFill="0" applyAlignment="0" applyProtection="0"/>
    <xf numFmtId="0" fontId="16" fillId="23" borderId="0" applyNumberFormat="0" applyBorder="0" applyAlignment="0" applyProtection="0"/>
    <xf numFmtId="0" fontId="1" fillId="24" borderId="8" applyNumberFormat="0" applyFont="0" applyAlignment="0" applyProtection="0"/>
    <xf numFmtId="0" fontId="17" fillId="3" borderId="9" applyNumberFormat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10" fontId="0" fillId="0" borderId="0" xfId="0" applyNumberFormat="1"/>
    <xf numFmtId="43" fontId="0" fillId="0" borderId="0" xfId="28" applyFont="1"/>
    <xf numFmtId="164" fontId="0" fillId="0" borderId="0" xfId="28" applyNumberFormat="1" applyFont="1"/>
    <xf numFmtId="10" fontId="0" fillId="0" borderId="0" xfId="40" applyNumberFormat="1" applyFont="1"/>
    <xf numFmtId="165" fontId="0" fillId="0" borderId="0" xfId="0" applyNumberFormat="1"/>
    <xf numFmtId="171" fontId="0" fillId="0" borderId="0" xfId="0" applyNumberFormat="1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styles" Target="styles.xml"/><Relationship Id="rId3" Type="http://purl.oclc.org/ooxml/officeDocument/relationships/worksheet" Target="worksheets/sheet3.xml"/><Relationship Id="rId7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5" Type="http://purl.oclc.org/ooxml/officeDocument/relationships/worksheet" Target="worksheets/sheet5.xml"/><Relationship Id="rId10" Type="http://purl.oclc.org/ooxml/officeDocument/relationships/calcChain" Target="calcChain.xml"/><Relationship Id="rId4" Type="http://purl.oclc.org/ooxml/officeDocument/relationships/worksheet" Target="worksheets/sheet4.xml"/><Relationship Id="rId9" Type="http://purl.oclc.org/ooxml/officeDocument/relationships/sharedStrings" Target="sharedStrings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5964432284541723"/>
          <c:y val="1.542416452442159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7879616963064295E-2"/>
          <c:y val="0.10282776349614396"/>
          <c:w val="0.9630642954856361"/>
          <c:h val="0.76863753213367614"/>
        </c:manualLayout>
      </c:layout>
      <c:lineChart>
        <c:grouping val="standard"/>
        <c:varyColors val="0"/>
        <c:ser>
          <c:idx val="0"/>
          <c:order val="0"/>
          <c:tx>
            <c:strRef>
              <c:f>faster_comparison!$B$1</c:f>
              <c:strCache>
                <c:ptCount val="1"/>
                <c:pt idx="0">
                  <c:v>double</c:v>
                </c:pt>
              </c:strCache>
            </c:strRef>
          </c:tx>
          <c:spPr>
            <a:ln w="25400">
              <a:solidFill>
                <a:srgbClr val="008080"/>
              </a:solidFill>
              <a:prstDash val="solid"/>
            </a:ln>
          </c:spPr>
          <c:marker>
            <c:symbol val="none"/>
          </c:marker>
          <c:cat>
            <c:numRef>
              <c:f>faster_comparison!$A$2:$A$302</c:f>
              <c:numCache>
                <c:formatCode>m/d/yy</c:formatCode>
                <c:ptCount val="301"/>
                <c:pt idx="0">
                  <c:v>45885</c:v>
                </c:pt>
                <c:pt idx="1">
                  <c:v>45886</c:v>
                </c:pt>
                <c:pt idx="2">
                  <c:v>45887</c:v>
                </c:pt>
                <c:pt idx="3">
                  <c:v>45888</c:v>
                </c:pt>
                <c:pt idx="4">
                  <c:v>45889</c:v>
                </c:pt>
                <c:pt idx="5">
                  <c:v>45890</c:v>
                </c:pt>
                <c:pt idx="6">
                  <c:v>45891</c:v>
                </c:pt>
                <c:pt idx="7">
                  <c:v>45892</c:v>
                </c:pt>
                <c:pt idx="8">
                  <c:v>45893</c:v>
                </c:pt>
                <c:pt idx="9">
                  <c:v>45894</c:v>
                </c:pt>
                <c:pt idx="10">
                  <c:v>45895</c:v>
                </c:pt>
                <c:pt idx="11">
                  <c:v>45896</c:v>
                </c:pt>
                <c:pt idx="12">
                  <c:v>45897</c:v>
                </c:pt>
                <c:pt idx="13">
                  <c:v>45898</c:v>
                </c:pt>
                <c:pt idx="14">
                  <c:v>45899</c:v>
                </c:pt>
                <c:pt idx="15">
                  <c:v>45900</c:v>
                </c:pt>
                <c:pt idx="16">
                  <c:v>45901</c:v>
                </c:pt>
                <c:pt idx="17">
                  <c:v>45902</c:v>
                </c:pt>
                <c:pt idx="18">
                  <c:v>45903</c:v>
                </c:pt>
                <c:pt idx="19">
                  <c:v>45904</c:v>
                </c:pt>
                <c:pt idx="20">
                  <c:v>45905</c:v>
                </c:pt>
                <c:pt idx="21">
                  <c:v>45906</c:v>
                </c:pt>
                <c:pt idx="22">
                  <c:v>45907</c:v>
                </c:pt>
                <c:pt idx="23">
                  <c:v>45908</c:v>
                </c:pt>
                <c:pt idx="24">
                  <c:v>45909</c:v>
                </c:pt>
                <c:pt idx="25">
                  <c:v>45910</c:v>
                </c:pt>
                <c:pt idx="26">
                  <c:v>45911</c:v>
                </c:pt>
                <c:pt idx="27">
                  <c:v>45912</c:v>
                </c:pt>
                <c:pt idx="28">
                  <c:v>45913</c:v>
                </c:pt>
                <c:pt idx="29">
                  <c:v>45914</c:v>
                </c:pt>
                <c:pt idx="30">
                  <c:v>45915</c:v>
                </c:pt>
                <c:pt idx="31">
                  <c:v>45916</c:v>
                </c:pt>
                <c:pt idx="32">
                  <c:v>45917</c:v>
                </c:pt>
                <c:pt idx="33">
                  <c:v>45918</c:v>
                </c:pt>
                <c:pt idx="34">
                  <c:v>45919</c:v>
                </c:pt>
                <c:pt idx="35">
                  <c:v>45920</c:v>
                </c:pt>
                <c:pt idx="36">
                  <c:v>45921</c:v>
                </c:pt>
                <c:pt idx="37">
                  <c:v>45922</c:v>
                </c:pt>
                <c:pt idx="38">
                  <c:v>45923</c:v>
                </c:pt>
                <c:pt idx="39">
                  <c:v>45924</c:v>
                </c:pt>
                <c:pt idx="40">
                  <c:v>45925</c:v>
                </c:pt>
                <c:pt idx="41">
                  <c:v>45926</c:v>
                </c:pt>
                <c:pt idx="42">
                  <c:v>45927</c:v>
                </c:pt>
                <c:pt idx="43">
                  <c:v>45928</c:v>
                </c:pt>
                <c:pt idx="44">
                  <c:v>45929</c:v>
                </c:pt>
                <c:pt idx="45">
                  <c:v>45930</c:v>
                </c:pt>
                <c:pt idx="46">
                  <c:v>45931</c:v>
                </c:pt>
                <c:pt idx="47">
                  <c:v>45932</c:v>
                </c:pt>
                <c:pt idx="48">
                  <c:v>45933</c:v>
                </c:pt>
                <c:pt idx="49">
                  <c:v>45934</c:v>
                </c:pt>
                <c:pt idx="50">
                  <c:v>45935</c:v>
                </c:pt>
                <c:pt idx="51">
                  <c:v>45936</c:v>
                </c:pt>
                <c:pt idx="52">
                  <c:v>45937</c:v>
                </c:pt>
                <c:pt idx="53">
                  <c:v>45938</c:v>
                </c:pt>
                <c:pt idx="54">
                  <c:v>45939</c:v>
                </c:pt>
                <c:pt idx="55">
                  <c:v>45940</c:v>
                </c:pt>
                <c:pt idx="56">
                  <c:v>45941</c:v>
                </c:pt>
                <c:pt idx="57">
                  <c:v>45942</c:v>
                </c:pt>
                <c:pt idx="58">
                  <c:v>45943</c:v>
                </c:pt>
                <c:pt idx="59">
                  <c:v>45944</c:v>
                </c:pt>
                <c:pt idx="60">
                  <c:v>45945</c:v>
                </c:pt>
                <c:pt idx="61">
                  <c:v>45946</c:v>
                </c:pt>
                <c:pt idx="62">
                  <c:v>45947</c:v>
                </c:pt>
                <c:pt idx="63">
                  <c:v>45948</c:v>
                </c:pt>
                <c:pt idx="64">
                  <c:v>45949</c:v>
                </c:pt>
                <c:pt idx="65">
                  <c:v>45950</c:v>
                </c:pt>
                <c:pt idx="66">
                  <c:v>45951</c:v>
                </c:pt>
                <c:pt idx="67">
                  <c:v>45952</c:v>
                </c:pt>
                <c:pt idx="68">
                  <c:v>45953</c:v>
                </c:pt>
                <c:pt idx="69">
                  <c:v>45954</c:v>
                </c:pt>
                <c:pt idx="70">
                  <c:v>45955</c:v>
                </c:pt>
                <c:pt idx="71">
                  <c:v>45956</c:v>
                </c:pt>
                <c:pt idx="72">
                  <c:v>45957</c:v>
                </c:pt>
                <c:pt idx="73">
                  <c:v>45958</c:v>
                </c:pt>
                <c:pt idx="74">
                  <c:v>45959</c:v>
                </c:pt>
                <c:pt idx="75">
                  <c:v>45960</c:v>
                </c:pt>
                <c:pt idx="76">
                  <c:v>45961</c:v>
                </c:pt>
                <c:pt idx="77">
                  <c:v>45962</c:v>
                </c:pt>
                <c:pt idx="78">
                  <c:v>45963</c:v>
                </c:pt>
                <c:pt idx="79">
                  <c:v>45964</c:v>
                </c:pt>
                <c:pt idx="80">
                  <c:v>45965</c:v>
                </c:pt>
                <c:pt idx="81">
                  <c:v>45966</c:v>
                </c:pt>
                <c:pt idx="82">
                  <c:v>45967</c:v>
                </c:pt>
                <c:pt idx="83">
                  <c:v>45968</c:v>
                </c:pt>
                <c:pt idx="84">
                  <c:v>45969</c:v>
                </c:pt>
                <c:pt idx="85">
                  <c:v>45970</c:v>
                </c:pt>
                <c:pt idx="86">
                  <c:v>45971</c:v>
                </c:pt>
                <c:pt idx="87">
                  <c:v>45972</c:v>
                </c:pt>
                <c:pt idx="88">
                  <c:v>45973</c:v>
                </c:pt>
                <c:pt idx="89">
                  <c:v>45974</c:v>
                </c:pt>
                <c:pt idx="90">
                  <c:v>45975</c:v>
                </c:pt>
                <c:pt idx="91">
                  <c:v>45976</c:v>
                </c:pt>
                <c:pt idx="92">
                  <c:v>45977</c:v>
                </c:pt>
                <c:pt idx="93">
                  <c:v>45978</c:v>
                </c:pt>
                <c:pt idx="94">
                  <c:v>45979</c:v>
                </c:pt>
                <c:pt idx="95">
                  <c:v>45980</c:v>
                </c:pt>
                <c:pt idx="96">
                  <c:v>45981</c:v>
                </c:pt>
                <c:pt idx="97">
                  <c:v>45982</c:v>
                </c:pt>
                <c:pt idx="98">
                  <c:v>45983</c:v>
                </c:pt>
                <c:pt idx="99">
                  <c:v>45984</c:v>
                </c:pt>
                <c:pt idx="100">
                  <c:v>45985</c:v>
                </c:pt>
                <c:pt idx="101">
                  <c:v>45986</c:v>
                </c:pt>
                <c:pt idx="102">
                  <c:v>45987</c:v>
                </c:pt>
                <c:pt idx="103">
                  <c:v>45988</c:v>
                </c:pt>
                <c:pt idx="104">
                  <c:v>45989</c:v>
                </c:pt>
                <c:pt idx="105">
                  <c:v>45990</c:v>
                </c:pt>
                <c:pt idx="106">
                  <c:v>45991</c:v>
                </c:pt>
                <c:pt idx="107">
                  <c:v>45992</c:v>
                </c:pt>
                <c:pt idx="108">
                  <c:v>45993</c:v>
                </c:pt>
                <c:pt idx="109">
                  <c:v>45994</c:v>
                </c:pt>
                <c:pt idx="110">
                  <c:v>45995</c:v>
                </c:pt>
                <c:pt idx="111">
                  <c:v>45996</c:v>
                </c:pt>
                <c:pt idx="112">
                  <c:v>45997</c:v>
                </c:pt>
                <c:pt idx="113">
                  <c:v>45998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46004</c:v>
                </c:pt>
                <c:pt idx="120">
                  <c:v>46005</c:v>
                </c:pt>
                <c:pt idx="121">
                  <c:v>46006</c:v>
                </c:pt>
                <c:pt idx="122">
                  <c:v>46007</c:v>
                </c:pt>
                <c:pt idx="123">
                  <c:v>46008</c:v>
                </c:pt>
                <c:pt idx="124">
                  <c:v>46009</c:v>
                </c:pt>
                <c:pt idx="125">
                  <c:v>46010</c:v>
                </c:pt>
                <c:pt idx="126">
                  <c:v>46011</c:v>
                </c:pt>
                <c:pt idx="127">
                  <c:v>46012</c:v>
                </c:pt>
                <c:pt idx="128">
                  <c:v>46013</c:v>
                </c:pt>
                <c:pt idx="129">
                  <c:v>46014</c:v>
                </c:pt>
                <c:pt idx="130">
                  <c:v>46015</c:v>
                </c:pt>
                <c:pt idx="131">
                  <c:v>46016</c:v>
                </c:pt>
                <c:pt idx="132">
                  <c:v>46017</c:v>
                </c:pt>
                <c:pt idx="133">
                  <c:v>46018</c:v>
                </c:pt>
                <c:pt idx="134">
                  <c:v>46019</c:v>
                </c:pt>
                <c:pt idx="135">
                  <c:v>46020</c:v>
                </c:pt>
                <c:pt idx="136">
                  <c:v>46021</c:v>
                </c:pt>
                <c:pt idx="137">
                  <c:v>46022</c:v>
                </c:pt>
                <c:pt idx="138">
                  <c:v>46023</c:v>
                </c:pt>
                <c:pt idx="139">
                  <c:v>46024</c:v>
                </c:pt>
                <c:pt idx="140">
                  <c:v>46025</c:v>
                </c:pt>
                <c:pt idx="141">
                  <c:v>46026</c:v>
                </c:pt>
                <c:pt idx="142">
                  <c:v>46027</c:v>
                </c:pt>
                <c:pt idx="143">
                  <c:v>46028</c:v>
                </c:pt>
                <c:pt idx="144">
                  <c:v>46029</c:v>
                </c:pt>
                <c:pt idx="145">
                  <c:v>46030</c:v>
                </c:pt>
                <c:pt idx="146">
                  <c:v>46031</c:v>
                </c:pt>
                <c:pt idx="147">
                  <c:v>46032</c:v>
                </c:pt>
                <c:pt idx="148">
                  <c:v>46033</c:v>
                </c:pt>
                <c:pt idx="149">
                  <c:v>46034</c:v>
                </c:pt>
                <c:pt idx="150">
                  <c:v>46035</c:v>
                </c:pt>
                <c:pt idx="151">
                  <c:v>46036</c:v>
                </c:pt>
                <c:pt idx="152">
                  <c:v>46037</c:v>
                </c:pt>
                <c:pt idx="153">
                  <c:v>46038</c:v>
                </c:pt>
                <c:pt idx="154">
                  <c:v>46039</c:v>
                </c:pt>
                <c:pt idx="155">
                  <c:v>46040</c:v>
                </c:pt>
                <c:pt idx="156">
                  <c:v>46041</c:v>
                </c:pt>
                <c:pt idx="157">
                  <c:v>46042</c:v>
                </c:pt>
                <c:pt idx="158">
                  <c:v>46043</c:v>
                </c:pt>
                <c:pt idx="159">
                  <c:v>46044</c:v>
                </c:pt>
                <c:pt idx="160">
                  <c:v>46045</c:v>
                </c:pt>
                <c:pt idx="161">
                  <c:v>46046</c:v>
                </c:pt>
                <c:pt idx="162">
                  <c:v>46047</c:v>
                </c:pt>
                <c:pt idx="163">
                  <c:v>46048</c:v>
                </c:pt>
                <c:pt idx="164">
                  <c:v>46049</c:v>
                </c:pt>
                <c:pt idx="165">
                  <c:v>46050</c:v>
                </c:pt>
                <c:pt idx="166">
                  <c:v>46051</c:v>
                </c:pt>
                <c:pt idx="167">
                  <c:v>46052</c:v>
                </c:pt>
                <c:pt idx="168">
                  <c:v>46053</c:v>
                </c:pt>
                <c:pt idx="169">
                  <c:v>46054</c:v>
                </c:pt>
                <c:pt idx="170">
                  <c:v>46055</c:v>
                </c:pt>
                <c:pt idx="171">
                  <c:v>46056</c:v>
                </c:pt>
                <c:pt idx="172">
                  <c:v>46057</c:v>
                </c:pt>
                <c:pt idx="173">
                  <c:v>46058</c:v>
                </c:pt>
                <c:pt idx="174">
                  <c:v>46059</c:v>
                </c:pt>
                <c:pt idx="175">
                  <c:v>46060</c:v>
                </c:pt>
                <c:pt idx="176">
                  <c:v>46061</c:v>
                </c:pt>
                <c:pt idx="177">
                  <c:v>46062</c:v>
                </c:pt>
                <c:pt idx="178">
                  <c:v>46063</c:v>
                </c:pt>
                <c:pt idx="179">
                  <c:v>46064</c:v>
                </c:pt>
                <c:pt idx="180">
                  <c:v>46065</c:v>
                </c:pt>
                <c:pt idx="181">
                  <c:v>46066</c:v>
                </c:pt>
                <c:pt idx="182">
                  <c:v>46067</c:v>
                </c:pt>
                <c:pt idx="183">
                  <c:v>46068</c:v>
                </c:pt>
                <c:pt idx="184">
                  <c:v>46069</c:v>
                </c:pt>
                <c:pt idx="185">
                  <c:v>46070</c:v>
                </c:pt>
                <c:pt idx="186">
                  <c:v>46071</c:v>
                </c:pt>
                <c:pt idx="187">
                  <c:v>46072</c:v>
                </c:pt>
                <c:pt idx="188">
                  <c:v>46073</c:v>
                </c:pt>
                <c:pt idx="189">
                  <c:v>46074</c:v>
                </c:pt>
                <c:pt idx="190">
                  <c:v>46075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46081</c:v>
                </c:pt>
                <c:pt idx="197">
                  <c:v>46082</c:v>
                </c:pt>
                <c:pt idx="198">
                  <c:v>46083</c:v>
                </c:pt>
                <c:pt idx="199">
                  <c:v>46084</c:v>
                </c:pt>
                <c:pt idx="200">
                  <c:v>46085</c:v>
                </c:pt>
                <c:pt idx="201">
                  <c:v>46086</c:v>
                </c:pt>
                <c:pt idx="202">
                  <c:v>46087</c:v>
                </c:pt>
                <c:pt idx="203">
                  <c:v>46088</c:v>
                </c:pt>
                <c:pt idx="204">
                  <c:v>46089</c:v>
                </c:pt>
                <c:pt idx="205">
                  <c:v>46090</c:v>
                </c:pt>
                <c:pt idx="206">
                  <c:v>46091</c:v>
                </c:pt>
                <c:pt idx="207">
                  <c:v>46092</c:v>
                </c:pt>
                <c:pt idx="208">
                  <c:v>46093</c:v>
                </c:pt>
                <c:pt idx="209">
                  <c:v>46094</c:v>
                </c:pt>
                <c:pt idx="210">
                  <c:v>46095</c:v>
                </c:pt>
                <c:pt idx="211">
                  <c:v>46096</c:v>
                </c:pt>
                <c:pt idx="212">
                  <c:v>46097</c:v>
                </c:pt>
                <c:pt idx="213">
                  <c:v>46098</c:v>
                </c:pt>
                <c:pt idx="214">
                  <c:v>46099</c:v>
                </c:pt>
                <c:pt idx="215">
                  <c:v>46100</c:v>
                </c:pt>
                <c:pt idx="216">
                  <c:v>46101</c:v>
                </c:pt>
                <c:pt idx="217">
                  <c:v>46102</c:v>
                </c:pt>
                <c:pt idx="218">
                  <c:v>46103</c:v>
                </c:pt>
                <c:pt idx="219">
                  <c:v>46104</c:v>
                </c:pt>
                <c:pt idx="220">
                  <c:v>46105</c:v>
                </c:pt>
                <c:pt idx="221">
                  <c:v>46106</c:v>
                </c:pt>
                <c:pt idx="222">
                  <c:v>46107</c:v>
                </c:pt>
                <c:pt idx="223">
                  <c:v>46108</c:v>
                </c:pt>
                <c:pt idx="224">
                  <c:v>46109</c:v>
                </c:pt>
                <c:pt idx="225">
                  <c:v>46110</c:v>
                </c:pt>
                <c:pt idx="226">
                  <c:v>46111</c:v>
                </c:pt>
                <c:pt idx="227">
                  <c:v>46112</c:v>
                </c:pt>
                <c:pt idx="228">
                  <c:v>46113</c:v>
                </c:pt>
                <c:pt idx="229">
                  <c:v>46114</c:v>
                </c:pt>
                <c:pt idx="230">
                  <c:v>46115</c:v>
                </c:pt>
                <c:pt idx="231">
                  <c:v>46116</c:v>
                </c:pt>
                <c:pt idx="232">
                  <c:v>46117</c:v>
                </c:pt>
                <c:pt idx="233">
                  <c:v>46118</c:v>
                </c:pt>
                <c:pt idx="234">
                  <c:v>46119</c:v>
                </c:pt>
                <c:pt idx="235">
                  <c:v>46120</c:v>
                </c:pt>
                <c:pt idx="236">
                  <c:v>46121</c:v>
                </c:pt>
                <c:pt idx="237">
                  <c:v>46122</c:v>
                </c:pt>
                <c:pt idx="238">
                  <c:v>46123</c:v>
                </c:pt>
                <c:pt idx="239">
                  <c:v>46124</c:v>
                </c:pt>
                <c:pt idx="240">
                  <c:v>46125</c:v>
                </c:pt>
                <c:pt idx="241">
                  <c:v>46126</c:v>
                </c:pt>
                <c:pt idx="242">
                  <c:v>46127</c:v>
                </c:pt>
                <c:pt idx="243">
                  <c:v>46128</c:v>
                </c:pt>
                <c:pt idx="244">
                  <c:v>46129</c:v>
                </c:pt>
                <c:pt idx="245">
                  <c:v>46130</c:v>
                </c:pt>
                <c:pt idx="246">
                  <c:v>46131</c:v>
                </c:pt>
                <c:pt idx="247">
                  <c:v>46132</c:v>
                </c:pt>
                <c:pt idx="248">
                  <c:v>46133</c:v>
                </c:pt>
                <c:pt idx="249">
                  <c:v>46134</c:v>
                </c:pt>
                <c:pt idx="250">
                  <c:v>46135</c:v>
                </c:pt>
                <c:pt idx="251">
                  <c:v>46136</c:v>
                </c:pt>
                <c:pt idx="252">
                  <c:v>46137</c:v>
                </c:pt>
                <c:pt idx="253">
                  <c:v>46138</c:v>
                </c:pt>
                <c:pt idx="254">
                  <c:v>46139</c:v>
                </c:pt>
                <c:pt idx="255">
                  <c:v>46140</c:v>
                </c:pt>
                <c:pt idx="256">
                  <c:v>46141</c:v>
                </c:pt>
                <c:pt idx="257">
                  <c:v>46142</c:v>
                </c:pt>
                <c:pt idx="258">
                  <c:v>46143</c:v>
                </c:pt>
                <c:pt idx="259">
                  <c:v>46144</c:v>
                </c:pt>
                <c:pt idx="260">
                  <c:v>46145</c:v>
                </c:pt>
                <c:pt idx="261">
                  <c:v>46146</c:v>
                </c:pt>
                <c:pt idx="262">
                  <c:v>46147</c:v>
                </c:pt>
                <c:pt idx="263">
                  <c:v>46148</c:v>
                </c:pt>
                <c:pt idx="264">
                  <c:v>46149</c:v>
                </c:pt>
                <c:pt idx="265">
                  <c:v>46150</c:v>
                </c:pt>
                <c:pt idx="266">
                  <c:v>46151</c:v>
                </c:pt>
                <c:pt idx="267">
                  <c:v>46152</c:v>
                </c:pt>
                <c:pt idx="268">
                  <c:v>46153</c:v>
                </c:pt>
                <c:pt idx="269">
                  <c:v>46154</c:v>
                </c:pt>
                <c:pt idx="270">
                  <c:v>46155</c:v>
                </c:pt>
                <c:pt idx="271">
                  <c:v>46156</c:v>
                </c:pt>
                <c:pt idx="272">
                  <c:v>46157</c:v>
                </c:pt>
                <c:pt idx="273">
                  <c:v>46158</c:v>
                </c:pt>
                <c:pt idx="274">
                  <c:v>46159</c:v>
                </c:pt>
                <c:pt idx="275">
                  <c:v>46160</c:v>
                </c:pt>
                <c:pt idx="276">
                  <c:v>46161</c:v>
                </c:pt>
                <c:pt idx="277">
                  <c:v>46162</c:v>
                </c:pt>
                <c:pt idx="278">
                  <c:v>46163</c:v>
                </c:pt>
                <c:pt idx="279">
                  <c:v>46164</c:v>
                </c:pt>
                <c:pt idx="280">
                  <c:v>46165</c:v>
                </c:pt>
                <c:pt idx="281">
                  <c:v>46166</c:v>
                </c:pt>
                <c:pt idx="282">
                  <c:v>46167</c:v>
                </c:pt>
                <c:pt idx="283">
                  <c:v>46168</c:v>
                </c:pt>
                <c:pt idx="284">
                  <c:v>46169</c:v>
                </c:pt>
                <c:pt idx="285">
                  <c:v>46170</c:v>
                </c:pt>
                <c:pt idx="286">
                  <c:v>46171</c:v>
                </c:pt>
                <c:pt idx="287">
                  <c:v>46172</c:v>
                </c:pt>
                <c:pt idx="288">
                  <c:v>46173</c:v>
                </c:pt>
                <c:pt idx="289">
                  <c:v>46174</c:v>
                </c:pt>
                <c:pt idx="290">
                  <c:v>46175</c:v>
                </c:pt>
                <c:pt idx="291">
                  <c:v>46176</c:v>
                </c:pt>
                <c:pt idx="292">
                  <c:v>46177</c:v>
                </c:pt>
                <c:pt idx="293">
                  <c:v>46178</c:v>
                </c:pt>
                <c:pt idx="294">
                  <c:v>46179</c:v>
                </c:pt>
                <c:pt idx="295">
                  <c:v>46180</c:v>
                </c:pt>
                <c:pt idx="296">
                  <c:v>46181</c:v>
                </c:pt>
                <c:pt idx="297">
                  <c:v>46182</c:v>
                </c:pt>
                <c:pt idx="298">
                  <c:v>46183</c:v>
                </c:pt>
                <c:pt idx="299">
                  <c:v>46184</c:v>
                </c:pt>
                <c:pt idx="300">
                  <c:v>46185</c:v>
                </c:pt>
              </c:numCache>
            </c:numRef>
          </c:cat>
          <c:val>
            <c:numRef>
              <c:f>faster_comparison!$B$2:$B$302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1.0347698000000001E-2</c:v>
                </c:pt>
                <c:pt idx="22">
                  <c:v>1.0347698000000001E-2</c:v>
                </c:pt>
                <c:pt idx="23">
                  <c:v>1.0347698000000001E-2</c:v>
                </c:pt>
                <c:pt idx="24">
                  <c:v>1.0135511999999999E-2</c:v>
                </c:pt>
                <c:pt idx="25">
                  <c:v>9.9233259999999997E-3</c:v>
                </c:pt>
                <c:pt idx="26">
                  <c:v>9.9233259999999997E-3</c:v>
                </c:pt>
                <c:pt idx="27">
                  <c:v>9.9233259999999997E-3</c:v>
                </c:pt>
                <c:pt idx="28">
                  <c:v>1.0977911999999999E-2</c:v>
                </c:pt>
                <c:pt idx="29">
                  <c:v>1.0977911999999999E-2</c:v>
                </c:pt>
                <c:pt idx="30">
                  <c:v>1.0977911999999999E-2</c:v>
                </c:pt>
                <c:pt idx="31">
                  <c:v>1.7186993999999997E-2</c:v>
                </c:pt>
                <c:pt idx="32">
                  <c:v>2.3396075999999998E-2</c:v>
                </c:pt>
                <c:pt idx="33">
                  <c:v>2.3396075999999998E-2</c:v>
                </c:pt>
                <c:pt idx="34">
                  <c:v>2.3396075999999998E-2</c:v>
                </c:pt>
                <c:pt idx="35">
                  <c:v>1.3297244E-2</c:v>
                </c:pt>
                <c:pt idx="36">
                  <c:v>1.3297244E-2</c:v>
                </c:pt>
                <c:pt idx="37">
                  <c:v>1.3297244E-2</c:v>
                </c:pt>
                <c:pt idx="38">
                  <c:v>1.4098630000000001E-2</c:v>
                </c:pt>
                <c:pt idx="39">
                  <c:v>1.4900016E-2</c:v>
                </c:pt>
                <c:pt idx="40">
                  <c:v>1.4900016E-2</c:v>
                </c:pt>
                <c:pt idx="41">
                  <c:v>1.4900016E-2</c:v>
                </c:pt>
                <c:pt idx="42">
                  <c:v>1.6150221999999999E-2</c:v>
                </c:pt>
                <c:pt idx="43">
                  <c:v>1.6150221999999999E-2</c:v>
                </c:pt>
                <c:pt idx="44">
                  <c:v>1.6150221999999999E-2</c:v>
                </c:pt>
                <c:pt idx="45">
                  <c:v>1.7124775000000002E-2</c:v>
                </c:pt>
                <c:pt idx="46">
                  <c:v>1.8099328000000001E-2</c:v>
                </c:pt>
                <c:pt idx="47">
                  <c:v>1.8099328000000001E-2</c:v>
                </c:pt>
                <c:pt idx="48">
                  <c:v>1.8099328000000001E-2</c:v>
                </c:pt>
                <c:pt idx="49">
                  <c:v>3.2739094000000003E-2</c:v>
                </c:pt>
                <c:pt idx="50">
                  <c:v>3.2739094000000003E-2</c:v>
                </c:pt>
                <c:pt idx="51">
                  <c:v>3.2739094000000003E-2</c:v>
                </c:pt>
                <c:pt idx="52">
                  <c:v>2.2712135000000001E-2</c:v>
                </c:pt>
                <c:pt idx="53">
                  <c:v>1.2685175999999999E-2</c:v>
                </c:pt>
                <c:pt idx="54">
                  <c:v>1.2685175999999999E-2</c:v>
                </c:pt>
                <c:pt idx="55">
                  <c:v>1.2685175999999999E-2</c:v>
                </c:pt>
                <c:pt idx="56">
                  <c:v>1.0192464E-2</c:v>
                </c:pt>
                <c:pt idx="57">
                  <c:v>1.0192464E-2</c:v>
                </c:pt>
                <c:pt idx="58">
                  <c:v>1.0192464E-2</c:v>
                </c:pt>
                <c:pt idx="59">
                  <c:v>9.2133570000000001E-3</c:v>
                </c:pt>
                <c:pt idx="60">
                  <c:v>8.2342500000000002E-3</c:v>
                </c:pt>
                <c:pt idx="61">
                  <c:v>8.2342500000000002E-3</c:v>
                </c:pt>
                <c:pt idx="62">
                  <c:v>8.2342500000000002E-3</c:v>
                </c:pt>
                <c:pt idx="63">
                  <c:v>1.4890202E-2</c:v>
                </c:pt>
                <c:pt idx="64">
                  <c:v>1.4890202E-2</c:v>
                </c:pt>
                <c:pt idx="65">
                  <c:v>1.4890202E-2</c:v>
                </c:pt>
                <c:pt idx="66">
                  <c:v>1.0680299000000001E-2</c:v>
                </c:pt>
                <c:pt idx="67">
                  <c:v>6.4703959999999998E-3</c:v>
                </c:pt>
                <c:pt idx="68">
                  <c:v>6.4703959999999998E-3</c:v>
                </c:pt>
                <c:pt idx="69">
                  <c:v>6.4703959999999998E-3</c:v>
                </c:pt>
                <c:pt idx="70">
                  <c:v>5.926822E-3</c:v>
                </c:pt>
                <c:pt idx="71">
                  <c:v>5.926822E-3</c:v>
                </c:pt>
                <c:pt idx="72">
                  <c:v>5.926822E-3</c:v>
                </c:pt>
                <c:pt idx="73">
                  <c:v>5.6660189999999996E-3</c:v>
                </c:pt>
                <c:pt idx="74">
                  <c:v>5.405216E-3</c:v>
                </c:pt>
                <c:pt idx="75">
                  <c:v>5.405216E-3</c:v>
                </c:pt>
                <c:pt idx="76">
                  <c:v>5.405216E-3</c:v>
                </c:pt>
                <c:pt idx="77">
                  <c:v>5.8147099999999998E-3</c:v>
                </c:pt>
                <c:pt idx="78">
                  <c:v>5.8147099999999998E-3</c:v>
                </c:pt>
                <c:pt idx="79">
                  <c:v>5.8147099999999998E-3</c:v>
                </c:pt>
                <c:pt idx="80">
                  <c:v>7.3955959999999991E-3</c:v>
                </c:pt>
                <c:pt idx="81">
                  <c:v>8.9764819999999992E-3</c:v>
                </c:pt>
                <c:pt idx="82">
                  <c:v>8.9764819999999992E-3</c:v>
                </c:pt>
                <c:pt idx="83">
                  <c:v>8.9764819999999992E-3</c:v>
                </c:pt>
                <c:pt idx="84">
                  <c:v>3.0685E-3</c:v>
                </c:pt>
                <c:pt idx="85">
                  <c:v>3.0685E-3</c:v>
                </c:pt>
                <c:pt idx="86">
                  <c:v>3.0685E-3</c:v>
                </c:pt>
                <c:pt idx="87">
                  <c:v>2.7166539999999998E-3</c:v>
                </c:pt>
                <c:pt idx="88">
                  <c:v>2.3648079999999999E-3</c:v>
                </c:pt>
                <c:pt idx="89">
                  <c:v>2.3648079999999999E-3</c:v>
                </c:pt>
                <c:pt idx="90">
                  <c:v>2.3648079999999999E-3</c:v>
                </c:pt>
                <c:pt idx="91">
                  <c:v>1.66277E-3</c:v>
                </c:pt>
                <c:pt idx="92">
                  <c:v>1.66277E-3</c:v>
                </c:pt>
                <c:pt idx="93">
                  <c:v>1.66277E-3</c:v>
                </c:pt>
                <c:pt idx="94">
                  <c:v>2.7967109999999999E-3</c:v>
                </c:pt>
                <c:pt idx="95">
                  <c:v>3.9306519999999998E-3</c:v>
                </c:pt>
                <c:pt idx="96">
                  <c:v>3.9306519999999998E-3</c:v>
                </c:pt>
                <c:pt idx="97">
                  <c:v>3.9306519999999998E-3</c:v>
                </c:pt>
                <c:pt idx="98">
                  <c:v>2.280678E-3</c:v>
                </c:pt>
                <c:pt idx="99">
                  <c:v>2.280678E-3</c:v>
                </c:pt>
                <c:pt idx="100">
                  <c:v>2.280678E-3</c:v>
                </c:pt>
                <c:pt idx="101">
                  <c:v>2.4716989999999999E-3</c:v>
                </c:pt>
                <c:pt idx="102">
                  <c:v>2.6627199999999999E-3</c:v>
                </c:pt>
                <c:pt idx="103">
                  <c:v>2.6627199999999999E-3</c:v>
                </c:pt>
                <c:pt idx="104">
                  <c:v>2.6627199999999999E-3</c:v>
                </c:pt>
                <c:pt idx="105">
                  <c:v>2.8438479999999999E-3</c:v>
                </c:pt>
                <c:pt idx="106">
                  <c:v>2.8438479999999999E-3</c:v>
                </c:pt>
                <c:pt idx="107">
                  <c:v>2.8438479999999999E-3</c:v>
                </c:pt>
                <c:pt idx="108">
                  <c:v>4.071458E-3</c:v>
                </c:pt>
                <c:pt idx="109">
                  <c:v>5.2990679999999997E-3</c:v>
                </c:pt>
                <c:pt idx="110">
                  <c:v>5.2990679999999997E-3</c:v>
                </c:pt>
                <c:pt idx="111">
                  <c:v>5.2990679999999997E-3</c:v>
                </c:pt>
                <c:pt idx="112">
                  <c:v>2.0545820000000001E-3</c:v>
                </c:pt>
                <c:pt idx="113">
                  <c:v>2.0545820000000001E-3</c:v>
                </c:pt>
                <c:pt idx="114">
                  <c:v>2.0545820000000001E-3</c:v>
                </c:pt>
                <c:pt idx="115">
                  <c:v>1.7569700000000001E-3</c:v>
                </c:pt>
                <c:pt idx="116">
                  <c:v>1.459358E-3</c:v>
                </c:pt>
                <c:pt idx="117">
                  <c:v>1.459358E-3</c:v>
                </c:pt>
                <c:pt idx="118">
                  <c:v>1.459358E-3</c:v>
                </c:pt>
                <c:pt idx="119">
                  <c:v>9.5626999999999995E-4</c:v>
                </c:pt>
                <c:pt idx="120">
                  <c:v>9.5626999999999995E-4</c:v>
                </c:pt>
                <c:pt idx="121">
                  <c:v>9.5626999999999995E-4</c:v>
                </c:pt>
                <c:pt idx="122">
                  <c:v>8.9557199999999997E-4</c:v>
                </c:pt>
                <c:pt idx="123">
                  <c:v>8.3487399999999999E-4</c:v>
                </c:pt>
                <c:pt idx="124">
                  <c:v>8.3487399999999999E-4</c:v>
                </c:pt>
                <c:pt idx="125">
                  <c:v>8.3487399999999999E-4</c:v>
                </c:pt>
                <c:pt idx="126">
                  <c:v>1.065674E-3</c:v>
                </c:pt>
                <c:pt idx="127">
                  <c:v>1.065674E-3</c:v>
                </c:pt>
                <c:pt idx="128">
                  <c:v>1.065674E-3</c:v>
                </c:pt>
                <c:pt idx="129">
                  <c:v>6.2984480000000001E-4</c:v>
                </c:pt>
                <c:pt idx="130">
                  <c:v>1.9401560000000001E-4</c:v>
                </c:pt>
                <c:pt idx="131">
                  <c:v>1.9401560000000001E-4</c:v>
                </c:pt>
                <c:pt idx="132">
                  <c:v>1.9401560000000001E-4</c:v>
                </c:pt>
                <c:pt idx="133">
                  <c:v>5.2087399999999999E-5</c:v>
                </c:pt>
                <c:pt idx="134">
                  <c:v>5.2087399999999999E-5</c:v>
                </c:pt>
                <c:pt idx="135">
                  <c:v>5.2087399999999999E-5</c:v>
                </c:pt>
                <c:pt idx="136">
                  <c:v>2.6043699999999999E-5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0.90704788649999912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42-CA4B-AF7D-614006088E83}"/>
            </c:ext>
          </c:extLst>
        </c:ser>
        <c:ser>
          <c:idx val="1"/>
          <c:order val="1"/>
          <c:tx>
            <c:strRef>
              <c:f>faster_comparison!$C$1</c:f>
              <c:strCache>
                <c:ptCount val="1"/>
                <c:pt idx="0">
                  <c:v>original</c:v>
                </c:pt>
              </c:strCache>
            </c:strRef>
          </c:tx>
          <c:spPr>
            <a:ln w="25400">
              <a:solidFill>
                <a:srgbClr val="FF6600"/>
              </a:solidFill>
              <a:prstDash val="solid"/>
            </a:ln>
          </c:spPr>
          <c:marker>
            <c:symbol val="none"/>
          </c:marker>
          <c:cat>
            <c:numRef>
              <c:f>faster_comparison!$A$2:$A$302</c:f>
              <c:numCache>
                <c:formatCode>m/d/yy</c:formatCode>
                <c:ptCount val="301"/>
                <c:pt idx="0">
                  <c:v>45885</c:v>
                </c:pt>
                <c:pt idx="1">
                  <c:v>45886</c:v>
                </c:pt>
                <c:pt idx="2">
                  <c:v>45887</c:v>
                </c:pt>
                <c:pt idx="3">
                  <c:v>45888</c:v>
                </c:pt>
                <c:pt idx="4">
                  <c:v>45889</c:v>
                </c:pt>
                <c:pt idx="5">
                  <c:v>45890</c:v>
                </c:pt>
                <c:pt idx="6">
                  <c:v>45891</c:v>
                </c:pt>
                <c:pt idx="7">
                  <c:v>45892</c:v>
                </c:pt>
                <c:pt idx="8">
                  <c:v>45893</c:v>
                </c:pt>
                <c:pt idx="9">
                  <c:v>45894</c:v>
                </c:pt>
                <c:pt idx="10">
                  <c:v>45895</c:v>
                </c:pt>
                <c:pt idx="11">
                  <c:v>45896</c:v>
                </c:pt>
                <c:pt idx="12">
                  <c:v>45897</c:v>
                </c:pt>
                <c:pt idx="13">
                  <c:v>45898</c:v>
                </c:pt>
                <c:pt idx="14">
                  <c:v>45899</c:v>
                </c:pt>
                <c:pt idx="15">
                  <c:v>45900</c:v>
                </c:pt>
                <c:pt idx="16">
                  <c:v>45901</c:v>
                </c:pt>
                <c:pt idx="17">
                  <c:v>45902</c:v>
                </c:pt>
                <c:pt idx="18">
                  <c:v>45903</c:v>
                </c:pt>
                <c:pt idx="19">
                  <c:v>45904</c:v>
                </c:pt>
                <c:pt idx="20">
                  <c:v>45905</c:v>
                </c:pt>
                <c:pt idx="21">
                  <c:v>45906</c:v>
                </c:pt>
                <c:pt idx="22">
                  <c:v>45907</c:v>
                </c:pt>
                <c:pt idx="23">
                  <c:v>45908</c:v>
                </c:pt>
                <c:pt idx="24">
                  <c:v>45909</c:v>
                </c:pt>
                <c:pt idx="25">
                  <c:v>45910</c:v>
                </c:pt>
                <c:pt idx="26">
                  <c:v>45911</c:v>
                </c:pt>
                <c:pt idx="27">
                  <c:v>45912</c:v>
                </c:pt>
                <c:pt idx="28">
                  <c:v>45913</c:v>
                </c:pt>
                <c:pt idx="29">
                  <c:v>45914</c:v>
                </c:pt>
                <c:pt idx="30">
                  <c:v>45915</c:v>
                </c:pt>
                <c:pt idx="31">
                  <c:v>45916</c:v>
                </c:pt>
                <c:pt idx="32">
                  <c:v>45917</c:v>
                </c:pt>
                <c:pt idx="33">
                  <c:v>45918</c:v>
                </c:pt>
                <c:pt idx="34">
                  <c:v>45919</c:v>
                </c:pt>
                <c:pt idx="35">
                  <c:v>45920</c:v>
                </c:pt>
                <c:pt idx="36">
                  <c:v>45921</c:v>
                </c:pt>
                <c:pt idx="37">
                  <c:v>45922</c:v>
                </c:pt>
                <c:pt idx="38">
                  <c:v>45923</c:v>
                </c:pt>
                <c:pt idx="39">
                  <c:v>45924</c:v>
                </c:pt>
                <c:pt idx="40">
                  <c:v>45925</c:v>
                </c:pt>
                <c:pt idx="41">
                  <c:v>45926</c:v>
                </c:pt>
                <c:pt idx="42">
                  <c:v>45927</c:v>
                </c:pt>
                <c:pt idx="43">
                  <c:v>45928</c:v>
                </c:pt>
                <c:pt idx="44">
                  <c:v>45929</c:v>
                </c:pt>
                <c:pt idx="45">
                  <c:v>45930</c:v>
                </c:pt>
                <c:pt idx="46">
                  <c:v>45931</c:v>
                </c:pt>
                <c:pt idx="47">
                  <c:v>45932</c:v>
                </c:pt>
                <c:pt idx="48">
                  <c:v>45933</c:v>
                </c:pt>
                <c:pt idx="49">
                  <c:v>45934</c:v>
                </c:pt>
                <c:pt idx="50">
                  <c:v>45935</c:v>
                </c:pt>
                <c:pt idx="51">
                  <c:v>45936</c:v>
                </c:pt>
                <c:pt idx="52">
                  <c:v>45937</c:v>
                </c:pt>
                <c:pt idx="53">
                  <c:v>45938</c:v>
                </c:pt>
                <c:pt idx="54">
                  <c:v>45939</c:v>
                </c:pt>
                <c:pt idx="55">
                  <c:v>45940</c:v>
                </c:pt>
                <c:pt idx="56">
                  <c:v>45941</c:v>
                </c:pt>
                <c:pt idx="57">
                  <c:v>45942</c:v>
                </c:pt>
                <c:pt idx="58">
                  <c:v>45943</c:v>
                </c:pt>
                <c:pt idx="59">
                  <c:v>45944</c:v>
                </c:pt>
                <c:pt idx="60">
                  <c:v>45945</c:v>
                </c:pt>
                <c:pt idx="61">
                  <c:v>45946</c:v>
                </c:pt>
                <c:pt idx="62">
                  <c:v>45947</c:v>
                </c:pt>
                <c:pt idx="63">
                  <c:v>45948</c:v>
                </c:pt>
                <c:pt idx="64">
                  <c:v>45949</c:v>
                </c:pt>
                <c:pt idx="65">
                  <c:v>45950</c:v>
                </c:pt>
                <c:pt idx="66">
                  <c:v>45951</c:v>
                </c:pt>
                <c:pt idx="67">
                  <c:v>45952</c:v>
                </c:pt>
                <c:pt idx="68">
                  <c:v>45953</c:v>
                </c:pt>
                <c:pt idx="69">
                  <c:v>45954</c:v>
                </c:pt>
                <c:pt idx="70">
                  <c:v>45955</c:v>
                </c:pt>
                <c:pt idx="71">
                  <c:v>45956</c:v>
                </c:pt>
                <c:pt idx="72">
                  <c:v>45957</c:v>
                </c:pt>
                <c:pt idx="73">
                  <c:v>45958</c:v>
                </c:pt>
                <c:pt idx="74">
                  <c:v>45959</c:v>
                </c:pt>
                <c:pt idx="75">
                  <c:v>45960</c:v>
                </c:pt>
                <c:pt idx="76">
                  <c:v>45961</c:v>
                </c:pt>
                <c:pt idx="77">
                  <c:v>45962</c:v>
                </c:pt>
                <c:pt idx="78">
                  <c:v>45963</c:v>
                </c:pt>
                <c:pt idx="79">
                  <c:v>45964</c:v>
                </c:pt>
                <c:pt idx="80">
                  <c:v>45965</c:v>
                </c:pt>
                <c:pt idx="81">
                  <c:v>45966</c:v>
                </c:pt>
                <c:pt idx="82">
                  <c:v>45967</c:v>
                </c:pt>
                <c:pt idx="83">
                  <c:v>45968</c:v>
                </c:pt>
                <c:pt idx="84">
                  <c:v>45969</c:v>
                </c:pt>
                <c:pt idx="85">
                  <c:v>45970</c:v>
                </c:pt>
                <c:pt idx="86">
                  <c:v>45971</c:v>
                </c:pt>
                <c:pt idx="87">
                  <c:v>45972</c:v>
                </c:pt>
                <c:pt idx="88">
                  <c:v>45973</c:v>
                </c:pt>
                <c:pt idx="89">
                  <c:v>45974</c:v>
                </c:pt>
                <c:pt idx="90">
                  <c:v>45975</c:v>
                </c:pt>
                <c:pt idx="91">
                  <c:v>45976</c:v>
                </c:pt>
                <c:pt idx="92">
                  <c:v>45977</c:v>
                </c:pt>
                <c:pt idx="93">
                  <c:v>45978</c:v>
                </c:pt>
                <c:pt idx="94">
                  <c:v>45979</c:v>
                </c:pt>
                <c:pt idx="95">
                  <c:v>45980</c:v>
                </c:pt>
                <c:pt idx="96">
                  <c:v>45981</c:v>
                </c:pt>
                <c:pt idx="97">
                  <c:v>45982</c:v>
                </c:pt>
                <c:pt idx="98">
                  <c:v>45983</c:v>
                </c:pt>
                <c:pt idx="99">
                  <c:v>45984</c:v>
                </c:pt>
                <c:pt idx="100">
                  <c:v>45985</c:v>
                </c:pt>
                <c:pt idx="101">
                  <c:v>45986</c:v>
                </c:pt>
                <c:pt idx="102">
                  <c:v>45987</c:v>
                </c:pt>
                <c:pt idx="103">
                  <c:v>45988</c:v>
                </c:pt>
                <c:pt idx="104">
                  <c:v>45989</c:v>
                </c:pt>
                <c:pt idx="105">
                  <c:v>45990</c:v>
                </c:pt>
                <c:pt idx="106">
                  <c:v>45991</c:v>
                </c:pt>
                <c:pt idx="107">
                  <c:v>45992</c:v>
                </c:pt>
                <c:pt idx="108">
                  <c:v>45993</c:v>
                </c:pt>
                <c:pt idx="109">
                  <c:v>45994</c:v>
                </c:pt>
                <c:pt idx="110">
                  <c:v>45995</c:v>
                </c:pt>
                <c:pt idx="111">
                  <c:v>45996</c:v>
                </c:pt>
                <c:pt idx="112">
                  <c:v>45997</c:v>
                </c:pt>
                <c:pt idx="113">
                  <c:v>45998</c:v>
                </c:pt>
                <c:pt idx="114">
                  <c:v>45999</c:v>
                </c:pt>
                <c:pt idx="115">
                  <c:v>46000</c:v>
                </c:pt>
                <c:pt idx="116">
                  <c:v>46001</c:v>
                </c:pt>
                <c:pt idx="117">
                  <c:v>46002</c:v>
                </c:pt>
                <c:pt idx="118">
                  <c:v>46003</c:v>
                </c:pt>
                <c:pt idx="119">
                  <c:v>46004</c:v>
                </c:pt>
                <c:pt idx="120">
                  <c:v>46005</c:v>
                </c:pt>
                <c:pt idx="121">
                  <c:v>46006</c:v>
                </c:pt>
                <c:pt idx="122">
                  <c:v>46007</c:v>
                </c:pt>
                <c:pt idx="123">
                  <c:v>46008</c:v>
                </c:pt>
                <c:pt idx="124">
                  <c:v>46009</c:v>
                </c:pt>
                <c:pt idx="125">
                  <c:v>46010</c:v>
                </c:pt>
                <c:pt idx="126">
                  <c:v>46011</c:v>
                </c:pt>
                <c:pt idx="127">
                  <c:v>46012</c:v>
                </c:pt>
                <c:pt idx="128">
                  <c:v>46013</c:v>
                </c:pt>
                <c:pt idx="129">
                  <c:v>46014</c:v>
                </c:pt>
                <c:pt idx="130">
                  <c:v>46015</c:v>
                </c:pt>
                <c:pt idx="131">
                  <c:v>46016</c:v>
                </c:pt>
                <c:pt idx="132">
                  <c:v>46017</c:v>
                </c:pt>
                <c:pt idx="133">
                  <c:v>46018</c:v>
                </c:pt>
                <c:pt idx="134">
                  <c:v>46019</c:v>
                </c:pt>
                <c:pt idx="135">
                  <c:v>46020</c:v>
                </c:pt>
                <c:pt idx="136">
                  <c:v>46021</c:v>
                </c:pt>
                <c:pt idx="137">
                  <c:v>46022</c:v>
                </c:pt>
                <c:pt idx="138">
                  <c:v>46023</c:v>
                </c:pt>
                <c:pt idx="139">
                  <c:v>46024</c:v>
                </c:pt>
                <c:pt idx="140">
                  <c:v>46025</c:v>
                </c:pt>
                <c:pt idx="141">
                  <c:v>46026</c:v>
                </c:pt>
                <c:pt idx="142">
                  <c:v>46027</c:v>
                </c:pt>
                <c:pt idx="143">
                  <c:v>46028</c:v>
                </c:pt>
                <c:pt idx="144">
                  <c:v>46029</c:v>
                </c:pt>
                <c:pt idx="145">
                  <c:v>46030</c:v>
                </c:pt>
                <c:pt idx="146">
                  <c:v>46031</c:v>
                </c:pt>
                <c:pt idx="147">
                  <c:v>46032</c:v>
                </c:pt>
                <c:pt idx="148">
                  <c:v>46033</c:v>
                </c:pt>
                <c:pt idx="149">
                  <c:v>46034</c:v>
                </c:pt>
                <c:pt idx="150">
                  <c:v>46035</c:v>
                </c:pt>
                <c:pt idx="151">
                  <c:v>46036</c:v>
                </c:pt>
                <c:pt idx="152">
                  <c:v>46037</c:v>
                </c:pt>
                <c:pt idx="153">
                  <c:v>46038</c:v>
                </c:pt>
                <c:pt idx="154">
                  <c:v>46039</c:v>
                </c:pt>
                <c:pt idx="155">
                  <c:v>46040</c:v>
                </c:pt>
                <c:pt idx="156">
                  <c:v>46041</c:v>
                </c:pt>
                <c:pt idx="157">
                  <c:v>46042</c:v>
                </c:pt>
                <c:pt idx="158">
                  <c:v>46043</c:v>
                </c:pt>
                <c:pt idx="159">
                  <c:v>46044</c:v>
                </c:pt>
                <c:pt idx="160">
                  <c:v>46045</c:v>
                </c:pt>
                <c:pt idx="161">
                  <c:v>46046</c:v>
                </c:pt>
                <c:pt idx="162">
                  <c:v>46047</c:v>
                </c:pt>
                <c:pt idx="163">
                  <c:v>46048</c:v>
                </c:pt>
                <c:pt idx="164">
                  <c:v>46049</c:v>
                </c:pt>
                <c:pt idx="165">
                  <c:v>46050</c:v>
                </c:pt>
                <c:pt idx="166">
                  <c:v>46051</c:v>
                </c:pt>
                <c:pt idx="167">
                  <c:v>46052</c:v>
                </c:pt>
                <c:pt idx="168">
                  <c:v>46053</c:v>
                </c:pt>
                <c:pt idx="169">
                  <c:v>46054</c:v>
                </c:pt>
                <c:pt idx="170">
                  <c:v>46055</c:v>
                </c:pt>
                <c:pt idx="171">
                  <c:v>46056</c:v>
                </c:pt>
                <c:pt idx="172">
                  <c:v>46057</c:v>
                </c:pt>
                <c:pt idx="173">
                  <c:v>46058</c:v>
                </c:pt>
                <c:pt idx="174">
                  <c:v>46059</c:v>
                </c:pt>
                <c:pt idx="175">
                  <c:v>46060</c:v>
                </c:pt>
                <c:pt idx="176">
                  <c:v>46061</c:v>
                </c:pt>
                <c:pt idx="177">
                  <c:v>46062</c:v>
                </c:pt>
                <c:pt idx="178">
                  <c:v>46063</c:v>
                </c:pt>
                <c:pt idx="179">
                  <c:v>46064</c:v>
                </c:pt>
                <c:pt idx="180">
                  <c:v>46065</c:v>
                </c:pt>
                <c:pt idx="181">
                  <c:v>46066</c:v>
                </c:pt>
                <c:pt idx="182">
                  <c:v>46067</c:v>
                </c:pt>
                <c:pt idx="183">
                  <c:v>46068</c:v>
                </c:pt>
                <c:pt idx="184">
                  <c:v>46069</c:v>
                </c:pt>
                <c:pt idx="185">
                  <c:v>46070</c:v>
                </c:pt>
                <c:pt idx="186">
                  <c:v>46071</c:v>
                </c:pt>
                <c:pt idx="187">
                  <c:v>46072</c:v>
                </c:pt>
                <c:pt idx="188">
                  <c:v>46073</c:v>
                </c:pt>
                <c:pt idx="189">
                  <c:v>46074</c:v>
                </c:pt>
                <c:pt idx="190">
                  <c:v>46075</c:v>
                </c:pt>
                <c:pt idx="191">
                  <c:v>46076</c:v>
                </c:pt>
                <c:pt idx="192">
                  <c:v>46077</c:v>
                </c:pt>
                <c:pt idx="193">
                  <c:v>46078</c:v>
                </c:pt>
                <c:pt idx="194">
                  <c:v>46079</c:v>
                </c:pt>
                <c:pt idx="195">
                  <c:v>46080</c:v>
                </c:pt>
                <c:pt idx="196">
                  <c:v>46081</c:v>
                </c:pt>
                <c:pt idx="197">
                  <c:v>46082</c:v>
                </c:pt>
                <c:pt idx="198">
                  <c:v>46083</c:v>
                </c:pt>
                <c:pt idx="199">
                  <c:v>46084</c:v>
                </c:pt>
                <c:pt idx="200">
                  <c:v>46085</c:v>
                </c:pt>
                <c:pt idx="201">
                  <c:v>46086</c:v>
                </c:pt>
                <c:pt idx="202">
                  <c:v>46087</c:v>
                </c:pt>
                <c:pt idx="203">
                  <c:v>46088</c:v>
                </c:pt>
                <c:pt idx="204">
                  <c:v>46089</c:v>
                </c:pt>
                <c:pt idx="205">
                  <c:v>46090</c:v>
                </c:pt>
                <c:pt idx="206">
                  <c:v>46091</c:v>
                </c:pt>
                <c:pt idx="207">
                  <c:v>46092</c:v>
                </c:pt>
                <c:pt idx="208">
                  <c:v>46093</c:v>
                </c:pt>
                <c:pt idx="209">
                  <c:v>46094</c:v>
                </c:pt>
                <c:pt idx="210">
                  <c:v>46095</c:v>
                </c:pt>
                <c:pt idx="211">
                  <c:v>46096</c:v>
                </c:pt>
                <c:pt idx="212">
                  <c:v>46097</c:v>
                </c:pt>
                <c:pt idx="213">
                  <c:v>46098</c:v>
                </c:pt>
                <c:pt idx="214">
                  <c:v>46099</c:v>
                </c:pt>
                <c:pt idx="215">
                  <c:v>46100</c:v>
                </c:pt>
                <c:pt idx="216">
                  <c:v>46101</c:v>
                </c:pt>
                <c:pt idx="217">
                  <c:v>46102</c:v>
                </c:pt>
                <c:pt idx="218">
                  <c:v>46103</c:v>
                </c:pt>
                <c:pt idx="219">
                  <c:v>46104</c:v>
                </c:pt>
                <c:pt idx="220">
                  <c:v>46105</c:v>
                </c:pt>
                <c:pt idx="221">
                  <c:v>46106</c:v>
                </c:pt>
                <c:pt idx="222">
                  <c:v>46107</c:v>
                </c:pt>
                <c:pt idx="223">
                  <c:v>46108</c:v>
                </c:pt>
                <c:pt idx="224">
                  <c:v>46109</c:v>
                </c:pt>
                <c:pt idx="225">
                  <c:v>46110</c:v>
                </c:pt>
                <c:pt idx="226">
                  <c:v>46111</c:v>
                </c:pt>
                <c:pt idx="227">
                  <c:v>46112</c:v>
                </c:pt>
                <c:pt idx="228">
                  <c:v>46113</c:v>
                </c:pt>
                <c:pt idx="229">
                  <c:v>46114</c:v>
                </c:pt>
                <c:pt idx="230">
                  <c:v>46115</c:v>
                </c:pt>
                <c:pt idx="231">
                  <c:v>46116</c:v>
                </c:pt>
                <c:pt idx="232">
                  <c:v>46117</c:v>
                </c:pt>
                <c:pt idx="233">
                  <c:v>46118</c:v>
                </c:pt>
                <c:pt idx="234">
                  <c:v>46119</c:v>
                </c:pt>
                <c:pt idx="235">
                  <c:v>46120</c:v>
                </c:pt>
                <c:pt idx="236">
                  <c:v>46121</c:v>
                </c:pt>
                <c:pt idx="237">
                  <c:v>46122</c:v>
                </c:pt>
                <c:pt idx="238">
                  <c:v>46123</c:v>
                </c:pt>
                <c:pt idx="239">
                  <c:v>46124</c:v>
                </c:pt>
                <c:pt idx="240">
                  <c:v>46125</c:v>
                </c:pt>
                <c:pt idx="241">
                  <c:v>46126</c:v>
                </c:pt>
                <c:pt idx="242">
                  <c:v>46127</c:v>
                </c:pt>
                <c:pt idx="243">
                  <c:v>46128</c:v>
                </c:pt>
                <c:pt idx="244">
                  <c:v>46129</c:v>
                </c:pt>
                <c:pt idx="245">
                  <c:v>46130</c:v>
                </c:pt>
                <c:pt idx="246">
                  <c:v>46131</c:v>
                </c:pt>
                <c:pt idx="247">
                  <c:v>46132</c:v>
                </c:pt>
                <c:pt idx="248">
                  <c:v>46133</c:v>
                </c:pt>
                <c:pt idx="249">
                  <c:v>46134</c:v>
                </c:pt>
                <c:pt idx="250">
                  <c:v>46135</c:v>
                </c:pt>
                <c:pt idx="251">
                  <c:v>46136</c:v>
                </c:pt>
                <c:pt idx="252">
                  <c:v>46137</c:v>
                </c:pt>
                <c:pt idx="253">
                  <c:v>46138</c:v>
                </c:pt>
                <c:pt idx="254">
                  <c:v>46139</c:v>
                </c:pt>
                <c:pt idx="255">
                  <c:v>46140</c:v>
                </c:pt>
                <c:pt idx="256">
                  <c:v>46141</c:v>
                </c:pt>
                <c:pt idx="257">
                  <c:v>46142</c:v>
                </c:pt>
                <c:pt idx="258">
                  <c:v>46143</c:v>
                </c:pt>
                <c:pt idx="259">
                  <c:v>46144</c:v>
                </c:pt>
                <c:pt idx="260">
                  <c:v>46145</c:v>
                </c:pt>
                <c:pt idx="261">
                  <c:v>46146</c:v>
                </c:pt>
                <c:pt idx="262">
                  <c:v>46147</c:v>
                </c:pt>
                <c:pt idx="263">
                  <c:v>46148</c:v>
                </c:pt>
                <c:pt idx="264">
                  <c:v>46149</c:v>
                </c:pt>
                <c:pt idx="265">
                  <c:v>46150</c:v>
                </c:pt>
                <c:pt idx="266">
                  <c:v>46151</c:v>
                </c:pt>
                <c:pt idx="267">
                  <c:v>46152</c:v>
                </c:pt>
                <c:pt idx="268">
                  <c:v>46153</c:v>
                </c:pt>
                <c:pt idx="269">
                  <c:v>46154</c:v>
                </c:pt>
                <c:pt idx="270">
                  <c:v>46155</c:v>
                </c:pt>
                <c:pt idx="271">
                  <c:v>46156</c:v>
                </c:pt>
                <c:pt idx="272">
                  <c:v>46157</c:v>
                </c:pt>
                <c:pt idx="273">
                  <c:v>46158</c:v>
                </c:pt>
                <c:pt idx="274">
                  <c:v>46159</c:v>
                </c:pt>
                <c:pt idx="275">
                  <c:v>46160</c:v>
                </c:pt>
                <c:pt idx="276">
                  <c:v>46161</c:v>
                </c:pt>
                <c:pt idx="277">
                  <c:v>46162</c:v>
                </c:pt>
                <c:pt idx="278">
                  <c:v>46163</c:v>
                </c:pt>
                <c:pt idx="279">
                  <c:v>46164</c:v>
                </c:pt>
                <c:pt idx="280">
                  <c:v>46165</c:v>
                </c:pt>
                <c:pt idx="281">
                  <c:v>46166</c:v>
                </c:pt>
                <c:pt idx="282">
                  <c:v>46167</c:v>
                </c:pt>
                <c:pt idx="283">
                  <c:v>46168</c:v>
                </c:pt>
                <c:pt idx="284">
                  <c:v>46169</c:v>
                </c:pt>
                <c:pt idx="285">
                  <c:v>46170</c:v>
                </c:pt>
                <c:pt idx="286">
                  <c:v>46171</c:v>
                </c:pt>
                <c:pt idx="287">
                  <c:v>46172</c:v>
                </c:pt>
                <c:pt idx="288">
                  <c:v>46173</c:v>
                </c:pt>
                <c:pt idx="289">
                  <c:v>46174</c:v>
                </c:pt>
                <c:pt idx="290">
                  <c:v>46175</c:v>
                </c:pt>
                <c:pt idx="291">
                  <c:v>46176</c:v>
                </c:pt>
                <c:pt idx="292">
                  <c:v>46177</c:v>
                </c:pt>
                <c:pt idx="293">
                  <c:v>46178</c:v>
                </c:pt>
                <c:pt idx="294">
                  <c:v>46179</c:v>
                </c:pt>
                <c:pt idx="295">
                  <c:v>46180</c:v>
                </c:pt>
                <c:pt idx="296">
                  <c:v>46181</c:v>
                </c:pt>
                <c:pt idx="297">
                  <c:v>46182</c:v>
                </c:pt>
                <c:pt idx="298">
                  <c:v>46183</c:v>
                </c:pt>
                <c:pt idx="299">
                  <c:v>46184</c:v>
                </c:pt>
                <c:pt idx="300">
                  <c:v>46185</c:v>
                </c:pt>
              </c:numCache>
            </c:numRef>
          </c:cat>
          <c:val>
            <c:numRef>
              <c:f>faster_comparison!$C$2:$C$302</c:f>
              <c:numCache>
                <c:formatCode>General</c:formatCode>
                <c:ptCount val="3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5.1738490000000003E-3</c:v>
                </c:pt>
                <c:pt idx="22">
                  <c:v>5.1738490000000003E-3</c:v>
                </c:pt>
                <c:pt idx="23">
                  <c:v>5.1738490000000003E-3</c:v>
                </c:pt>
                <c:pt idx="24">
                  <c:v>5.1738490000000003E-3</c:v>
                </c:pt>
                <c:pt idx="25">
                  <c:v>5.1738490000000003E-3</c:v>
                </c:pt>
                <c:pt idx="26">
                  <c:v>5.1738490000000003E-3</c:v>
                </c:pt>
                <c:pt idx="27">
                  <c:v>5.1738490000000003E-3</c:v>
                </c:pt>
                <c:pt idx="28">
                  <c:v>4.9616629999999998E-3</c:v>
                </c:pt>
                <c:pt idx="29">
                  <c:v>4.9616629999999998E-3</c:v>
                </c:pt>
                <c:pt idx="30">
                  <c:v>4.9616629999999998E-3</c:v>
                </c:pt>
                <c:pt idx="31">
                  <c:v>4.9616629999999998E-3</c:v>
                </c:pt>
                <c:pt idx="32">
                  <c:v>4.9616629999999998E-3</c:v>
                </c:pt>
                <c:pt idx="33">
                  <c:v>4.9616629999999998E-3</c:v>
                </c:pt>
                <c:pt idx="34">
                  <c:v>4.9616629999999998E-3</c:v>
                </c:pt>
                <c:pt idx="35">
                  <c:v>5.4889559999999997E-3</c:v>
                </c:pt>
                <c:pt idx="36">
                  <c:v>5.4889559999999997E-3</c:v>
                </c:pt>
                <c:pt idx="37">
                  <c:v>5.4889559999999997E-3</c:v>
                </c:pt>
                <c:pt idx="38">
                  <c:v>5.4889559999999997E-3</c:v>
                </c:pt>
                <c:pt idx="39">
                  <c:v>5.4889559999999997E-3</c:v>
                </c:pt>
                <c:pt idx="40">
                  <c:v>5.4889559999999997E-3</c:v>
                </c:pt>
                <c:pt idx="41">
                  <c:v>5.4889559999999997E-3</c:v>
                </c:pt>
                <c:pt idx="42">
                  <c:v>1.1698037999999999E-2</c:v>
                </c:pt>
                <c:pt idx="43">
                  <c:v>1.1698037999999999E-2</c:v>
                </c:pt>
                <c:pt idx="44">
                  <c:v>1.1698037999999999E-2</c:v>
                </c:pt>
                <c:pt idx="45">
                  <c:v>1.1698037999999999E-2</c:v>
                </c:pt>
                <c:pt idx="46">
                  <c:v>1.1698037999999999E-2</c:v>
                </c:pt>
                <c:pt idx="47">
                  <c:v>1.1698037999999999E-2</c:v>
                </c:pt>
                <c:pt idx="48">
                  <c:v>1.1698037999999999E-2</c:v>
                </c:pt>
                <c:pt idx="49">
                  <c:v>6.6486219999999999E-3</c:v>
                </c:pt>
                <c:pt idx="50">
                  <c:v>6.6486219999999999E-3</c:v>
                </c:pt>
                <c:pt idx="51">
                  <c:v>6.6486219999999999E-3</c:v>
                </c:pt>
                <c:pt idx="52">
                  <c:v>6.6486219999999999E-3</c:v>
                </c:pt>
                <c:pt idx="53">
                  <c:v>6.6486219999999999E-3</c:v>
                </c:pt>
                <c:pt idx="54">
                  <c:v>6.6486219999999999E-3</c:v>
                </c:pt>
                <c:pt idx="55">
                  <c:v>6.6486219999999999E-3</c:v>
                </c:pt>
                <c:pt idx="56">
                  <c:v>7.4500080000000002E-3</c:v>
                </c:pt>
                <c:pt idx="57">
                  <c:v>7.4500080000000002E-3</c:v>
                </c:pt>
                <c:pt idx="58">
                  <c:v>7.4500080000000002E-3</c:v>
                </c:pt>
                <c:pt idx="59">
                  <c:v>7.4500080000000002E-3</c:v>
                </c:pt>
                <c:pt idx="60">
                  <c:v>7.4500080000000002E-3</c:v>
                </c:pt>
                <c:pt idx="61">
                  <c:v>7.4500080000000002E-3</c:v>
                </c:pt>
                <c:pt idx="62">
                  <c:v>7.4500080000000002E-3</c:v>
                </c:pt>
                <c:pt idx="63">
                  <c:v>8.0751109999999994E-3</c:v>
                </c:pt>
                <c:pt idx="64">
                  <c:v>8.0751109999999994E-3</c:v>
                </c:pt>
                <c:pt idx="65">
                  <c:v>8.0751109999999994E-3</c:v>
                </c:pt>
                <c:pt idx="66">
                  <c:v>8.0751109999999994E-3</c:v>
                </c:pt>
                <c:pt idx="67">
                  <c:v>8.0751109999999994E-3</c:v>
                </c:pt>
                <c:pt idx="68">
                  <c:v>8.0751109999999994E-3</c:v>
                </c:pt>
                <c:pt idx="69">
                  <c:v>8.0751109999999994E-3</c:v>
                </c:pt>
                <c:pt idx="70">
                  <c:v>9.0496640000000007E-3</c:v>
                </c:pt>
                <c:pt idx="71">
                  <c:v>9.0496640000000007E-3</c:v>
                </c:pt>
                <c:pt idx="72">
                  <c:v>9.0496640000000007E-3</c:v>
                </c:pt>
                <c:pt idx="73">
                  <c:v>9.0496640000000007E-3</c:v>
                </c:pt>
                <c:pt idx="74">
                  <c:v>9.0496640000000007E-3</c:v>
                </c:pt>
                <c:pt idx="75">
                  <c:v>9.0496640000000007E-3</c:v>
                </c:pt>
                <c:pt idx="76">
                  <c:v>9.0496640000000007E-3</c:v>
                </c:pt>
                <c:pt idx="77">
                  <c:v>1.6369547000000002E-2</c:v>
                </c:pt>
                <c:pt idx="78">
                  <c:v>1.6369547000000002E-2</c:v>
                </c:pt>
                <c:pt idx="79">
                  <c:v>1.6369547000000002E-2</c:v>
                </c:pt>
                <c:pt idx="80">
                  <c:v>1.6369547000000002E-2</c:v>
                </c:pt>
                <c:pt idx="81">
                  <c:v>1.6369547000000002E-2</c:v>
                </c:pt>
                <c:pt idx="82">
                  <c:v>1.6369547000000002E-2</c:v>
                </c:pt>
                <c:pt idx="83">
                  <c:v>1.6369547000000002E-2</c:v>
                </c:pt>
                <c:pt idx="84">
                  <c:v>6.3425879999999997E-3</c:v>
                </c:pt>
                <c:pt idx="85">
                  <c:v>6.3425879999999997E-3</c:v>
                </c:pt>
                <c:pt idx="86">
                  <c:v>6.3425879999999997E-3</c:v>
                </c:pt>
                <c:pt idx="87">
                  <c:v>6.3425879999999997E-3</c:v>
                </c:pt>
                <c:pt idx="88">
                  <c:v>6.3425879999999997E-3</c:v>
                </c:pt>
                <c:pt idx="89">
                  <c:v>6.3425879999999997E-3</c:v>
                </c:pt>
                <c:pt idx="90">
                  <c:v>6.3425879999999997E-3</c:v>
                </c:pt>
                <c:pt idx="91">
                  <c:v>5.096232E-3</c:v>
                </c:pt>
                <c:pt idx="92">
                  <c:v>5.096232E-3</c:v>
                </c:pt>
                <c:pt idx="93">
                  <c:v>5.096232E-3</c:v>
                </c:pt>
                <c:pt idx="94">
                  <c:v>5.096232E-3</c:v>
                </c:pt>
                <c:pt idx="95">
                  <c:v>5.096232E-3</c:v>
                </c:pt>
                <c:pt idx="96">
                  <c:v>5.096232E-3</c:v>
                </c:pt>
                <c:pt idx="97">
                  <c:v>5.096232E-3</c:v>
                </c:pt>
                <c:pt idx="98">
                  <c:v>4.1171250000000001E-3</c:v>
                </c:pt>
                <c:pt idx="99">
                  <c:v>4.1171250000000001E-3</c:v>
                </c:pt>
                <c:pt idx="100">
                  <c:v>4.1171250000000001E-3</c:v>
                </c:pt>
                <c:pt idx="101">
                  <c:v>4.1171250000000001E-3</c:v>
                </c:pt>
                <c:pt idx="102">
                  <c:v>4.1171250000000001E-3</c:v>
                </c:pt>
                <c:pt idx="103">
                  <c:v>4.1171250000000001E-3</c:v>
                </c:pt>
                <c:pt idx="104">
                  <c:v>4.1171250000000001E-3</c:v>
                </c:pt>
                <c:pt idx="105">
                  <c:v>7.445101E-3</c:v>
                </c:pt>
                <c:pt idx="106">
                  <c:v>7.445101E-3</c:v>
                </c:pt>
                <c:pt idx="107">
                  <c:v>7.445101E-3</c:v>
                </c:pt>
                <c:pt idx="108">
                  <c:v>7.445101E-3</c:v>
                </c:pt>
                <c:pt idx="109">
                  <c:v>7.445101E-3</c:v>
                </c:pt>
                <c:pt idx="110">
                  <c:v>7.445101E-3</c:v>
                </c:pt>
                <c:pt idx="111">
                  <c:v>7.445101E-3</c:v>
                </c:pt>
                <c:pt idx="112">
                  <c:v>3.2351979999999999E-3</c:v>
                </c:pt>
                <c:pt idx="113">
                  <c:v>3.2351979999999999E-3</c:v>
                </c:pt>
                <c:pt idx="114">
                  <c:v>3.2351979999999999E-3</c:v>
                </c:pt>
                <c:pt idx="115">
                  <c:v>3.2351979999999999E-3</c:v>
                </c:pt>
                <c:pt idx="116">
                  <c:v>3.2351979999999999E-3</c:v>
                </c:pt>
                <c:pt idx="117">
                  <c:v>3.2351979999999999E-3</c:v>
                </c:pt>
                <c:pt idx="118">
                  <c:v>3.2351979999999999E-3</c:v>
                </c:pt>
                <c:pt idx="119">
                  <c:v>2.963411E-3</c:v>
                </c:pt>
                <c:pt idx="120">
                  <c:v>2.963411E-3</c:v>
                </c:pt>
                <c:pt idx="121">
                  <c:v>2.963411E-3</c:v>
                </c:pt>
                <c:pt idx="122">
                  <c:v>2.963411E-3</c:v>
                </c:pt>
                <c:pt idx="123">
                  <c:v>2.963411E-3</c:v>
                </c:pt>
                <c:pt idx="124">
                  <c:v>2.963411E-3</c:v>
                </c:pt>
                <c:pt idx="125">
                  <c:v>2.963411E-3</c:v>
                </c:pt>
                <c:pt idx="126">
                  <c:v>2.702608E-3</c:v>
                </c:pt>
                <c:pt idx="127">
                  <c:v>2.702608E-3</c:v>
                </c:pt>
                <c:pt idx="128">
                  <c:v>2.702608E-3</c:v>
                </c:pt>
                <c:pt idx="129">
                  <c:v>2.702608E-3</c:v>
                </c:pt>
                <c:pt idx="130">
                  <c:v>2.702608E-3</c:v>
                </c:pt>
                <c:pt idx="131">
                  <c:v>2.702608E-3</c:v>
                </c:pt>
                <c:pt idx="132">
                  <c:v>2.702608E-3</c:v>
                </c:pt>
                <c:pt idx="133">
                  <c:v>2.9073549999999999E-3</c:v>
                </c:pt>
                <c:pt idx="134">
                  <c:v>2.9073549999999999E-3</c:v>
                </c:pt>
                <c:pt idx="135">
                  <c:v>2.9073549999999999E-3</c:v>
                </c:pt>
                <c:pt idx="136">
                  <c:v>2.9073549999999999E-3</c:v>
                </c:pt>
                <c:pt idx="137">
                  <c:v>2.9073549999999999E-3</c:v>
                </c:pt>
                <c:pt idx="138">
                  <c:v>2.9073549999999999E-3</c:v>
                </c:pt>
                <c:pt idx="139">
                  <c:v>2.9073549999999999E-3</c:v>
                </c:pt>
                <c:pt idx="140">
                  <c:v>4.4882409999999996E-3</c:v>
                </c:pt>
                <c:pt idx="141">
                  <c:v>4.4882409999999996E-3</c:v>
                </c:pt>
                <c:pt idx="142">
                  <c:v>4.4882409999999996E-3</c:v>
                </c:pt>
                <c:pt idx="143">
                  <c:v>4.4882409999999996E-3</c:v>
                </c:pt>
                <c:pt idx="144">
                  <c:v>4.4882409999999996E-3</c:v>
                </c:pt>
                <c:pt idx="145">
                  <c:v>4.4882409999999996E-3</c:v>
                </c:pt>
                <c:pt idx="146">
                  <c:v>4.4882409999999996E-3</c:v>
                </c:pt>
                <c:pt idx="147">
                  <c:v>1.53425E-3</c:v>
                </c:pt>
                <c:pt idx="148">
                  <c:v>1.53425E-3</c:v>
                </c:pt>
                <c:pt idx="149">
                  <c:v>1.53425E-3</c:v>
                </c:pt>
                <c:pt idx="150">
                  <c:v>1.53425E-3</c:v>
                </c:pt>
                <c:pt idx="151">
                  <c:v>1.53425E-3</c:v>
                </c:pt>
                <c:pt idx="152">
                  <c:v>1.53425E-3</c:v>
                </c:pt>
                <c:pt idx="153">
                  <c:v>1.53425E-3</c:v>
                </c:pt>
                <c:pt idx="154">
                  <c:v>1.182404E-3</c:v>
                </c:pt>
                <c:pt idx="155">
                  <c:v>1.182404E-3</c:v>
                </c:pt>
                <c:pt idx="156">
                  <c:v>1.182404E-3</c:v>
                </c:pt>
                <c:pt idx="157">
                  <c:v>1.182404E-3</c:v>
                </c:pt>
                <c:pt idx="158">
                  <c:v>1.182404E-3</c:v>
                </c:pt>
                <c:pt idx="159">
                  <c:v>1.182404E-3</c:v>
                </c:pt>
                <c:pt idx="160">
                  <c:v>1.182404E-3</c:v>
                </c:pt>
                <c:pt idx="161">
                  <c:v>8.3138500000000002E-4</c:v>
                </c:pt>
                <c:pt idx="162">
                  <c:v>8.3138500000000002E-4</c:v>
                </c:pt>
                <c:pt idx="163">
                  <c:v>8.3138500000000002E-4</c:v>
                </c:pt>
                <c:pt idx="164">
                  <c:v>8.3138500000000002E-4</c:v>
                </c:pt>
                <c:pt idx="165">
                  <c:v>8.3138500000000002E-4</c:v>
                </c:pt>
                <c:pt idx="166">
                  <c:v>8.3138500000000002E-4</c:v>
                </c:pt>
                <c:pt idx="167">
                  <c:v>8.3138500000000002E-4</c:v>
                </c:pt>
                <c:pt idx="168">
                  <c:v>1.9653259999999999E-3</c:v>
                </c:pt>
                <c:pt idx="169">
                  <c:v>1.9653259999999999E-3</c:v>
                </c:pt>
                <c:pt idx="170">
                  <c:v>1.9653259999999999E-3</c:v>
                </c:pt>
                <c:pt idx="171">
                  <c:v>1.9653259999999999E-3</c:v>
                </c:pt>
                <c:pt idx="172">
                  <c:v>1.9653259999999999E-3</c:v>
                </c:pt>
                <c:pt idx="173">
                  <c:v>1.9653259999999999E-3</c:v>
                </c:pt>
                <c:pt idx="174">
                  <c:v>1.9653259999999999E-3</c:v>
                </c:pt>
                <c:pt idx="175">
                  <c:v>1.140339E-3</c:v>
                </c:pt>
                <c:pt idx="176">
                  <c:v>1.140339E-3</c:v>
                </c:pt>
                <c:pt idx="177">
                  <c:v>1.140339E-3</c:v>
                </c:pt>
                <c:pt idx="178">
                  <c:v>1.140339E-3</c:v>
                </c:pt>
                <c:pt idx="179">
                  <c:v>1.140339E-3</c:v>
                </c:pt>
                <c:pt idx="180">
                  <c:v>1.140339E-3</c:v>
                </c:pt>
                <c:pt idx="181">
                  <c:v>1.140339E-3</c:v>
                </c:pt>
                <c:pt idx="182">
                  <c:v>1.33136E-3</c:v>
                </c:pt>
                <c:pt idx="183">
                  <c:v>1.33136E-3</c:v>
                </c:pt>
                <c:pt idx="184">
                  <c:v>1.33136E-3</c:v>
                </c:pt>
                <c:pt idx="185">
                  <c:v>1.33136E-3</c:v>
                </c:pt>
                <c:pt idx="186">
                  <c:v>1.33136E-3</c:v>
                </c:pt>
                <c:pt idx="187">
                  <c:v>1.33136E-3</c:v>
                </c:pt>
                <c:pt idx="188">
                  <c:v>1.33136E-3</c:v>
                </c:pt>
                <c:pt idx="189">
                  <c:v>1.421924E-3</c:v>
                </c:pt>
                <c:pt idx="190">
                  <c:v>1.421924E-3</c:v>
                </c:pt>
                <c:pt idx="191">
                  <c:v>1.421924E-3</c:v>
                </c:pt>
                <c:pt idx="192">
                  <c:v>1.421924E-3</c:v>
                </c:pt>
                <c:pt idx="193">
                  <c:v>1.421924E-3</c:v>
                </c:pt>
                <c:pt idx="194">
                  <c:v>1.421924E-3</c:v>
                </c:pt>
                <c:pt idx="195">
                  <c:v>1.421924E-3</c:v>
                </c:pt>
                <c:pt idx="196">
                  <c:v>2.6495339999999998E-3</c:v>
                </c:pt>
                <c:pt idx="197">
                  <c:v>2.6495339999999998E-3</c:v>
                </c:pt>
                <c:pt idx="198">
                  <c:v>2.6495339999999998E-3</c:v>
                </c:pt>
                <c:pt idx="199">
                  <c:v>2.6495339999999998E-3</c:v>
                </c:pt>
                <c:pt idx="200">
                  <c:v>2.6495339999999998E-3</c:v>
                </c:pt>
                <c:pt idx="201">
                  <c:v>2.6495339999999998E-3</c:v>
                </c:pt>
                <c:pt idx="202">
                  <c:v>2.6495339999999998E-3</c:v>
                </c:pt>
                <c:pt idx="203">
                  <c:v>1.0272910000000001E-3</c:v>
                </c:pt>
                <c:pt idx="204">
                  <c:v>1.0272910000000001E-3</c:v>
                </c:pt>
                <c:pt idx="205">
                  <c:v>1.0272910000000001E-3</c:v>
                </c:pt>
                <c:pt idx="206">
                  <c:v>1.0272910000000001E-3</c:v>
                </c:pt>
                <c:pt idx="207">
                  <c:v>1.0272910000000001E-3</c:v>
                </c:pt>
                <c:pt idx="208">
                  <c:v>1.0272910000000001E-3</c:v>
                </c:pt>
                <c:pt idx="209">
                  <c:v>1.0272910000000001E-3</c:v>
                </c:pt>
                <c:pt idx="210">
                  <c:v>7.29679E-4</c:v>
                </c:pt>
                <c:pt idx="211">
                  <c:v>7.29679E-4</c:v>
                </c:pt>
                <c:pt idx="212">
                  <c:v>7.29679E-4</c:v>
                </c:pt>
                <c:pt idx="213">
                  <c:v>7.29679E-4</c:v>
                </c:pt>
                <c:pt idx="214">
                  <c:v>7.29679E-4</c:v>
                </c:pt>
                <c:pt idx="215">
                  <c:v>7.29679E-4</c:v>
                </c:pt>
                <c:pt idx="216">
                  <c:v>7.29679E-4</c:v>
                </c:pt>
                <c:pt idx="217">
                  <c:v>4.7813499999999997E-4</c:v>
                </c:pt>
                <c:pt idx="218">
                  <c:v>4.7813499999999997E-4</c:v>
                </c:pt>
                <c:pt idx="219">
                  <c:v>4.7813499999999997E-4</c:v>
                </c:pt>
                <c:pt idx="220">
                  <c:v>4.7813499999999997E-4</c:v>
                </c:pt>
                <c:pt idx="221">
                  <c:v>4.7813499999999997E-4</c:v>
                </c:pt>
                <c:pt idx="222">
                  <c:v>4.7813499999999997E-4</c:v>
                </c:pt>
                <c:pt idx="223">
                  <c:v>4.7813499999999997E-4</c:v>
                </c:pt>
                <c:pt idx="224">
                  <c:v>4.1743699999999999E-4</c:v>
                </c:pt>
                <c:pt idx="225">
                  <c:v>4.1743699999999999E-4</c:v>
                </c:pt>
                <c:pt idx="226">
                  <c:v>4.1743699999999999E-4</c:v>
                </c:pt>
                <c:pt idx="227">
                  <c:v>4.1743699999999999E-4</c:v>
                </c:pt>
                <c:pt idx="228">
                  <c:v>4.1743699999999999E-4</c:v>
                </c:pt>
                <c:pt idx="229">
                  <c:v>4.1743699999999999E-4</c:v>
                </c:pt>
                <c:pt idx="230">
                  <c:v>4.1743699999999999E-4</c:v>
                </c:pt>
                <c:pt idx="231">
                  <c:v>5.3283699999999998E-4</c:v>
                </c:pt>
                <c:pt idx="232">
                  <c:v>5.3283699999999998E-4</c:v>
                </c:pt>
                <c:pt idx="233">
                  <c:v>5.3283699999999998E-4</c:v>
                </c:pt>
                <c:pt idx="234">
                  <c:v>5.3283699999999998E-4</c:v>
                </c:pt>
                <c:pt idx="235">
                  <c:v>5.3283699999999998E-4</c:v>
                </c:pt>
                <c:pt idx="236">
                  <c:v>5.3283699999999998E-4</c:v>
                </c:pt>
                <c:pt idx="237">
                  <c:v>5.3283699999999998E-4</c:v>
                </c:pt>
                <c:pt idx="238" formatCode="0.00E+00">
                  <c:v>9.7007800000000003E-5</c:v>
                </c:pt>
                <c:pt idx="239" formatCode="0.00E+00">
                  <c:v>9.7007800000000003E-5</c:v>
                </c:pt>
                <c:pt idx="240" formatCode="0.00E+00">
                  <c:v>9.7007800000000003E-5</c:v>
                </c:pt>
                <c:pt idx="241" formatCode="0.00E+00">
                  <c:v>9.7007800000000003E-5</c:v>
                </c:pt>
                <c:pt idx="242" formatCode="0.00E+00">
                  <c:v>9.7007800000000003E-5</c:v>
                </c:pt>
                <c:pt idx="243" formatCode="0.00E+00">
                  <c:v>9.7007800000000003E-5</c:v>
                </c:pt>
                <c:pt idx="244" formatCode="0.00E+00">
                  <c:v>9.7007800000000003E-5</c:v>
                </c:pt>
                <c:pt idx="245" formatCode="0.00E+00">
                  <c:v>2.6043699999999999E-5</c:v>
                </c:pt>
                <c:pt idx="246" formatCode="0.00E+00">
                  <c:v>2.6043699999999999E-5</c:v>
                </c:pt>
                <c:pt idx="247" formatCode="0.00E+00">
                  <c:v>2.6043699999999999E-5</c:v>
                </c:pt>
                <c:pt idx="248" formatCode="0.00E+00">
                  <c:v>2.6043699999999999E-5</c:v>
                </c:pt>
                <c:pt idx="249" formatCode="0.00E+00">
                  <c:v>2.6043699999999999E-5</c:v>
                </c:pt>
                <c:pt idx="250" formatCode="0.00E+00">
                  <c:v>2.6043699999999999E-5</c:v>
                </c:pt>
                <c:pt idx="251" formatCode="0.00E+00">
                  <c:v>2.6043699999999999E-5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42-CA4B-AF7D-614006088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4368352"/>
        <c:axId val="1"/>
      </c:lineChart>
      <c:catAx>
        <c:axId val="164368352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ln w="3175">
            <a:solidFill>
              <a:srgbClr val="E3E3E3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9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12700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en-US"/>
          </a:p>
        </c:txPr>
        <c:crossAx val="164368352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43091655266757867"/>
          <c:y val="0.93830334190231357"/>
          <c:w val="0.16279069767441862"/>
          <c:h val="4.11311053984575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%">
              <a:solidFill>
                <a:srgbClr val="333333"/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Aptos Narrow"/>
          <a:ea typeface="Aptos Narrow"/>
          <a:cs typeface="Aptos Narrow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purl.oclc.org/ooxml/officeDocument/relationships/chart" Target="../charts/chart1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3</xdr:col>
      <xdr:colOff>635000</xdr:colOff>
      <xdr:row>7</xdr:row>
      <xdr:rowOff>114300</xdr:rowOff>
    </xdr:from>
    <xdr:to>
      <xdr:col>15</xdr:col>
      <xdr:colOff>12700</xdr:colOff>
      <xdr:row>31</xdr:row>
      <xdr:rowOff>177800</xdr:rowOff>
    </xdr:to>
    <xdr:graphicFrame macro="">
      <xdr:nvGraphicFramePr>
        <xdr:cNvPr id="1027" name="Chart 1">
          <a:extLst>
            <a:ext uri="{FF2B5EF4-FFF2-40B4-BE49-F238E27FC236}">
              <a16:creationId xmlns:a16="http://schemas.microsoft.com/office/drawing/2014/main" id="{CAC1AA32-6EAC-16C6-618B-434DD7FEE1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81A6-E350-9A4B-9E81-24B9D61248A2}">
  <dimension ref="A1:S304"/>
  <sheetViews>
    <sheetView topLeftCell="Y1" workbookViewId="0">
      <selection activeCell="S2" sqref="S2:S302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tr">
        <f t="shared" ref="K1:Q1" si="0">B1</f>
        <v>0_0</v>
      </c>
      <c r="L1" t="str">
        <f t="shared" si="0"/>
        <v>1_4</v>
      </c>
      <c r="M1" t="str">
        <f t="shared" si="0"/>
        <v>5_12</v>
      </c>
      <c r="N1" t="str">
        <f t="shared" si="0"/>
        <v>13_17</v>
      </c>
      <c r="O1" t="str">
        <f t="shared" si="0"/>
        <v>18_49</v>
      </c>
      <c r="P1" t="str">
        <f t="shared" si="0"/>
        <v>50_64</v>
      </c>
      <c r="Q1" t="str">
        <f t="shared" si="0"/>
        <v>65_99</v>
      </c>
    </row>
    <row r="2" spans="1:19" x14ac:dyDescent="0.2">
      <c r="A2" s="1" t="d">
        <v>2025-08-16</v>
      </c>
      <c r="B2">
        <f>daily_original_wrong!B2*total_from_MA_dashboard!B$24</f>
        <v>0</v>
      </c>
      <c r="C2">
        <f>daily_original_wrong!C2*total_from_MA_dashboard!C$24</f>
        <v>0</v>
      </c>
      <c r="D2">
        <f>daily_original_wrong!D2*total_from_MA_dashboard!D$24</f>
        <v>0</v>
      </c>
      <c r="E2">
        <f>daily_original_wrong!E2*total_from_MA_dashboard!E$24</f>
        <v>0</v>
      </c>
      <c r="F2">
        <f>daily_original_wrong!F2*total_from_MA_dashboard!F$24</f>
        <v>0</v>
      </c>
      <c r="G2">
        <f>daily_original_wrong!G2*total_from_MA_dashboard!G$24</f>
        <v>0</v>
      </c>
      <c r="H2">
        <f>daily_original_wrong!H2*total_from_MA_dashboard!H$24</f>
        <v>0</v>
      </c>
      <c r="J2" t="str">
        <f>"["</f>
        <v>[</v>
      </c>
      <c r="K2" t="str">
        <f>"["&amp;B2&amp;"],"</f>
        <v>[0],</v>
      </c>
      <c r="L2" t="str">
        <f>"["&amp;C2&amp;"],"</f>
        <v>[0],</v>
      </c>
      <c r="M2" t="str">
        <f>"["&amp;D2&amp;"],"</f>
        <v>[0],</v>
      </c>
      <c r="N2" t="str">
        <f>"["&amp;E2&amp;"],"</f>
        <v>[0],</v>
      </c>
      <c r="O2" t="str">
        <f>"["&amp;F2&amp;"],"</f>
        <v>[0],</v>
      </c>
      <c r="P2" t="str">
        <f>"["&amp;G2&amp;"],"</f>
        <v>[0],</v>
      </c>
      <c r="Q2" t="str">
        <f>"["&amp;H2&amp;"]"</f>
        <v>[0]</v>
      </c>
      <c r="R2" t="str">
        <f>"]"</f>
        <v>]</v>
      </c>
      <c r="S2" t="str">
        <f>J2&amp;K2&amp;L2&amp;M2&amp;N2&amp;O2&amp;P2&amp;Q2&amp;R2</f>
        <v>[[0],[0],[0],[0],[0],[0],[0]]</v>
      </c>
    </row>
    <row r="3" spans="1:19" x14ac:dyDescent="0.2">
      <c r="A3" s="1" t="d">
        <v>2025-08-17</v>
      </c>
      <c r="B3">
        <f>daily_original_wrong!B3*total_from_MA_dashboard!B$24</f>
        <v>0</v>
      </c>
      <c r="C3">
        <f>daily_original_wrong!C3*total_from_MA_dashboard!C$24</f>
        <v>0</v>
      </c>
      <c r="D3">
        <f>daily_original_wrong!D3*total_from_MA_dashboard!D$24</f>
        <v>0</v>
      </c>
      <c r="E3">
        <f>daily_original_wrong!E3*total_from_MA_dashboard!E$24</f>
        <v>0</v>
      </c>
      <c r="F3">
        <f>daily_original_wrong!F3*total_from_MA_dashboard!F$24</f>
        <v>0</v>
      </c>
      <c r="G3">
        <f>daily_original_wrong!G3*total_from_MA_dashboard!G$24</f>
        <v>0</v>
      </c>
      <c r="H3">
        <f>daily_original_wrong!H3*total_from_MA_dashboard!H$24</f>
        <v>0</v>
      </c>
      <c r="J3" t="str">
        <f t="shared" ref="J3:J66" si="1">"["</f>
        <v>[</v>
      </c>
      <c r="K3" t="str">
        <f t="shared" ref="K3:K66" si="2">"["&amp;B3&amp;"],"</f>
        <v>[0],</v>
      </c>
      <c r="L3" t="str">
        <f t="shared" ref="L3:P53" si="3">"["&amp;C3&amp;"],"</f>
        <v>[0],</v>
      </c>
      <c r="M3" t="str">
        <f t="shared" si="3"/>
        <v>[0],</v>
      </c>
      <c r="N3" t="str">
        <f t="shared" si="3"/>
        <v>[0],</v>
      </c>
      <c r="O3" t="str">
        <f t="shared" si="3"/>
        <v>[0],</v>
      </c>
      <c r="P3" t="str">
        <f t="shared" si="3"/>
        <v>[0],</v>
      </c>
      <c r="Q3" t="str">
        <f t="shared" ref="Q3:Q66" si="4">"["&amp;H3&amp;"]"</f>
        <v>[0]</v>
      </c>
      <c r="R3" t="str">
        <f t="shared" ref="R3:R66" si="5">"]"</f>
        <v>]</v>
      </c>
      <c r="S3" t="str">
        <f t="shared" ref="S3:S66" si="6">J3&amp;K3&amp;L3&amp;M3&amp;N3&amp;O3&amp;P3&amp;Q3&amp;R3</f>
        <v>[[0],[0],[0],[0],[0],[0],[0]]</v>
      </c>
    </row>
    <row r="4" spans="1:19" x14ac:dyDescent="0.2">
      <c r="A4" s="1" t="d">
        <v>2025-08-18</v>
      </c>
      <c r="B4">
        <f>daily_original_wrong!B4*total_from_MA_dashboard!B$24</f>
        <v>0</v>
      </c>
      <c r="C4">
        <f>daily_original_wrong!C4*total_from_MA_dashboard!C$24</f>
        <v>0</v>
      </c>
      <c r="D4">
        <f>daily_original_wrong!D4*total_from_MA_dashboard!D$24</f>
        <v>0</v>
      </c>
      <c r="E4">
        <f>daily_original_wrong!E4*total_from_MA_dashboard!E$24</f>
        <v>0</v>
      </c>
      <c r="F4">
        <f>daily_original_wrong!F4*total_from_MA_dashboard!F$24</f>
        <v>0</v>
      </c>
      <c r="G4">
        <f>daily_original_wrong!G4*total_from_MA_dashboard!G$24</f>
        <v>0</v>
      </c>
      <c r="H4">
        <f>daily_original_wrong!H4*total_from_MA_dashboard!H$24</f>
        <v>0</v>
      </c>
      <c r="J4" t="str">
        <f t="shared" si="1"/>
        <v>[</v>
      </c>
      <c r="K4" t="str">
        <f t="shared" si="2"/>
        <v>[0],</v>
      </c>
      <c r="L4" t="str">
        <f t="shared" si="3"/>
        <v>[0],</v>
      </c>
      <c r="M4" t="str">
        <f t="shared" si="3"/>
        <v>[0],</v>
      </c>
      <c r="N4" t="str">
        <f t="shared" si="3"/>
        <v>[0],</v>
      </c>
      <c r="O4" t="str">
        <f t="shared" si="3"/>
        <v>[0],</v>
      </c>
      <c r="P4" t="str">
        <f t="shared" si="3"/>
        <v>[0],</v>
      </c>
      <c r="Q4" t="str">
        <f t="shared" si="4"/>
        <v>[0]</v>
      </c>
      <c r="R4" t="str">
        <f t="shared" si="5"/>
        <v>]</v>
      </c>
      <c r="S4" t="str">
        <f t="shared" si="6"/>
        <v>[[0],[0],[0],[0],[0],[0],[0]]</v>
      </c>
    </row>
    <row r="5" spans="1:19" x14ac:dyDescent="0.2">
      <c r="A5" s="1" t="d">
        <v>2025-08-19</v>
      </c>
      <c r="B5">
        <f>daily_original_wrong!B5*total_from_MA_dashboard!B$24</f>
        <v>0</v>
      </c>
      <c r="C5">
        <f>daily_original_wrong!C5*total_from_MA_dashboard!C$24</f>
        <v>0</v>
      </c>
      <c r="D5">
        <f>daily_original_wrong!D5*total_from_MA_dashboard!D$24</f>
        <v>0</v>
      </c>
      <c r="E5">
        <f>daily_original_wrong!E5*total_from_MA_dashboard!E$24</f>
        <v>0</v>
      </c>
      <c r="F5">
        <f>daily_original_wrong!F5*total_from_MA_dashboard!F$24</f>
        <v>0</v>
      </c>
      <c r="G5">
        <f>daily_original_wrong!G5*total_from_MA_dashboard!G$24</f>
        <v>0</v>
      </c>
      <c r="H5">
        <f>daily_original_wrong!H5*total_from_MA_dashboard!H$24</f>
        <v>0</v>
      </c>
      <c r="J5" t="str">
        <f t="shared" si="1"/>
        <v>[</v>
      </c>
      <c r="K5" t="str">
        <f t="shared" si="2"/>
        <v>[0],</v>
      </c>
      <c r="L5" t="str">
        <f t="shared" si="3"/>
        <v>[0],</v>
      </c>
      <c r="M5" t="str">
        <f t="shared" si="3"/>
        <v>[0],</v>
      </c>
      <c r="N5" t="str">
        <f t="shared" si="3"/>
        <v>[0],</v>
      </c>
      <c r="O5" t="str">
        <f t="shared" si="3"/>
        <v>[0],</v>
      </c>
      <c r="P5" t="str">
        <f t="shared" si="3"/>
        <v>[0],</v>
      </c>
      <c r="Q5" t="str">
        <f t="shared" si="4"/>
        <v>[0]</v>
      </c>
      <c r="R5" t="str">
        <f t="shared" si="5"/>
        <v>]</v>
      </c>
      <c r="S5" t="str">
        <f t="shared" si="6"/>
        <v>[[0],[0],[0],[0],[0],[0],[0]]</v>
      </c>
    </row>
    <row r="6" spans="1:19" x14ac:dyDescent="0.2">
      <c r="A6" s="1" t="d">
        <v>2025-08-20</v>
      </c>
      <c r="B6">
        <f>daily_original_wrong!B6*total_from_MA_dashboard!B$24</f>
        <v>0</v>
      </c>
      <c r="C6">
        <f>daily_original_wrong!C6*total_from_MA_dashboard!C$24</f>
        <v>0</v>
      </c>
      <c r="D6">
        <f>daily_original_wrong!D6*total_from_MA_dashboard!D$24</f>
        <v>0</v>
      </c>
      <c r="E6">
        <f>daily_original_wrong!E6*total_from_MA_dashboard!E$24</f>
        <v>0</v>
      </c>
      <c r="F6">
        <f>daily_original_wrong!F6*total_from_MA_dashboard!F$24</f>
        <v>0</v>
      </c>
      <c r="G6">
        <f>daily_original_wrong!G6*total_from_MA_dashboard!G$24</f>
        <v>0</v>
      </c>
      <c r="H6">
        <f>daily_original_wrong!H6*total_from_MA_dashboard!H$24</f>
        <v>0</v>
      </c>
      <c r="J6" t="str">
        <f t="shared" si="1"/>
        <v>[</v>
      </c>
      <c r="K6" t="str">
        <f t="shared" si="2"/>
        <v>[0],</v>
      </c>
      <c r="L6" t="str">
        <f t="shared" si="3"/>
        <v>[0],</v>
      </c>
      <c r="M6" t="str">
        <f t="shared" si="3"/>
        <v>[0],</v>
      </c>
      <c r="N6" t="str">
        <f t="shared" si="3"/>
        <v>[0],</v>
      </c>
      <c r="O6" t="str">
        <f t="shared" si="3"/>
        <v>[0],</v>
      </c>
      <c r="P6" t="str">
        <f t="shared" si="3"/>
        <v>[0],</v>
      </c>
      <c r="Q6" t="str">
        <f t="shared" si="4"/>
        <v>[0]</v>
      </c>
      <c r="R6" t="str">
        <f t="shared" si="5"/>
        <v>]</v>
      </c>
      <c r="S6" t="str">
        <f t="shared" si="6"/>
        <v>[[0],[0],[0],[0],[0],[0],[0]]</v>
      </c>
    </row>
    <row r="7" spans="1:19" x14ac:dyDescent="0.2">
      <c r="A7" s="1" t="d">
        <v>2025-08-21</v>
      </c>
      <c r="B7">
        <f>daily_original_wrong!B7*total_from_MA_dashboard!B$24</f>
        <v>0</v>
      </c>
      <c r="C7">
        <f>daily_original_wrong!C7*total_from_MA_dashboard!C$24</f>
        <v>0</v>
      </c>
      <c r="D7">
        <f>daily_original_wrong!D7*total_from_MA_dashboard!D$24</f>
        <v>0</v>
      </c>
      <c r="E7">
        <f>daily_original_wrong!E7*total_from_MA_dashboard!E$24</f>
        <v>0</v>
      </c>
      <c r="F7">
        <f>daily_original_wrong!F7*total_from_MA_dashboard!F$24</f>
        <v>0</v>
      </c>
      <c r="G7">
        <f>daily_original_wrong!G7*total_from_MA_dashboard!G$24</f>
        <v>0</v>
      </c>
      <c r="H7">
        <f>daily_original_wrong!H7*total_from_MA_dashboard!H$24</f>
        <v>0</v>
      </c>
      <c r="J7" t="str">
        <f t="shared" si="1"/>
        <v>[</v>
      </c>
      <c r="K7" t="str">
        <f t="shared" si="2"/>
        <v>[0],</v>
      </c>
      <c r="L7" t="str">
        <f t="shared" si="3"/>
        <v>[0],</v>
      </c>
      <c r="M7" t="str">
        <f t="shared" si="3"/>
        <v>[0],</v>
      </c>
      <c r="N7" t="str">
        <f t="shared" si="3"/>
        <v>[0],</v>
      </c>
      <c r="O7" t="str">
        <f t="shared" si="3"/>
        <v>[0],</v>
      </c>
      <c r="P7" t="str">
        <f t="shared" si="3"/>
        <v>[0],</v>
      </c>
      <c r="Q7" t="str">
        <f t="shared" si="4"/>
        <v>[0]</v>
      </c>
      <c r="R7" t="str">
        <f t="shared" si="5"/>
        <v>]</v>
      </c>
      <c r="S7" t="str">
        <f t="shared" si="6"/>
        <v>[[0],[0],[0],[0],[0],[0],[0]]</v>
      </c>
    </row>
    <row r="8" spans="1:19" x14ac:dyDescent="0.2">
      <c r="A8" s="1" t="d">
        <v>2025-08-22</v>
      </c>
      <c r="B8">
        <f>daily_original_wrong!B8*total_from_MA_dashboard!B$24</f>
        <v>0</v>
      </c>
      <c r="C8">
        <f>daily_original_wrong!C8*total_from_MA_dashboard!C$24</f>
        <v>0</v>
      </c>
      <c r="D8">
        <f>daily_original_wrong!D8*total_from_MA_dashboard!D$24</f>
        <v>0</v>
      </c>
      <c r="E8">
        <f>daily_original_wrong!E8*total_from_MA_dashboard!E$24</f>
        <v>0</v>
      </c>
      <c r="F8">
        <f>daily_original_wrong!F8*total_from_MA_dashboard!F$24</f>
        <v>0</v>
      </c>
      <c r="G8">
        <f>daily_original_wrong!G8*total_from_MA_dashboard!G$24</f>
        <v>0</v>
      </c>
      <c r="H8">
        <f>daily_original_wrong!H8*total_from_MA_dashboard!H$24</f>
        <v>0</v>
      </c>
      <c r="J8" t="str">
        <f t="shared" si="1"/>
        <v>[</v>
      </c>
      <c r="K8" t="str">
        <f t="shared" si="2"/>
        <v>[0],</v>
      </c>
      <c r="L8" t="str">
        <f t="shared" si="3"/>
        <v>[0],</v>
      </c>
      <c r="M8" t="str">
        <f t="shared" si="3"/>
        <v>[0],</v>
      </c>
      <c r="N8" t="str">
        <f t="shared" si="3"/>
        <v>[0],</v>
      </c>
      <c r="O8" t="str">
        <f t="shared" si="3"/>
        <v>[0],</v>
      </c>
      <c r="P8" t="str">
        <f t="shared" si="3"/>
        <v>[0],</v>
      </c>
      <c r="Q8" t="str">
        <f t="shared" si="4"/>
        <v>[0]</v>
      </c>
      <c r="R8" t="str">
        <f t="shared" si="5"/>
        <v>]</v>
      </c>
      <c r="S8" t="str">
        <f t="shared" si="6"/>
        <v>[[0],[0],[0],[0],[0],[0],[0]]</v>
      </c>
    </row>
    <row r="9" spans="1:19" x14ac:dyDescent="0.2">
      <c r="A9" s="1" t="d">
        <v>2025-08-23</v>
      </c>
      <c r="B9">
        <f>daily_original_wrong!B9*total_from_MA_dashboard!B$24</f>
        <v>0</v>
      </c>
      <c r="C9">
        <f>daily_original_wrong!C9*total_from_MA_dashboard!C$24</f>
        <v>0</v>
      </c>
      <c r="D9">
        <f>daily_original_wrong!D9*total_from_MA_dashboard!D$24</f>
        <v>0</v>
      </c>
      <c r="E9">
        <f>daily_original_wrong!E9*total_from_MA_dashboard!E$24</f>
        <v>0</v>
      </c>
      <c r="F9">
        <f>daily_original_wrong!F9*total_from_MA_dashboard!F$24</f>
        <v>0</v>
      </c>
      <c r="G9">
        <f>daily_original_wrong!G9*total_from_MA_dashboard!G$24</f>
        <v>0</v>
      </c>
      <c r="H9">
        <f>daily_original_wrong!H9*total_from_MA_dashboard!H$24</f>
        <v>0</v>
      </c>
      <c r="J9" t="str">
        <f t="shared" si="1"/>
        <v>[</v>
      </c>
      <c r="K9" t="str">
        <f t="shared" si="2"/>
        <v>[0],</v>
      </c>
      <c r="L9" t="str">
        <f t="shared" si="3"/>
        <v>[0],</v>
      </c>
      <c r="M9" t="str">
        <f t="shared" si="3"/>
        <v>[0],</v>
      </c>
      <c r="N9" t="str">
        <f t="shared" si="3"/>
        <v>[0],</v>
      </c>
      <c r="O9" t="str">
        <f t="shared" si="3"/>
        <v>[0],</v>
      </c>
      <c r="P9" t="str">
        <f t="shared" si="3"/>
        <v>[0],</v>
      </c>
      <c r="Q9" t="str">
        <f t="shared" si="4"/>
        <v>[0]</v>
      </c>
      <c r="R9" t="str">
        <f t="shared" si="5"/>
        <v>]</v>
      </c>
      <c r="S9" t="str">
        <f t="shared" si="6"/>
        <v>[[0],[0],[0],[0],[0],[0],[0]]</v>
      </c>
    </row>
    <row r="10" spans="1:19" x14ac:dyDescent="0.2">
      <c r="A10" s="1" t="d">
        <v>2025-08-24</v>
      </c>
      <c r="B10">
        <f>daily_original_wrong!B10*total_from_MA_dashboard!B$24</f>
        <v>0</v>
      </c>
      <c r="C10">
        <f>daily_original_wrong!C10*total_from_MA_dashboard!C$24</f>
        <v>0</v>
      </c>
      <c r="D10">
        <f>daily_original_wrong!D10*total_from_MA_dashboard!D$24</f>
        <v>0</v>
      </c>
      <c r="E10">
        <f>daily_original_wrong!E10*total_from_MA_dashboard!E$24</f>
        <v>0</v>
      </c>
      <c r="F10">
        <f>daily_original_wrong!F10*total_from_MA_dashboard!F$24</f>
        <v>0</v>
      </c>
      <c r="G10">
        <f>daily_original_wrong!G10*total_from_MA_dashboard!G$24</f>
        <v>0</v>
      </c>
      <c r="H10">
        <f>daily_original_wrong!H10*total_from_MA_dashboard!H$24</f>
        <v>0</v>
      </c>
      <c r="J10" t="str">
        <f t="shared" si="1"/>
        <v>[</v>
      </c>
      <c r="K10" t="str">
        <f t="shared" si="2"/>
        <v>[0],</v>
      </c>
      <c r="L10" t="str">
        <f t="shared" si="3"/>
        <v>[0],</v>
      </c>
      <c r="M10" t="str">
        <f t="shared" si="3"/>
        <v>[0],</v>
      </c>
      <c r="N10" t="str">
        <f t="shared" si="3"/>
        <v>[0],</v>
      </c>
      <c r="O10" t="str">
        <f t="shared" si="3"/>
        <v>[0],</v>
      </c>
      <c r="P10" t="str">
        <f t="shared" si="3"/>
        <v>[0],</v>
      </c>
      <c r="Q10" t="str">
        <f t="shared" si="4"/>
        <v>[0]</v>
      </c>
      <c r="R10" t="str">
        <f t="shared" si="5"/>
        <v>]</v>
      </c>
      <c r="S10" t="str">
        <f t="shared" si="6"/>
        <v>[[0],[0],[0],[0],[0],[0],[0]]</v>
      </c>
    </row>
    <row r="11" spans="1:19" x14ac:dyDescent="0.2">
      <c r="A11" s="1" t="d">
        <v>2025-08-25</v>
      </c>
      <c r="B11">
        <f>daily_original_wrong!B11*total_from_MA_dashboard!B$24</f>
        <v>0</v>
      </c>
      <c r="C11">
        <f>daily_original_wrong!C11*total_from_MA_dashboard!C$24</f>
        <v>0</v>
      </c>
      <c r="D11">
        <f>daily_original_wrong!D11*total_from_MA_dashboard!D$24</f>
        <v>0</v>
      </c>
      <c r="E11">
        <f>daily_original_wrong!E11*total_from_MA_dashboard!E$24</f>
        <v>0</v>
      </c>
      <c r="F11">
        <f>daily_original_wrong!F11*total_from_MA_dashboard!F$24</f>
        <v>0</v>
      </c>
      <c r="G11">
        <f>daily_original_wrong!G11*total_from_MA_dashboard!G$24</f>
        <v>0</v>
      </c>
      <c r="H11">
        <f>daily_original_wrong!H11*total_from_MA_dashboard!H$24</f>
        <v>0</v>
      </c>
      <c r="J11" t="str">
        <f t="shared" si="1"/>
        <v>[</v>
      </c>
      <c r="K11" t="str">
        <f t="shared" si="2"/>
        <v>[0],</v>
      </c>
      <c r="L11" t="str">
        <f t="shared" si="3"/>
        <v>[0],</v>
      </c>
      <c r="M11" t="str">
        <f t="shared" si="3"/>
        <v>[0],</v>
      </c>
      <c r="N11" t="str">
        <f t="shared" si="3"/>
        <v>[0],</v>
      </c>
      <c r="O11" t="str">
        <f t="shared" si="3"/>
        <v>[0],</v>
      </c>
      <c r="P11" t="str">
        <f t="shared" si="3"/>
        <v>[0],</v>
      </c>
      <c r="Q11" t="str">
        <f t="shared" si="4"/>
        <v>[0]</v>
      </c>
      <c r="R11" t="str">
        <f t="shared" si="5"/>
        <v>]</v>
      </c>
      <c r="S11" t="str">
        <f t="shared" si="6"/>
        <v>[[0],[0],[0],[0],[0],[0],[0]]</v>
      </c>
    </row>
    <row r="12" spans="1:19" x14ac:dyDescent="0.2">
      <c r="A12" s="1" t="d">
        <v>2025-08-26</v>
      </c>
      <c r="B12">
        <f>daily_original_wrong!B12*total_from_MA_dashboard!B$24</f>
        <v>0</v>
      </c>
      <c r="C12">
        <f>daily_original_wrong!C12*total_from_MA_dashboard!C$24</f>
        <v>0</v>
      </c>
      <c r="D12">
        <f>daily_original_wrong!D12*total_from_MA_dashboard!D$24</f>
        <v>0</v>
      </c>
      <c r="E12">
        <f>daily_original_wrong!E12*total_from_MA_dashboard!E$24</f>
        <v>0</v>
      </c>
      <c r="F12">
        <f>daily_original_wrong!F12*total_from_MA_dashboard!F$24</f>
        <v>0</v>
      </c>
      <c r="G12">
        <f>daily_original_wrong!G12*total_from_MA_dashboard!G$24</f>
        <v>0</v>
      </c>
      <c r="H12">
        <f>daily_original_wrong!H12*total_from_MA_dashboard!H$24</f>
        <v>0</v>
      </c>
      <c r="J12" t="str">
        <f t="shared" si="1"/>
        <v>[</v>
      </c>
      <c r="K12" t="str">
        <f t="shared" si="2"/>
        <v>[0],</v>
      </c>
      <c r="L12" t="str">
        <f t="shared" si="3"/>
        <v>[0],</v>
      </c>
      <c r="M12" t="str">
        <f t="shared" si="3"/>
        <v>[0],</v>
      </c>
      <c r="N12" t="str">
        <f t="shared" si="3"/>
        <v>[0],</v>
      </c>
      <c r="O12" t="str">
        <f t="shared" si="3"/>
        <v>[0],</v>
      </c>
      <c r="P12" t="str">
        <f t="shared" si="3"/>
        <v>[0],</v>
      </c>
      <c r="Q12" t="str">
        <f t="shared" si="4"/>
        <v>[0]</v>
      </c>
      <c r="R12" t="str">
        <f t="shared" si="5"/>
        <v>]</v>
      </c>
      <c r="S12" t="str">
        <f t="shared" si="6"/>
        <v>[[0],[0],[0],[0],[0],[0],[0]]</v>
      </c>
    </row>
    <row r="13" spans="1:19" x14ac:dyDescent="0.2">
      <c r="A13" s="1" t="d">
        <v>2025-08-27</v>
      </c>
      <c r="B13">
        <f>daily_original_wrong!B13*total_from_MA_dashboard!B$24</f>
        <v>0</v>
      </c>
      <c r="C13">
        <f>daily_original_wrong!C13*total_from_MA_dashboard!C$24</f>
        <v>0</v>
      </c>
      <c r="D13">
        <f>daily_original_wrong!D13*total_from_MA_dashboard!D$24</f>
        <v>0</v>
      </c>
      <c r="E13">
        <f>daily_original_wrong!E13*total_from_MA_dashboard!E$24</f>
        <v>0</v>
      </c>
      <c r="F13">
        <f>daily_original_wrong!F13*total_from_MA_dashboard!F$24</f>
        <v>0</v>
      </c>
      <c r="G13">
        <f>daily_original_wrong!G13*total_from_MA_dashboard!G$24</f>
        <v>0</v>
      </c>
      <c r="H13">
        <f>daily_original_wrong!H13*total_from_MA_dashboard!H$24</f>
        <v>0</v>
      </c>
      <c r="J13" t="str">
        <f t="shared" si="1"/>
        <v>[</v>
      </c>
      <c r="K13" t="str">
        <f t="shared" si="2"/>
        <v>[0],</v>
      </c>
      <c r="L13" t="str">
        <f t="shared" si="3"/>
        <v>[0],</v>
      </c>
      <c r="M13" t="str">
        <f t="shared" si="3"/>
        <v>[0],</v>
      </c>
      <c r="N13" t="str">
        <f t="shared" si="3"/>
        <v>[0],</v>
      </c>
      <c r="O13" t="str">
        <f t="shared" si="3"/>
        <v>[0],</v>
      </c>
      <c r="P13" t="str">
        <f t="shared" si="3"/>
        <v>[0],</v>
      </c>
      <c r="Q13" t="str">
        <f t="shared" si="4"/>
        <v>[0]</v>
      </c>
      <c r="R13" t="str">
        <f t="shared" si="5"/>
        <v>]</v>
      </c>
      <c r="S13" t="str">
        <f t="shared" si="6"/>
        <v>[[0],[0],[0],[0],[0],[0],[0]]</v>
      </c>
    </row>
    <row r="14" spans="1:19" x14ac:dyDescent="0.2">
      <c r="A14" s="1" t="d">
        <v>2025-08-28</v>
      </c>
      <c r="B14">
        <f>daily_original_wrong!B14*total_from_MA_dashboard!B$24</f>
        <v>0</v>
      </c>
      <c r="C14">
        <f>daily_original_wrong!C14*total_from_MA_dashboard!C$24</f>
        <v>0</v>
      </c>
      <c r="D14">
        <f>daily_original_wrong!D14*total_from_MA_dashboard!D$24</f>
        <v>0</v>
      </c>
      <c r="E14">
        <f>daily_original_wrong!E14*total_from_MA_dashboard!E$24</f>
        <v>0</v>
      </c>
      <c r="F14">
        <f>daily_original_wrong!F14*total_from_MA_dashboard!F$24</f>
        <v>0</v>
      </c>
      <c r="G14">
        <f>daily_original_wrong!G14*total_from_MA_dashboard!G$24</f>
        <v>0</v>
      </c>
      <c r="H14">
        <f>daily_original_wrong!H14*total_from_MA_dashboard!H$24</f>
        <v>0</v>
      </c>
      <c r="J14" t="str">
        <f t="shared" si="1"/>
        <v>[</v>
      </c>
      <c r="K14" t="str">
        <f t="shared" si="2"/>
        <v>[0],</v>
      </c>
      <c r="L14" t="str">
        <f t="shared" si="3"/>
        <v>[0],</v>
      </c>
      <c r="M14" t="str">
        <f t="shared" si="3"/>
        <v>[0],</v>
      </c>
      <c r="N14" t="str">
        <f t="shared" si="3"/>
        <v>[0],</v>
      </c>
      <c r="O14" t="str">
        <f t="shared" si="3"/>
        <v>[0],</v>
      </c>
      <c r="P14" t="str">
        <f t="shared" si="3"/>
        <v>[0],</v>
      </c>
      <c r="Q14" t="str">
        <f t="shared" si="4"/>
        <v>[0]</v>
      </c>
      <c r="R14" t="str">
        <f t="shared" si="5"/>
        <v>]</v>
      </c>
      <c r="S14" t="str">
        <f t="shared" si="6"/>
        <v>[[0],[0],[0],[0],[0],[0],[0]]</v>
      </c>
    </row>
    <row r="15" spans="1:19" x14ac:dyDescent="0.2">
      <c r="A15" s="1" t="d">
        <v>2025-08-29</v>
      </c>
      <c r="B15">
        <f>daily_original_wrong!B15*total_from_MA_dashboard!B$24</f>
        <v>0</v>
      </c>
      <c r="C15">
        <f>daily_original_wrong!C15*total_from_MA_dashboard!C$24</f>
        <v>0</v>
      </c>
      <c r="D15">
        <f>daily_original_wrong!D15*total_from_MA_dashboard!D$24</f>
        <v>0</v>
      </c>
      <c r="E15">
        <f>daily_original_wrong!E15*total_from_MA_dashboard!E$24</f>
        <v>0</v>
      </c>
      <c r="F15">
        <f>daily_original_wrong!F15*total_from_MA_dashboard!F$24</f>
        <v>0</v>
      </c>
      <c r="G15">
        <f>daily_original_wrong!G15*total_from_MA_dashboard!G$24</f>
        <v>0</v>
      </c>
      <c r="H15">
        <f>daily_original_wrong!H15*total_from_MA_dashboard!H$24</f>
        <v>0</v>
      </c>
      <c r="J15" t="str">
        <f t="shared" si="1"/>
        <v>[</v>
      </c>
      <c r="K15" t="str">
        <f t="shared" si="2"/>
        <v>[0],</v>
      </c>
      <c r="L15" t="str">
        <f t="shared" si="3"/>
        <v>[0],</v>
      </c>
      <c r="M15" t="str">
        <f t="shared" si="3"/>
        <v>[0],</v>
      </c>
      <c r="N15" t="str">
        <f t="shared" si="3"/>
        <v>[0],</v>
      </c>
      <c r="O15" t="str">
        <f t="shared" si="3"/>
        <v>[0],</v>
      </c>
      <c r="P15" t="str">
        <f t="shared" si="3"/>
        <v>[0],</v>
      </c>
      <c r="Q15" t="str">
        <f t="shared" si="4"/>
        <v>[0]</v>
      </c>
      <c r="R15" t="str">
        <f t="shared" si="5"/>
        <v>]</v>
      </c>
      <c r="S15" t="str">
        <f t="shared" si="6"/>
        <v>[[0],[0],[0],[0],[0],[0],[0]]</v>
      </c>
    </row>
    <row r="16" spans="1:19" x14ac:dyDescent="0.2">
      <c r="A16" s="1" t="d">
        <v>2025-08-30</v>
      </c>
      <c r="B16">
        <f>daily_original_wrong!B16*total_from_MA_dashboard!B$24</f>
        <v>0</v>
      </c>
      <c r="C16">
        <f>daily_original_wrong!C16*total_from_MA_dashboard!C$24</f>
        <v>0</v>
      </c>
      <c r="D16">
        <f>daily_original_wrong!D16*total_from_MA_dashboard!D$24</f>
        <v>0</v>
      </c>
      <c r="E16">
        <f>daily_original_wrong!E16*total_from_MA_dashboard!E$24</f>
        <v>0</v>
      </c>
      <c r="F16">
        <f>daily_original_wrong!F16*total_from_MA_dashboard!F$24</f>
        <v>0</v>
      </c>
      <c r="G16">
        <f>daily_original_wrong!G16*total_from_MA_dashboard!G$24</f>
        <v>0</v>
      </c>
      <c r="H16">
        <f>daily_original_wrong!H16*total_from_MA_dashboard!H$24</f>
        <v>0</v>
      </c>
      <c r="J16" t="str">
        <f t="shared" si="1"/>
        <v>[</v>
      </c>
      <c r="K16" t="str">
        <f t="shared" si="2"/>
        <v>[0],</v>
      </c>
      <c r="L16" t="str">
        <f t="shared" si="3"/>
        <v>[0],</v>
      </c>
      <c r="M16" t="str">
        <f t="shared" si="3"/>
        <v>[0],</v>
      </c>
      <c r="N16" t="str">
        <f t="shared" si="3"/>
        <v>[0],</v>
      </c>
      <c r="O16" t="str">
        <f t="shared" si="3"/>
        <v>[0],</v>
      </c>
      <c r="P16" t="str">
        <f t="shared" si="3"/>
        <v>[0],</v>
      </c>
      <c r="Q16" t="str">
        <f t="shared" si="4"/>
        <v>[0]</v>
      </c>
      <c r="R16" t="str">
        <f t="shared" si="5"/>
        <v>]</v>
      </c>
      <c r="S16" t="str">
        <f t="shared" si="6"/>
        <v>[[0],[0],[0],[0],[0],[0],[0]]</v>
      </c>
    </row>
    <row r="17" spans="1:19" x14ac:dyDescent="0.2">
      <c r="A17" s="1" t="d">
        <v>2025-08-31</v>
      </c>
      <c r="B17">
        <f>daily_original_wrong!B17*total_from_MA_dashboard!B$24</f>
        <v>0</v>
      </c>
      <c r="C17">
        <f>daily_original_wrong!C17*total_from_MA_dashboard!C$24</f>
        <v>0</v>
      </c>
      <c r="D17">
        <f>daily_original_wrong!D17*total_from_MA_dashboard!D$24</f>
        <v>0</v>
      </c>
      <c r="E17">
        <f>daily_original_wrong!E17*total_from_MA_dashboard!E$24</f>
        <v>0</v>
      </c>
      <c r="F17">
        <f>daily_original_wrong!F17*total_from_MA_dashboard!F$24</f>
        <v>0</v>
      </c>
      <c r="G17">
        <f>daily_original_wrong!G17*total_from_MA_dashboard!G$24</f>
        <v>0</v>
      </c>
      <c r="H17">
        <f>daily_original_wrong!H17*total_from_MA_dashboard!H$24</f>
        <v>0</v>
      </c>
      <c r="J17" t="str">
        <f t="shared" si="1"/>
        <v>[</v>
      </c>
      <c r="K17" t="str">
        <f t="shared" si="2"/>
        <v>[0],</v>
      </c>
      <c r="L17" t="str">
        <f t="shared" si="3"/>
        <v>[0],</v>
      </c>
      <c r="M17" t="str">
        <f t="shared" si="3"/>
        <v>[0],</v>
      </c>
      <c r="N17" t="str">
        <f t="shared" si="3"/>
        <v>[0],</v>
      </c>
      <c r="O17" t="str">
        <f t="shared" si="3"/>
        <v>[0],</v>
      </c>
      <c r="P17" t="str">
        <f t="shared" si="3"/>
        <v>[0],</v>
      </c>
      <c r="Q17" t="str">
        <f t="shared" si="4"/>
        <v>[0]</v>
      </c>
      <c r="R17" t="str">
        <f t="shared" si="5"/>
        <v>]</v>
      </c>
      <c r="S17" t="str">
        <f t="shared" si="6"/>
        <v>[[0],[0],[0],[0],[0],[0],[0]]</v>
      </c>
    </row>
    <row r="18" spans="1:19" x14ac:dyDescent="0.2">
      <c r="A18" s="1" t="d">
        <v>2025-09-01</v>
      </c>
      <c r="B18">
        <f>daily_original_wrong!B18*total_from_MA_dashboard!B$24</f>
        <v>0</v>
      </c>
      <c r="C18">
        <f>daily_original_wrong!C18*total_from_MA_dashboard!C$24</f>
        <v>0</v>
      </c>
      <c r="D18">
        <f>daily_original_wrong!D18*total_from_MA_dashboard!D$24</f>
        <v>0</v>
      </c>
      <c r="E18">
        <f>daily_original_wrong!E18*total_from_MA_dashboard!E$24</f>
        <v>0</v>
      </c>
      <c r="F18">
        <f>daily_original_wrong!F18*total_from_MA_dashboard!F$24</f>
        <v>0</v>
      </c>
      <c r="G18">
        <f>daily_original_wrong!G18*total_from_MA_dashboard!G$24</f>
        <v>0</v>
      </c>
      <c r="H18">
        <f>daily_original_wrong!H18*total_from_MA_dashboard!H$24</f>
        <v>0</v>
      </c>
      <c r="J18" t="str">
        <f t="shared" si="1"/>
        <v>[</v>
      </c>
      <c r="K18" t="str">
        <f t="shared" si="2"/>
        <v>[0],</v>
      </c>
      <c r="L18" t="str">
        <f t="shared" si="3"/>
        <v>[0],</v>
      </c>
      <c r="M18" t="str">
        <f t="shared" si="3"/>
        <v>[0],</v>
      </c>
      <c r="N18" t="str">
        <f t="shared" si="3"/>
        <v>[0],</v>
      </c>
      <c r="O18" t="str">
        <f t="shared" si="3"/>
        <v>[0],</v>
      </c>
      <c r="P18" t="str">
        <f t="shared" si="3"/>
        <v>[0],</v>
      </c>
      <c r="Q18" t="str">
        <f t="shared" si="4"/>
        <v>[0]</v>
      </c>
      <c r="R18" t="str">
        <f t="shared" si="5"/>
        <v>]</v>
      </c>
      <c r="S18" t="str">
        <f t="shared" si="6"/>
        <v>[[0],[0],[0],[0],[0],[0],[0]]</v>
      </c>
    </row>
    <row r="19" spans="1:19" x14ac:dyDescent="0.2">
      <c r="A19" s="1" t="d">
        <v>2025-09-02</v>
      </c>
      <c r="B19">
        <f>daily_original_wrong!B19*total_from_MA_dashboard!B$24</f>
        <v>0</v>
      </c>
      <c r="C19">
        <f>daily_original_wrong!C19*total_from_MA_dashboard!C$24</f>
        <v>0</v>
      </c>
      <c r="D19">
        <f>daily_original_wrong!D19*total_from_MA_dashboard!D$24</f>
        <v>0</v>
      </c>
      <c r="E19">
        <f>daily_original_wrong!E19*total_from_MA_dashboard!E$24</f>
        <v>0</v>
      </c>
      <c r="F19">
        <f>daily_original_wrong!F19*total_from_MA_dashboard!F$24</f>
        <v>0</v>
      </c>
      <c r="G19">
        <f>daily_original_wrong!G19*total_from_MA_dashboard!G$24</f>
        <v>0</v>
      </c>
      <c r="H19">
        <f>daily_original_wrong!H19*total_from_MA_dashboard!H$24</f>
        <v>0</v>
      </c>
      <c r="J19" t="str">
        <f t="shared" si="1"/>
        <v>[</v>
      </c>
      <c r="K19" t="str">
        <f t="shared" si="2"/>
        <v>[0],</v>
      </c>
      <c r="L19" t="str">
        <f t="shared" si="3"/>
        <v>[0],</v>
      </c>
      <c r="M19" t="str">
        <f t="shared" si="3"/>
        <v>[0],</v>
      </c>
      <c r="N19" t="str">
        <f t="shared" si="3"/>
        <v>[0],</v>
      </c>
      <c r="O19" t="str">
        <f t="shared" si="3"/>
        <v>[0],</v>
      </c>
      <c r="P19" t="str">
        <f t="shared" si="3"/>
        <v>[0],</v>
      </c>
      <c r="Q19" t="str">
        <f t="shared" si="4"/>
        <v>[0]</v>
      </c>
      <c r="R19" t="str">
        <f t="shared" si="5"/>
        <v>]</v>
      </c>
      <c r="S19" t="str">
        <f t="shared" si="6"/>
        <v>[[0],[0],[0],[0],[0],[0],[0]]</v>
      </c>
    </row>
    <row r="20" spans="1:19" x14ac:dyDescent="0.2">
      <c r="A20" s="1" t="d">
        <v>2025-09-03</v>
      </c>
      <c r="B20">
        <f>daily_original_wrong!B20*total_from_MA_dashboard!B$24</f>
        <v>0</v>
      </c>
      <c r="C20">
        <f>daily_original_wrong!C20*total_from_MA_dashboard!C$24</f>
        <v>0</v>
      </c>
      <c r="D20">
        <f>daily_original_wrong!D20*total_from_MA_dashboard!D$24</f>
        <v>0</v>
      </c>
      <c r="E20">
        <f>daily_original_wrong!E20*total_from_MA_dashboard!E$24</f>
        <v>0</v>
      </c>
      <c r="F20">
        <f>daily_original_wrong!F20*total_from_MA_dashboard!F$24</f>
        <v>0</v>
      </c>
      <c r="G20">
        <f>daily_original_wrong!G20*total_from_MA_dashboard!G$24</f>
        <v>0</v>
      </c>
      <c r="H20">
        <f>daily_original_wrong!H20*total_from_MA_dashboard!H$24</f>
        <v>0</v>
      </c>
      <c r="J20" t="str">
        <f t="shared" si="1"/>
        <v>[</v>
      </c>
      <c r="K20" t="str">
        <f t="shared" si="2"/>
        <v>[0],</v>
      </c>
      <c r="L20" t="str">
        <f t="shared" si="3"/>
        <v>[0],</v>
      </c>
      <c r="M20" t="str">
        <f t="shared" si="3"/>
        <v>[0],</v>
      </c>
      <c r="N20" t="str">
        <f t="shared" si="3"/>
        <v>[0],</v>
      </c>
      <c r="O20" t="str">
        <f t="shared" si="3"/>
        <v>[0],</v>
      </c>
      <c r="P20" t="str">
        <f t="shared" si="3"/>
        <v>[0],</v>
      </c>
      <c r="Q20" t="str">
        <f t="shared" si="4"/>
        <v>[0]</v>
      </c>
      <c r="R20" t="str">
        <f t="shared" si="5"/>
        <v>]</v>
      </c>
      <c r="S20" t="str">
        <f t="shared" si="6"/>
        <v>[[0],[0],[0],[0],[0],[0],[0]]</v>
      </c>
    </row>
    <row r="21" spans="1:19" x14ac:dyDescent="0.2">
      <c r="A21" s="1" t="d">
        <v>2025-09-04</v>
      </c>
      <c r="B21">
        <f>daily_original_wrong!B21*total_from_MA_dashboard!B$24</f>
        <v>0</v>
      </c>
      <c r="C21">
        <f>daily_original_wrong!C21*total_from_MA_dashboard!C$24</f>
        <v>0</v>
      </c>
      <c r="D21">
        <f>daily_original_wrong!D21*total_from_MA_dashboard!D$24</f>
        <v>0</v>
      </c>
      <c r="E21">
        <f>daily_original_wrong!E21*total_from_MA_dashboard!E$24</f>
        <v>0</v>
      </c>
      <c r="F21">
        <f>daily_original_wrong!F21*total_from_MA_dashboard!F$24</f>
        <v>0</v>
      </c>
      <c r="G21">
        <f>daily_original_wrong!G21*total_from_MA_dashboard!G$24</f>
        <v>0</v>
      </c>
      <c r="H21">
        <f>daily_original_wrong!H21*total_from_MA_dashboard!H$24</f>
        <v>0</v>
      </c>
      <c r="J21" t="str">
        <f t="shared" si="1"/>
        <v>[</v>
      </c>
      <c r="K21" t="str">
        <f t="shared" si="2"/>
        <v>[0],</v>
      </c>
      <c r="L21" t="str">
        <f t="shared" si="3"/>
        <v>[0],</v>
      </c>
      <c r="M21" t="str">
        <f t="shared" si="3"/>
        <v>[0],</v>
      </c>
      <c r="N21" t="str">
        <f t="shared" si="3"/>
        <v>[0],</v>
      </c>
      <c r="O21" t="str">
        <f t="shared" si="3"/>
        <v>[0],</v>
      </c>
      <c r="P21" t="str">
        <f t="shared" si="3"/>
        <v>[0],</v>
      </c>
      <c r="Q21" t="str">
        <f t="shared" si="4"/>
        <v>[0]</v>
      </c>
      <c r="R21" t="str">
        <f t="shared" si="5"/>
        <v>]</v>
      </c>
      <c r="S21" t="str">
        <f t="shared" si="6"/>
        <v>[[0],[0],[0],[0],[0],[0],[0]]</v>
      </c>
    </row>
    <row r="22" spans="1:19" x14ac:dyDescent="0.2">
      <c r="A22" s="1" t="d">
        <v>2025-09-05</v>
      </c>
      <c r="B22">
        <f>daily_original_wrong!B22*total_from_MA_dashboard!B$24</f>
        <v>0</v>
      </c>
      <c r="C22">
        <f>daily_original_wrong!C22*total_from_MA_dashboard!C$24</f>
        <v>0</v>
      </c>
      <c r="D22">
        <f>daily_original_wrong!D22*total_from_MA_dashboard!D$24</f>
        <v>0</v>
      </c>
      <c r="E22">
        <f>daily_original_wrong!E22*total_from_MA_dashboard!E$24</f>
        <v>0</v>
      </c>
      <c r="F22">
        <f>daily_original_wrong!F22*total_from_MA_dashboard!F$24</f>
        <v>0</v>
      </c>
      <c r="G22">
        <f>daily_original_wrong!G22*total_from_MA_dashboard!G$24</f>
        <v>0</v>
      </c>
      <c r="H22">
        <f>daily_original_wrong!H22*total_from_MA_dashboard!H$24</f>
        <v>0</v>
      </c>
      <c r="J22" t="str">
        <f t="shared" si="1"/>
        <v>[</v>
      </c>
      <c r="K22" t="str">
        <f t="shared" si="2"/>
        <v>[0],</v>
      </c>
      <c r="L22" t="str">
        <f t="shared" si="3"/>
        <v>[0],</v>
      </c>
      <c r="M22" t="str">
        <f t="shared" si="3"/>
        <v>[0],</v>
      </c>
      <c r="N22" t="str">
        <f t="shared" si="3"/>
        <v>[0],</v>
      </c>
      <c r="O22" t="str">
        <f t="shared" si="3"/>
        <v>[0],</v>
      </c>
      <c r="P22" t="str">
        <f t="shared" si="3"/>
        <v>[0],</v>
      </c>
      <c r="Q22" t="str">
        <f t="shared" si="4"/>
        <v>[0]</v>
      </c>
      <c r="R22" t="str">
        <f t="shared" si="5"/>
        <v>]</v>
      </c>
      <c r="S22" t="str">
        <f t="shared" si="6"/>
        <v>[[0],[0],[0],[0],[0],[0],[0]]</v>
      </c>
    </row>
    <row r="23" spans="1:19" x14ac:dyDescent="0.2">
      <c r="A23" s="1" t="d">
        <v>2025-09-06</v>
      </c>
      <c r="B23">
        <f>daily_original_wrong!B23*total_from_MA_dashboard!B$24</f>
        <v>1.3775287414221887E-3</v>
      </c>
      <c r="C23">
        <f>daily_original_wrong!C23*total_from_MA_dashboard!C$24</f>
        <v>2.7550574828443773E-3</v>
      </c>
      <c r="D23">
        <f>daily_original_wrong!D23*total_from_MA_dashboard!D$24</f>
        <v>1.3308223146785126E-3</v>
      </c>
      <c r="E23">
        <f>daily_original_wrong!E23*total_from_MA_dashboard!E$24</f>
        <v>1.3776253235377198E-3</v>
      </c>
      <c r="F23">
        <f>daily_original_wrong!F23*total_from_MA_dashboard!F$24</f>
        <v>5.6083465725459804E-4</v>
      </c>
      <c r="G23">
        <f>daily_original_wrong!G23*total_from_MA_dashboard!G$24</f>
        <v>5.8245480855302503E-4</v>
      </c>
      <c r="H23">
        <f>daily_original_wrong!H23*total_from_MA_dashboard!H$24</f>
        <v>1.4596678635255612E-3</v>
      </c>
      <c r="J23" t="str">
        <f t="shared" si="1"/>
        <v>[</v>
      </c>
      <c r="K23" t="str">
        <f t="shared" si="2"/>
        <v>[0.00137752874142219],</v>
      </c>
      <c r="L23" t="str">
        <f t="shared" si="3"/>
        <v>[0.00275505748284438],</v>
      </c>
      <c r="M23" t="str">
        <f t="shared" si="3"/>
        <v>[0.00133082231467851],</v>
      </c>
      <c r="N23" t="str">
        <f t="shared" si="3"/>
        <v>[0.00137762532353772],</v>
      </c>
      <c r="O23" t="str">
        <f t="shared" si="3"/>
        <v>[0.000560834657254598],</v>
      </c>
      <c r="P23" t="str">
        <f t="shared" si="3"/>
        <v>[0.000582454808553025],</v>
      </c>
      <c r="Q23" t="str">
        <f t="shared" si="4"/>
        <v>[0.00145966786352556]</v>
      </c>
      <c r="R23" t="str">
        <f t="shared" si="5"/>
        <v>]</v>
      </c>
      <c r="S23" t="str">
        <f t="shared" si="6"/>
        <v>[[0.00137752874142219],[0.00275505748284438],[0.00133082231467851],[0.00137762532353772],[0.000560834657254598],[0.000582454808553025],[0.00145966786352556]]</v>
      </c>
    </row>
    <row r="24" spans="1:19" x14ac:dyDescent="0.2">
      <c r="A24" s="1" t="d">
        <v>2025-09-07</v>
      </c>
      <c r="B24">
        <f>daily_original_wrong!B24*total_from_MA_dashboard!B$24</f>
        <v>1.3775287414221887E-3</v>
      </c>
      <c r="C24">
        <f>daily_original_wrong!C24*total_from_MA_dashboard!C$24</f>
        <v>2.7550574828443773E-3</v>
      </c>
      <c r="D24">
        <f>daily_original_wrong!D24*total_from_MA_dashboard!D$24</f>
        <v>1.3308223146785126E-3</v>
      </c>
      <c r="E24">
        <f>daily_original_wrong!E24*total_from_MA_dashboard!E$24</f>
        <v>1.3776253235377198E-3</v>
      </c>
      <c r="F24">
        <f>daily_original_wrong!F24*total_from_MA_dashboard!F$24</f>
        <v>5.6083465725459804E-4</v>
      </c>
      <c r="G24">
        <f>daily_original_wrong!G24*total_from_MA_dashboard!G$24</f>
        <v>5.8245480855302503E-4</v>
      </c>
      <c r="H24">
        <f>daily_original_wrong!H24*total_from_MA_dashboard!H$24</f>
        <v>1.4596678635255612E-3</v>
      </c>
      <c r="J24" t="str">
        <f t="shared" si="1"/>
        <v>[</v>
      </c>
      <c r="K24" t="str">
        <f t="shared" si="2"/>
        <v>[0.00137752874142219],</v>
      </c>
      <c r="L24" t="str">
        <f t="shared" si="3"/>
        <v>[0.00275505748284438],</v>
      </c>
      <c r="M24" t="str">
        <f t="shared" si="3"/>
        <v>[0.00133082231467851],</v>
      </c>
      <c r="N24" t="str">
        <f t="shared" si="3"/>
        <v>[0.00137762532353772],</v>
      </c>
      <c r="O24" t="str">
        <f t="shared" si="3"/>
        <v>[0.000560834657254598],</v>
      </c>
      <c r="P24" t="str">
        <f t="shared" si="3"/>
        <v>[0.000582454808553025],</v>
      </c>
      <c r="Q24" t="str">
        <f t="shared" si="4"/>
        <v>[0.00145966786352556]</v>
      </c>
      <c r="R24" t="str">
        <f t="shared" si="5"/>
        <v>]</v>
      </c>
      <c r="S24" t="str">
        <f t="shared" si="6"/>
        <v>[[0.00137752874142219],[0.00275505748284438],[0.00133082231467851],[0.00137762532353772],[0.000560834657254598],[0.000582454808553025],[0.00145966786352556]]</v>
      </c>
    </row>
    <row r="25" spans="1:19" x14ac:dyDescent="0.2">
      <c r="A25" s="1" t="d">
        <v>2025-09-08</v>
      </c>
      <c r="B25">
        <f>daily_original_wrong!B25*total_from_MA_dashboard!B$24</f>
        <v>1.3775287414221887E-3</v>
      </c>
      <c r="C25">
        <f>daily_original_wrong!C25*total_from_MA_dashboard!C$24</f>
        <v>2.7550574828443773E-3</v>
      </c>
      <c r="D25">
        <f>daily_original_wrong!D25*total_from_MA_dashboard!D$24</f>
        <v>1.3308223146785126E-3</v>
      </c>
      <c r="E25">
        <f>daily_original_wrong!E25*total_from_MA_dashboard!E$24</f>
        <v>1.3776253235377198E-3</v>
      </c>
      <c r="F25">
        <f>daily_original_wrong!F25*total_from_MA_dashboard!F$24</f>
        <v>5.6083465725459804E-4</v>
      </c>
      <c r="G25">
        <f>daily_original_wrong!G25*total_from_MA_dashboard!G$24</f>
        <v>5.8245480855302503E-4</v>
      </c>
      <c r="H25">
        <f>daily_original_wrong!H25*total_from_MA_dashboard!H$24</f>
        <v>1.4596678635255612E-3</v>
      </c>
      <c r="J25" t="str">
        <f t="shared" si="1"/>
        <v>[</v>
      </c>
      <c r="K25" t="str">
        <f t="shared" si="2"/>
        <v>[0.00137752874142219],</v>
      </c>
      <c r="L25" t="str">
        <f t="shared" si="3"/>
        <v>[0.00275505748284438],</v>
      </c>
      <c r="M25" t="str">
        <f t="shared" si="3"/>
        <v>[0.00133082231467851],</v>
      </c>
      <c r="N25" t="str">
        <f t="shared" si="3"/>
        <v>[0.00137762532353772],</v>
      </c>
      <c r="O25" t="str">
        <f t="shared" si="3"/>
        <v>[0.000560834657254598],</v>
      </c>
      <c r="P25" t="str">
        <f t="shared" si="3"/>
        <v>[0.000582454808553025],</v>
      </c>
      <c r="Q25" t="str">
        <f t="shared" si="4"/>
        <v>[0.00145966786352556]</v>
      </c>
      <c r="R25" t="str">
        <f t="shared" si="5"/>
        <v>]</v>
      </c>
      <c r="S25" t="str">
        <f t="shared" si="6"/>
        <v>[[0.00137752874142219],[0.00275505748284438],[0.00133082231467851],[0.00137762532353772],[0.000560834657254598],[0.000582454808553025],[0.00145966786352556]]</v>
      </c>
    </row>
    <row r="26" spans="1:19" x14ac:dyDescent="0.2">
      <c r="A26" s="1" t="d">
        <v>2025-09-09</v>
      </c>
      <c r="B26">
        <f>daily_original_wrong!B26*total_from_MA_dashboard!B$24</f>
        <v>1.3775287414221887E-3</v>
      </c>
      <c r="C26">
        <f>daily_original_wrong!C26*total_from_MA_dashboard!C$24</f>
        <v>2.7550574828443773E-3</v>
      </c>
      <c r="D26">
        <f>daily_original_wrong!D26*total_from_MA_dashboard!D$24</f>
        <v>1.3308223146785126E-3</v>
      </c>
      <c r="E26">
        <f>daily_original_wrong!E26*total_from_MA_dashboard!E$24</f>
        <v>1.3776253235377198E-3</v>
      </c>
      <c r="F26">
        <f>daily_original_wrong!F26*total_from_MA_dashboard!F$24</f>
        <v>5.6083465725459804E-4</v>
      </c>
      <c r="G26">
        <f>daily_original_wrong!G26*total_from_MA_dashboard!G$24</f>
        <v>5.8245480855302503E-4</v>
      </c>
      <c r="H26">
        <f>daily_original_wrong!H26*total_from_MA_dashboard!H$24</f>
        <v>1.4596678635255612E-3</v>
      </c>
      <c r="J26" t="str">
        <f t="shared" si="1"/>
        <v>[</v>
      </c>
      <c r="K26" t="str">
        <f t="shared" si="2"/>
        <v>[0.00137752874142219],</v>
      </c>
      <c r="L26" t="str">
        <f t="shared" si="3"/>
        <v>[0.00275505748284438],</v>
      </c>
      <c r="M26" t="str">
        <f t="shared" si="3"/>
        <v>[0.00133082231467851],</v>
      </c>
      <c r="N26" t="str">
        <f t="shared" si="3"/>
        <v>[0.00137762532353772],</v>
      </c>
      <c r="O26" t="str">
        <f t="shared" si="3"/>
        <v>[0.000560834657254598],</v>
      </c>
      <c r="P26" t="str">
        <f t="shared" si="3"/>
        <v>[0.000582454808553025],</v>
      </c>
      <c r="Q26" t="str">
        <f t="shared" si="4"/>
        <v>[0.00145966786352556]</v>
      </c>
      <c r="R26" t="str">
        <f t="shared" si="5"/>
        <v>]</v>
      </c>
      <c r="S26" t="str">
        <f t="shared" si="6"/>
        <v>[[0.00137752874142219],[0.00275505748284438],[0.00133082231467851],[0.00137762532353772],[0.000560834657254598],[0.000582454808553025],[0.00145966786352556]]</v>
      </c>
    </row>
    <row r="27" spans="1:19" x14ac:dyDescent="0.2">
      <c r="A27" s="1" t="d">
        <v>2025-09-10</v>
      </c>
      <c r="B27">
        <f>daily_original_wrong!B27*total_from_MA_dashboard!B$24</f>
        <v>1.3775287414221887E-3</v>
      </c>
      <c r="C27">
        <f>daily_original_wrong!C27*total_from_MA_dashboard!C$24</f>
        <v>2.7550574828443773E-3</v>
      </c>
      <c r="D27">
        <f>daily_original_wrong!D27*total_from_MA_dashboard!D$24</f>
        <v>1.3308223146785126E-3</v>
      </c>
      <c r="E27">
        <f>daily_original_wrong!E27*total_from_MA_dashboard!E$24</f>
        <v>1.3776253235377198E-3</v>
      </c>
      <c r="F27">
        <f>daily_original_wrong!F27*total_from_MA_dashboard!F$24</f>
        <v>5.6083465725459804E-4</v>
      </c>
      <c r="G27">
        <f>daily_original_wrong!G27*total_from_MA_dashboard!G$24</f>
        <v>5.8245480855302503E-4</v>
      </c>
      <c r="H27">
        <f>daily_original_wrong!H27*total_from_MA_dashboard!H$24</f>
        <v>1.4596678635255612E-3</v>
      </c>
      <c r="J27" t="str">
        <f t="shared" si="1"/>
        <v>[</v>
      </c>
      <c r="K27" t="str">
        <f>"["&amp;B27&amp;"],"</f>
        <v>[0.00137752874142219],</v>
      </c>
      <c r="L27" t="str">
        <f t="shared" si="3"/>
        <v>[0.00275505748284438],</v>
      </c>
      <c r="M27" t="str">
        <f t="shared" si="3"/>
        <v>[0.00133082231467851],</v>
      </c>
      <c r="N27" t="str">
        <f t="shared" si="3"/>
        <v>[0.00137762532353772],</v>
      </c>
      <c r="O27" t="str">
        <f t="shared" si="3"/>
        <v>[0.000560834657254598],</v>
      </c>
      <c r="P27" t="str">
        <f t="shared" si="3"/>
        <v>[0.000582454808553025],</v>
      </c>
      <c r="Q27" t="str">
        <f t="shared" si="4"/>
        <v>[0.00145966786352556]</v>
      </c>
      <c r="R27" t="str">
        <f t="shared" si="5"/>
        <v>]</v>
      </c>
      <c r="S27" t="str">
        <f t="shared" si="6"/>
        <v>[[0.00137752874142219],[0.00275505748284438],[0.00133082231467851],[0.00137762532353772],[0.000560834657254598],[0.000582454808553025],[0.00145966786352556]]</v>
      </c>
    </row>
    <row r="28" spans="1:19" x14ac:dyDescent="0.2">
      <c r="A28" s="1" t="d">
        <v>2025-09-11</v>
      </c>
      <c r="B28">
        <f>daily_original_wrong!B28*total_from_MA_dashboard!B$24</f>
        <v>1.3775287414221887E-3</v>
      </c>
      <c r="C28">
        <f>daily_original_wrong!C28*total_from_MA_dashboard!C$24</f>
        <v>2.7550574828443773E-3</v>
      </c>
      <c r="D28">
        <f>daily_original_wrong!D28*total_from_MA_dashboard!D$24</f>
        <v>1.3308223146785126E-3</v>
      </c>
      <c r="E28">
        <f>daily_original_wrong!E28*total_from_MA_dashboard!E$24</f>
        <v>1.3776253235377198E-3</v>
      </c>
      <c r="F28">
        <f>daily_original_wrong!F28*total_from_MA_dashboard!F$24</f>
        <v>5.6083465725459804E-4</v>
      </c>
      <c r="G28">
        <f>daily_original_wrong!G28*total_from_MA_dashboard!G$24</f>
        <v>5.8245480855302503E-4</v>
      </c>
      <c r="H28">
        <f>daily_original_wrong!H28*total_from_MA_dashboard!H$24</f>
        <v>1.4596678635255612E-3</v>
      </c>
      <c r="J28" t="str">
        <f t="shared" si="1"/>
        <v>[</v>
      </c>
      <c r="K28" t="str">
        <f t="shared" si="2"/>
        <v>[0.00137752874142219],</v>
      </c>
      <c r="L28" t="str">
        <f t="shared" si="3"/>
        <v>[0.00275505748284438],</v>
      </c>
      <c r="M28" t="str">
        <f t="shared" si="3"/>
        <v>[0.00133082231467851],</v>
      </c>
      <c r="N28" t="str">
        <f t="shared" si="3"/>
        <v>[0.00137762532353772],</v>
      </c>
      <c r="O28" t="str">
        <f t="shared" si="3"/>
        <v>[0.000560834657254598],</v>
      </c>
      <c r="P28" t="str">
        <f t="shared" si="3"/>
        <v>[0.000582454808553025],</v>
      </c>
      <c r="Q28" t="str">
        <f t="shared" si="4"/>
        <v>[0.00145966786352556]</v>
      </c>
      <c r="R28" t="str">
        <f t="shared" si="5"/>
        <v>]</v>
      </c>
      <c r="S28" t="str">
        <f t="shared" si="6"/>
        <v>[[0.00137752874142219],[0.00275505748284438],[0.00133082231467851],[0.00137762532353772],[0.000560834657254598],[0.000582454808553025],[0.00145966786352556]]</v>
      </c>
    </row>
    <row r="29" spans="1:19" x14ac:dyDescent="0.2">
      <c r="A29" s="1" t="d">
        <v>2025-09-12</v>
      </c>
      <c r="B29">
        <f>daily_original_wrong!B29*total_from_MA_dashboard!B$24</f>
        <v>1.3775287414221887E-3</v>
      </c>
      <c r="C29">
        <f>daily_original_wrong!C29*total_from_MA_dashboard!C$24</f>
        <v>2.7550574828443773E-3</v>
      </c>
      <c r="D29">
        <f>daily_original_wrong!D29*total_from_MA_dashboard!D$24</f>
        <v>1.3308223146785126E-3</v>
      </c>
      <c r="E29">
        <f>daily_original_wrong!E29*total_from_MA_dashboard!E$24</f>
        <v>1.3776253235377198E-3</v>
      </c>
      <c r="F29">
        <f>daily_original_wrong!F29*total_from_MA_dashboard!F$24</f>
        <v>5.6083465725459804E-4</v>
      </c>
      <c r="G29">
        <f>daily_original_wrong!G29*total_from_MA_dashboard!G$24</f>
        <v>5.8245480855302503E-4</v>
      </c>
      <c r="H29">
        <f>daily_original_wrong!H29*total_from_MA_dashboard!H$24</f>
        <v>1.4596678635255612E-3</v>
      </c>
      <c r="J29" t="str">
        <f t="shared" si="1"/>
        <v>[</v>
      </c>
      <c r="K29" t="str">
        <f t="shared" si="2"/>
        <v>[0.00137752874142219],</v>
      </c>
      <c r="L29" t="str">
        <f t="shared" si="3"/>
        <v>[0.00275505748284438],</v>
      </c>
      <c r="M29" t="str">
        <f t="shared" si="3"/>
        <v>[0.00133082231467851],</v>
      </c>
      <c r="N29" t="str">
        <f t="shared" si="3"/>
        <v>[0.00137762532353772],</v>
      </c>
      <c r="O29" t="str">
        <f t="shared" si="3"/>
        <v>[0.000560834657254598],</v>
      </c>
      <c r="P29" t="str">
        <f t="shared" si="3"/>
        <v>[0.000582454808553025],</v>
      </c>
      <c r="Q29" t="str">
        <f t="shared" si="4"/>
        <v>[0.00145966786352556]</v>
      </c>
      <c r="R29" t="str">
        <f t="shared" si="5"/>
        <v>]</v>
      </c>
      <c r="S29" t="str">
        <f t="shared" si="6"/>
        <v>[[0.00137752874142219],[0.00275505748284438],[0.00133082231467851],[0.00137762532353772],[0.000560834657254598],[0.000582454808553025],[0.00145966786352556]]</v>
      </c>
    </row>
    <row r="30" spans="1:19" x14ac:dyDescent="0.2">
      <c r="A30" s="1" t="d">
        <v>2025-09-13</v>
      </c>
      <c r="B30">
        <f>daily_original_wrong!B30*total_from_MA_dashboard!B$24</f>
        <v>1.3210345697663461E-3</v>
      </c>
      <c r="C30">
        <f>daily_original_wrong!C30*total_from_MA_dashboard!C$24</f>
        <v>2.6420691395326922E-3</v>
      </c>
      <c r="D30">
        <f>daily_original_wrong!D30*total_from_MA_dashboard!D$24</f>
        <v>1.402313641684002E-3</v>
      </c>
      <c r="E30">
        <f>daily_original_wrong!E30*total_from_MA_dashboard!E$24</f>
        <v>1.5212288266352768E-3</v>
      </c>
      <c r="F30">
        <f>daily_original_wrong!F30*total_from_MA_dashboard!F$24</f>
        <v>3.90624939694713E-4</v>
      </c>
      <c r="G30">
        <f>daily_original_wrong!G30*total_from_MA_dashboard!G$24</f>
        <v>7.6199475746601363E-4</v>
      </c>
      <c r="H30">
        <f>daily_original_wrong!H30*total_from_MA_dashboard!H$24</f>
        <v>2.408983945648127E-3</v>
      </c>
      <c r="J30" t="str">
        <f t="shared" si="1"/>
        <v>[</v>
      </c>
      <c r="K30" t="str">
        <f t="shared" si="2"/>
        <v>[0.00132103456976635],</v>
      </c>
      <c r="L30" t="str">
        <f t="shared" si="3"/>
        <v>[0.00264206913953269],</v>
      </c>
      <c r="M30" t="str">
        <f t="shared" si="3"/>
        <v>[0.001402313641684],</v>
      </c>
      <c r="N30" t="str">
        <f t="shared" si="3"/>
        <v>[0.00152122882663528],</v>
      </c>
      <c r="O30" t="str">
        <f t="shared" si="3"/>
        <v>[0.000390624939694713],</v>
      </c>
      <c r="P30" t="str">
        <f t="shared" si="3"/>
        <v>[0.000761994757466014],</v>
      </c>
      <c r="Q30" t="str">
        <f t="shared" si="4"/>
        <v>[0.00240898394564813]</v>
      </c>
      <c r="R30" t="str">
        <f t="shared" si="5"/>
        <v>]</v>
      </c>
      <c r="S30" t="str">
        <f t="shared" si="6"/>
        <v>[[0.00132103456976635],[0.00264206913953269],[0.001402313641684],[0.00152122882663528],[0.000390624939694713],[0.000761994757466014],[0.00240898394564813]]</v>
      </c>
    </row>
    <row r="31" spans="1:19" x14ac:dyDescent="0.2">
      <c r="A31" s="1" t="d">
        <v>2025-09-14</v>
      </c>
      <c r="B31">
        <f>daily_original_wrong!B31*total_from_MA_dashboard!B$24</f>
        <v>1.3210345697663461E-3</v>
      </c>
      <c r="C31">
        <f>daily_original_wrong!C31*total_from_MA_dashboard!C$24</f>
        <v>2.6420691395326922E-3</v>
      </c>
      <c r="D31">
        <f>daily_original_wrong!D31*total_from_MA_dashboard!D$24</f>
        <v>1.402313641684002E-3</v>
      </c>
      <c r="E31">
        <f>daily_original_wrong!E31*total_from_MA_dashboard!E$24</f>
        <v>1.5212288266352768E-3</v>
      </c>
      <c r="F31">
        <f>daily_original_wrong!F31*total_from_MA_dashboard!F$24</f>
        <v>3.90624939694713E-4</v>
      </c>
      <c r="G31">
        <f>daily_original_wrong!G31*total_from_MA_dashboard!G$24</f>
        <v>7.6199475746601363E-4</v>
      </c>
      <c r="H31">
        <f>daily_original_wrong!H31*total_from_MA_dashboard!H$24</f>
        <v>2.408983945648127E-3</v>
      </c>
      <c r="J31" t="str">
        <f t="shared" si="1"/>
        <v>[</v>
      </c>
      <c r="K31" t="str">
        <f t="shared" si="2"/>
        <v>[0.00132103456976635],</v>
      </c>
      <c r="L31" t="str">
        <f t="shared" si="3"/>
        <v>[0.00264206913953269],</v>
      </c>
      <c r="M31" t="str">
        <f t="shared" si="3"/>
        <v>[0.001402313641684],</v>
      </c>
      <c r="N31" t="str">
        <f t="shared" si="3"/>
        <v>[0.00152122882663528],</v>
      </c>
      <c r="O31" t="str">
        <f t="shared" si="3"/>
        <v>[0.000390624939694713],</v>
      </c>
      <c r="P31" t="str">
        <f t="shared" si="3"/>
        <v>[0.000761994757466014],</v>
      </c>
      <c r="Q31" t="str">
        <f t="shared" si="4"/>
        <v>[0.00240898394564813]</v>
      </c>
      <c r="R31" t="str">
        <f t="shared" si="5"/>
        <v>]</v>
      </c>
      <c r="S31" t="str">
        <f t="shared" si="6"/>
        <v>[[0.00132103456976635],[0.00264206913953269],[0.001402313641684],[0.00152122882663528],[0.000390624939694713],[0.000761994757466014],[0.00240898394564813]]</v>
      </c>
    </row>
    <row r="32" spans="1:19" x14ac:dyDescent="0.2">
      <c r="A32" s="1" t="d">
        <v>2025-09-15</v>
      </c>
      <c r="B32">
        <f>daily_original_wrong!B32*total_from_MA_dashboard!B$24</f>
        <v>1.3210345697663461E-3</v>
      </c>
      <c r="C32">
        <f>daily_original_wrong!C32*total_from_MA_dashboard!C$24</f>
        <v>2.6420691395326922E-3</v>
      </c>
      <c r="D32">
        <f>daily_original_wrong!D32*total_from_MA_dashboard!D$24</f>
        <v>1.402313641684002E-3</v>
      </c>
      <c r="E32">
        <f>daily_original_wrong!E32*total_from_MA_dashboard!E$24</f>
        <v>1.5212288266352768E-3</v>
      </c>
      <c r="F32">
        <f>daily_original_wrong!F32*total_from_MA_dashboard!F$24</f>
        <v>3.90624939694713E-4</v>
      </c>
      <c r="G32">
        <f>daily_original_wrong!G32*total_from_MA_dashboard!G$24</f>
        <v>7.6199475746601363E-4</v>
      </c>
      <c r="H32">
        <f>daily_original_wrong!H32*total_from_MA_dashboard!H$24</f>
        <v>2.408983945648127E-3</v>
      </c>
      <c r="J32" t="str">
        <f t="shared" si="1"/>
        <v>[</v>
      </c>
      <c r="K32" t="str">
        <f t="shared" si="2"/>
        <v>[0.00132103456976635],</v>
      </c>
      <c r="L32" t="str">
        <f t="shared" si="3"/>
        <v>[0.00264206913953269],</v>
      </c>
      <c r="M32" t="str">
        <f t="shared" si="3"/>
        <v>[0.001402313641684],</v>
      </c>
      <c r="N32" t="str">
        <f t="shared" si="3"/>
        <v>[0.00152122882663528],</v>
      </c>
      <c r="O32" t="str">
        <f t="shared" si="3"/>
        <v>[0.000390624939694713],</v>
      </c>
      <c r="P32" t="str">
        <f t="shared" si="3"/>
        <v>[0.000761994757466014],</v>
      </c>
      <c r="Q32" t="str">
        <f t="shared" si="4"/>
        <v>[0.00240898394564813]</v>
      </c>
      <c r="R32" t="str">
        <f t="shared" si="5"/>
        <v>]</v>
      </c>
      <c r="S32" t="str">
        <f t="shared" si="6"/>
        <v>[[0.00132103456976635],[0.00264206913953269],[0.001402313641684],[0.00152122882663528],[0.000390624939694713],[0.000761994757466014],[0.00240898394564813]]</v>
      </c>
    </row>
    <row r="33" spans="1:19" x14ac:dyDescent="0.2">
      <c r="A33" s="1" t="d">
        <v>2025-09-16</v>
      </c>
      <c r="B33">
        <f>daily_original_wrong!B33*total_from_MA_dashboard!B$24</f>
        <v>1.3210345697663461E-3</v>
      </c>
      <c r="C33">
        <f>daily_original_wrong!C33*total_from_MA_dashboard!C$24</f>
        <v>2.6420691395326922E-3</v>
      </c>
      <c r="D33">
        <f>daily_original_wrong!D33*total_from_MA_dashboard!D$24</f>
        <v>1.402313641684002E-3</v>
      </c>
      <c r="E33">
        <f>daily_original_wrong!E33*total_from_MA_dashboard!E$24</f>
        <v>1.5212288266352768E-3</v>
      </c>
      <c r="F33">
        <f>daily_original_wrong!F33*total_from_MA_dashboard!F$24</f>
        <v>3.90624939694713E-4</v>
      </c>
      <c r="G33">
        <f>daily_original_wrong!G33*total_from_MA_dashboard!G$24</f>
        <v>7.6199475746601363E-4</v>
      </c>
      <c r="H33">
        <f>daily_original_wrong!H33*total_from_MA_dashboard!H$24</f>
        <v>2.408983945648127E-3</v>
      </c>
      <c r="J33" t="str">
        <f t="shared" si="1"/>
        <v>[</v>
      </c>
      <c r="K33" t="str">
        <f t="shared" si="2"/>
        <v>[0.00132103456976635],</v>
      </c>
      <c r="L33" t="str">
        <f t="shared" si="3"/>
        <v>[0.00264206913953269],</v>
      </c>
      <c r="M33" t="str">
        <f t="shared" si="3"/>
        <v>[0.001402313641684],</v>
      </c>
      <c r="N33" t="str">
        <f t="shared" si="3"/>
        <v>[0.00152122882663528],</v>
      </c>
      <c r="O33" t="str">
        <f t="shared" si="3"/>
        <v>[0.000390624939694713],</v>
      </c>
      <c r="P33" t="str">
        <f t="shared" si="3"/>
        <v>[0.000761994757466014],</v>
      </c>
      <c r="Q33" t="str">
        <f t="shared" si="4"/>
        <v>[0.00240898394564813]</v>
      </c>
      <c r="R33" t="str">
        <f t="shared" si="5"/>
        <v>]</v>
      </c>
      <c r="S33" t="str">
        <f t="shared" si="6"/>
        <v>[[0.00132103456976635],[0.00264206913953269],[0.001402313641684],[0.00152122882663528],[0.000390624939694713],[0.000761994757466014],[0.00240898394564813]]</v>
      </c>
    </row>
    <row r="34" spans="1:19" x14ac:dyDescent="0.2">
      <c r="A34" s="1" t="d">
        <v>2025-09-17</v>
      </c>
      <c r="B34">
        <f>daily_original_wrong!B34*total_from_MA_dashboard!B$24</f>
        <v>1.3210345697663461E-3</v>
      </c>
      <c r="C34">
        <f>daily_original_wrong!C34*total_from_MA_dashboard!C$24</f>
        <v>2.6420691395326922E-3</v>
      </c>
      <c r="D34">
        <f>daily_original_wrong!D34*total_from_MA_dashboard!D$24</f>
        <v>1.402313641684002E-3</v>
      </c>
      <c r="E34">
        <f>daily_original_wrong!E34*total_from_MA_dashboard!E$24</f>
        <v>1.5212288266352768E-3</v>
      </c>
      <c r="F34">
        <f>daily_original_wrong!F34*total_from_MA_dashboard!F$24</f>
        <v>3.90624939694713E-4</v>
      </c>
      <c r="G34">
        <f>daily_original_wrong!G34*total_from_MA_dashboard!G$24</f>
        <v>7.6199475746601363E-4</v>
      </c>
      <c r="H34">
        <f>daily_original_wrong!H34*total_from_MA_dashboard!H$24</f>
        <v>2.408983945648127E-3</v>
      </c>
      <c r="J34" t="str">
        <f t="shared" si="1"/>
        <v>[</v>
      </c>
      <c r="K34" t="str">
        <f t="shared" si="2"/>
        <v>[0.00132103456976635],</v>
      </c>
      <c r="L34" t="str">
        <f t="shared" si="3"/>
        <v>[0.00264206913953269],</v>
      </c>
      <c r="M34" t="str">
        <f t="shared" si="3"/>
        <v>[0.001402313641684],</v>
      </c>
      <c r="N34" t="str">
        <f t="shared" si="3"/>
        <v>[0.00152122882663528],</v>
      </c>
      <c r="O34" t="str">
        <f t="shared" si="3"/>
        <v>[0.000390624939694713],</v>
      </c>
      <c r="P34" t="str">
        <f t="shared" si="3"/>
        <v>[0.000761994757466014],</v>
      </c>
      <c r="Q34" t="str">
        <f t="shared" si="4"/>
        <v>[0.00240898394564813]</v>
      </c>
      <c r="R34" t="str">
        <f t="shared" si="5"/>
        <v>]</v>
      </c>
      <c r="S34" t="str">
        <f t="shared" si="6"/>
        <v>[[0.00132103456976635],[0.00264206913953269],[0.001402313641684],[0.00152122882663528],[0.000390624939694713],[0.000761994757466014],[0.00240898394564813]]</v>
      </c>
    </row>
    <row r="35" spans="1:19" x14ac:dyDescent="0.2">
      <c r="A35" s="1" t="d">
        <v>2025-09-18</v>
      </c>
      <c r="B35">
        <f>daily_original_wrong!B35*total_from_MA_dashboard!B$24</f>
        <v>1.3210345697663461E-3</v>
      </c>
      <c r="C35">
        <f>daily_original_wrong!C35*total_from_MA_dashboard!C$24</f>
        <v>2.6420691395326922E-3</v>
      </c>
      <c r="D35">
        <f>daily_original_wrong!D35*total_from_MA_dashboard!D$24</f>
        <v>1.402313641684002E-3</v>
      </c>
      <c r="E35">
        <f>daily_original_wrong!E35*total_from_MA_dashboard!E$24</f>
        <v>1.5212288266352768E-3</v>
      </c>
      <c r="F35">
        <f>daily_original_wrong!F35*total_from_MA_dashboard!F$24</f>
        <v>3.90624939694713E-4</v>
      </c>
      <c r="G35">
        <f>daily_original_wrong!G35*total_from_MA_dashboard!G$24</f>
        <v>7.6199475746601363E-4</v>
      </c>
      <c r="H35">
        <f>daily_original_wrong!H35*total_from_MA_dashboard!H$24</f>
        <v>2.408983945648127E-3</v>
      </c>
      <c r="J35" t="str">
        <f t="shared" si="1"/>
        <v>[</v>
      </c>
      <c r="K35" t="str">
        <f t="shared" si="2"/>
        <v>[0.00132103456976635],</v>
      </c>
      <c r="L35" t="str">
        <f t="shared" si="3"/>
        <v>[0.00264206913953269],</v>
      </c>
      <c r="M35" t="str">
        <f t="shared" si="3"/>
        <v>[0.001402313641684],</v>
      </c>
      <c r="N35" t="str">
        <f t="shared" si="3"/>
        <v>[0.00152122882663528],</v>
      </c>
      <c r="O35" t="str">
        <f t="shared" si="3"/>
        <v>[0.000390624939694713],</v>
      </c>
      <c r="P35" t="str">
        <f t="shared" si="3"/>
        <v>[0.000761994757466014],</v>
      </c>
      <c r="Q35" t="str">
        <f t="shared" si="4"/>
        <v>[0.00240898394564813]</v>
      </c>
      <c r="R35" t="str">
        <f t="shared" si="5"/>
        <v>]</v>
      </c>
      <c r="S35" t="str">
        <f t="shared" si="6"/>
        <v>[[0.00132103456976635],[0.00264206913953269],[0.001402313641684],[0.00152122882663528],[0.000390624939694713],[0.000761994757466014],[0.00240898394564813]]</v>
      </c>
    </row>
    <row r="36" spans="1:19" x14ac:dyDescent="0.2">
      <c r="A36" s="1" t="d">
        <v>2025-09-19</v>
      </c>
      <c r="B36">
        <f>daily_original_wrong!B36*total_from_MA_dashboard!B$24</f>
        <v>1.3210345697663461E-3</v>
      </c>
      <c r="C36">
        <f>daily_original_wrong!C36*total_from_MA_dashboard!C$24</f>
        <v>2.6420691395326922E-3</v>
      </c>
      <c r="D36">
        <f>daily_original_wrong!D36*total_from_MA_dashboard!D$24</f>
        <v>1.402313641684002E-3</v>
      </c>
      <c r="E36">
        <f>daily_original_wrong!E36*total_from_MA_dashboard!E$24</f>
        <v>1.5212288266352768E-3</v>
      </c>
      <c r="F36">
        <f>daily_original_wrong!F36*total_from_MA_dashboard!F$24</f>
        <v>3.90624939694713E-4</v>
      </c>
      <c r="G36">
        <f>daily_original_wrong!G36*total_from_MA_dashboard!G$24</f>
        <v>7.6199475746601363E-4</v>
      </c>
      <c r="H36">
        <f>daily_original_wrong!H36*total_from_MA_dashboard!H$24</f>
        <v>2.408983945648127E-3</v>
      </c>
      <c r="J36" t="str">
        <f t="shared" si="1"/>
        <v>[</v>
      </c>
      <c r="K36" t="str">
        <f t="shared" si="2"/>
        <v>[0.00132103456976635],</v>
      </c>
      <c r="L36" t="str">
        <f t="shared" si="3"/>
        <v>[0.00264206913953269],</v>
      </c>
      <c r="M36" t="str">
        <f t="shared" si="3"/>
        <v>[0.001402313641684],</v>
      </c>
      <c r="N36" t="str">
        <f t="shared" si="3"/>
        <v>[0.00152122882663528],</v>
      </c>
      <c r="O36" t="str">
        <f t="shared" si="3"/>
        <v>[0.000390624939694713],</v>
      </c>
      <c r="P36" t="str">
        <f t="shared" si="3"/>
        <v>[0.000761994757466014],</v>
      </c>
      <c r="Q36" t="str">
        <f t="shared" si="4"/>
        <v>[0.00240898394564813]</v>
      </c>
      <c r="R36" t="str">
        <f t="shared" si="5"/>
        <v>]</v>
      </c>
      <c r="S36" t="str">
        <f t="shared" si="6"/>
        <v>[[0.00132103456976635],[0.00264206913953269],[0.001402313641684],[0.00152122882663528],[0.000390624939694713],[0.000761994757466014],[0.00240898394564813]]</v>
      </c>
    </row>
    <row r="37" spans="1:19" x14ac:dyDescent="0.2">
      <c r="A37" s="1" t="d">
        <v>2025-09-20</v>
      </c>
      <c r="B37">
        <f>daily_original_wrong!B37*total_from_MA_dashboard!B$24</f>
        <v>1.4614254591507735E-3</v>
      </c>
      <c r="C37">
        <f>daily_original_wrong!C37*total_from_MA_dashboard!C$24</f>
        <v>2.9228509183015471E-3</v>
      </c>
      <c r="D37">
        <f>daily_original_wrong!D37*total_from_MA_dashboard!D$24</f>
        <v>1.7143104780291617E-3</v>
      </c>
      <c r="E37">
        <f>daily_original_wrong!E37*total_from_MA_dashboard!E$24</f>
        <v>1.8997864200840174E-3</v>
      </c>
      <c r="F37">
        <f>daily_original_wrong!F37*total_from_MA_dashboard!F$24</f>
        <v>8.4618287746142308E-4</v>
      </c>
      <c r="G37">
        <f>daily_original_wrong!G37*total_from_MA_dashboard!G$24</f>
        <v>1.3694198253488758E-3</v>
      </c>
      <c r="H37">
        <f>daily_original_wrong!H37*total_from_MA_dashboard!H$24</f>
        <v>3.4715937145023369E-3</v>
      </c>
      <c r="J37" t="str">
        <f t="shared" si="1"/>
        <v>[</v>
      </c>
      <c r="K37" t="str">
        <f t="shared" si="2"/>
        <v>[0.00146142545915077],</v>
      </c>
      <c r="L37" t="str">
        <f t="shared" si="3"/>
        <v>[0.00292285091830155],</v>
      </c>
      <c r="M37" t="str">
        <f t="shared" si="3"/>
        <v>[0.00171431047802916],</v>
      </c>
      <c r="N37" t="str">
        <f t="shared" si="3"/>
        <v>[0.00189978642008402],</v>
      </c>
      <c r="O37" t="str">
        <f t="shared" si="3"/>
        <v>[0.000846182877461423],</v>
      </c>
      <c r="P37" t="str">
        <f t="shared" si="3"/>
        <v>[0.00136941982534888],</v>
      </c>
      <c r="Q37" t="str">
        <f t="shared" si="4"/>
        <v>[0.00347159371450234]</v>
      </c>
      <c r="R37" t="str">
        <f t="shared" si="5"/>
        <v>]</v>
      </c>
      <c r="S37" t="str">
        <f t="shared" si="6"/>
        <v>[[0.00146142545915077],[0.00292285091830155],[0.00171431047802916],[0.00189978642008402],[0.000846182877461423],[0.00136941982534888],[0.00347159371450234]]</v>
      </c>
    </row>
    <row r="38" spans="1:19" x14ac:dyDescent="0.2">
      <c r="A38" s="1" t="d">
        <v>2025-09-21</v>
      </c>
      <c r="B38">
        <f>daily_original_wrong!B38*total_from_MA_dashboard!B$24</f>
        <v>1.4614254591507735E-3</v>
      </c>
      <c r="C38">
        <f>daily_original_wrong!C38*total_from_MA_dashboard!C$24</f>
        <v>2.9228509183015471E-3</v>
      </c>
      <c r="D38">
        <f>daily_original_wrong!D38*total_from_MA_dashboard!D$24</f>
        <v>1.7143104780291617E-3</v>
      </c>
      <c r="E38">
        <f>daily_original_wrong!E38*total_from_MA_dashboard!E$24</f>
        <v>1.8997864200840174E-3</v>
      </c>
      <c r="F38">
        <f>daily_original_wrong!F38*total_from_MA_dashboard!F$24</f>
        <v>8.4618287746142308E-4</v>
      </c>
      <c r="G38">
        <f>daily_original_wrong!G38*total_from_MA_dashboard!G$24</f>
        <v>1.3694198253488758E-3</v>
      </c>
      <c r="H38">
        <f>daily_original_wrong!H38*total_from_MA_dashboard!H$24</f>
        <v>3.4715937145023369E-3</v>
      </c>
      <c r="J38" t="str">
        <f t="shared" si="1"/>
        <v>[</v>
      </c>
      <c r="K38" t="str">
        <f t="shared" si="2"/>
        <v>[0.00146142545915077],</v>
      </c>
      <c r="L38" t="str">
        <f t="shared" si="3"/>
        <v>[0.00292285091830155],</v>
      </c>
      <c r="M38" t="str">
        <f t="shared" si="3"/>
        <v>[0.00171431047802916],</v>
      </c>
      <c r="N38" t="str">
        <f t="shared" si="3"/>
        <v>[0.00189978642008402],</v>
      </c>
      <c r="O38" t="str">
        <f t="shared" si="3"/>
        <v>[0.000846182877461423],</v>
      </c>
      <c r="P38" t="str">
        <f t="shared" si="3"/>
        <v>[0.00136941982534888],</v>
      </c>
      <c r="Q38" t="str">
        <f t="shared" si="4"/>
        <v>[0.00347159371450234]</v>
      </c>
      <c r="R38" t="str">
        <f t="shared" si="5"/>
        <v>]</v>
      </c>
      <c r="S38" t="str">
        <f t="shared" si="6"/>
        <v>[[0.00146142545915077],[0.00292285091830155],[0.00171431047802916],[0.00189978642008402],[0.000846182877461423],[0.00136941982534888],[0.00347159371450234]]</v>
      </c>
    </row>
    <row r="39" spans="1:19" x14ac:dyDescent="0.2">
      <c r="A39" s="1" t="d">
        <v>2025-09-22</v>
      </c>
      <c r="B39">
        <f>daily_original_wrong!B39*total_from_MA_dashboard!B$24</f>
        <v>1.4614254591507735E-3</v>
      </c>
      <c r="C39">
        <f>daily_original_wrong!C39*total_from_MA_dashboard!C$24</f>
        <v>2.9228509183015471E-3</v>
      </c>
      <c r="D39">
        <f>daily_original_wrong!D39*total_from_MA_dashboard!D$24</f>
        <v>1.7143104780291617E-3</v>
      </c>
      <c r="E39">
        <f>daily_original_wrong!E39*total_from_MA_dashboard!E$24</f>
        <v>1.8997864200840174E-3</v>
      </c>
      <c r="F39">
        <f>daily_original_wrong!F39*total_from_MA_dashboard!F$24</f>
        <v>8.4618287746142308E-4</v>
      </c>
      <c r="G39">
        <f>daily_original_wrong!G39*total_from_MA_dashboard!G$24</f>
        <v>1.3694198253488758E-3</v>
      </c>
      <c r="H39">
        <f>daily_original_wrong!H39*total_from_MA_dashboard!H$24</f>
        <v>3.4715937145023369E-3</v>
      </c>
      <c r="J39" t="str">
        <f t="shared" si="1"/>
        <v>[</v>
      </c>
      <c r="K39" t="str">
        <f t="shared" si="2"/>
        <v>[0.00146142545915077],</v>
      </c>
      <c r="L39" t="str">
        <f t="shared" si="3"/>
        <v>[0.00292285091830155],</v>
      </c>
      <c r="M39" t="str">
        <f t="shared" si="3"/>
        <v>[0.00171431047802916],</v>
      </c>
      <c r="N39" t="str">
        <f t="shared" si="3"/>
        <v>[0.00189978642008402],</v>
      </c>
      <c r="O39" t="str">
        <f t="shared" si="3"/>
        <v>[0.000846182877461423],</v>
      </c>
      <c r="P39" t="str">
        <f t="shared" si="3"/>
        <v>[0.00136941982534888],</v>
      </c>
      <c r="Q39" t="str">
        <f t="shared" si="4"/>
        <v>[0.00347159371450234]</v>
      </c>
      <c r="R39" t="str">
        <f t="shared" si="5"/>
        <v>]</v>
      </c>
      <c r="S39" t="str">
        <f t="shared" si="6"/>
        <v>[[0.00146142545915077],[0.00292285091830155],[0.00171431047802916],[0.00189978642008402],[0.000846182877461423],[0.00136941982534888],[0.00347159371450234]]</v>
      </c>
    </row>
    <row r="40" spans="1:19" x14ac:dyDescent="0.2">
      <c r="A40" s="1" t="d">
        <v>2025-09-23</v>
      </c>
      <c r="B40">
        <f>daily_original_wrong!B40*total_from_MA_dashboard!B$24</f>
        <v>1.4614254591507735E-3</v>
      </c>
      <c r="C40">
        <f>daily_original_wrong!C40*total_from_MA_dashboard!C$24</f>
        <v>2.9228509183015471E-3</v>
      </c>
      <c r="D40">
        <f>daily_original_wrong!D40*total_from_MA_dashboard!D$24</f>
        <v>1.7143104780291617E-3</v>
      </c>
      <c r="E40">
        <f>daily_original_wrong!E40*total_from_MA_dashboard!E$24</f>
        <v>1.8997864200840174E-3</v>
      </c>
      <c r="F40">
        <f>daily_original_wrong!F40*total_from_MA_dashboard!F$24</f>
        <v>8.4618287746142308E-4</v>
      </c>
      <c r="G40">
        <f>daily_original_wrong!G40*total_from_MA_dashboard!G$24</f>
        <v>1.3694198253488758E-3</v>
      </c>
      <c r="H40">
        <f>daily_original_wrong!H40*total_from_MA_dashboard!H$24</f>
        <v>3.4715937145023369E-3</v>
      </c>
      <c r="J40" t="str">
        <f t="shared" si="1"/>
        <v>[</v>
      </c>
      <c r="K40" t="str">
        <f t="shared" si="2"/>
        <v>[0.00146142545915077],</v>
      </c>
      <c r="L40" t="str">
        <f t="shared" si="3"/>
        <v>[0.00292285091830155],</v>
      </c>
      <c r="M40" t="str">
        <f t="shared" si="3"/>
        <v>[0.00171431047802916],</v>
      </c>
      <c r="N40" t="str">
        <f t="shared" si="3"/>
        <v>[0.00189978642008402],</v>
      </c>
      <c r="O40" t="str">
        <f t="shared" si="3"/>
        <v>[0.000846182877461423],</v>
      </c>
      <c r="P40" t="str">
        <f t="shared" si="3"/>
        <v>[0.00136941982534888],</v>
      </c>
      <c r="Q40" t="str">
        <f t="shared" si="4"/>
        <v>[0.00347159371450234]</v>
      </c>
      <c r="R40" t="str">
        <f t="shared" si="5"/>
        <v>]</v>
      </c>
      <c r="S40" t="str">
        <f t="shared" si="6"/>
        <v>[[0.00146142545915077],[0.00292285091830155],[0.00171431047802916],[0.00189978642008402],[0.000846182877461423],[0.00136941982534888],[0.00347159371450234]]</v>
      </c>
    </row>
    <row r="41" spans="1:19" x14ac:dyDescent="0.2">
      <c r="A41" s="1" t="d">
        <v>2025-09-24</v>
      </c>
      <c r="B41">
        <f>daily_original_wrong!B41*total_from_MA_dashboard!B$24</f>
        <v>1.4614254591507735E-3</v>
      </c>
      <c r="C41">
        <f>daily_original_wrong!C41*total_from_MA_dashboard!C$24</f>
        <v>2.9228509183015471E-3</v>
      </c>
      <c r="D41">
        <f>daily_original_wrong!D41*total_from_MA_dashboard!D$24</f>
        <v>1.7143104780291617E-3</v>
      </c>
      <c r="E41">
        <f>daily_original_wrong!E41*total_from_MA_dashboard!E$24</f>
        <v>1.8997864200840174E-3</v>
      </c>
      <c r="F41">
        <f>daily_original_wrong!F41*total_from_MA_dashboard!F$24</f>
        <v>8.4618287746142308E-4</v>
      </c>
      <c r="G41">
        <f>daily_original_wrong!G41*total_from_MA_dashboard!G$24</f>
        <v>1.3694198253488758E-3</v>
      </c>
      <c r="H41">
        <f>daily_original_wrong!H41*total_from_MA_dashboard!H$24</f>
        <v>3.4715937145023369E-3</v>
      </c>
      <c r="J41" t="str">
        <f t="shared" si="1"/>
        <v>[</v>
      </c>
      <c r="K41" t="str">
        <f t="shared" si="2"/>
        <v>[0.00146142545915077],</v>
      </c>
      <c r="L41" t="str">
        <f t="shared" si="3"/>
        <v>[0.00292285091830155],</v>
      </c>
      <c r="M41" t="str">
        <f t="shared" si="3"/>
        <v>[0.00171431047802916],</v>
      </c>
      <c r="N41" t="str">
        <f t="shared" si="3"/>
        <v>[0.00189978642008402],</v>
      </c>
      <c r="O41" t="str">
        <f t="shared" si="3"/>
        <v>[0.000846182877461423],</v>
      </c>
      <c r="P41" t="str">
        <f t="shared" si="3"/>
        <v>[0.00136941982534888],</v>
      </c>
      <c r="Q41" t="str">
        <f t="shared" si="4"/>
        <v>[0.00347159371450234]</v>
      </c>
      <c r="R41" t="str">
        <f t="shared" si="5"/>
        <v>]</v>
      </c>
      <c r="S41" t="str">
        <f t="shared" si="6"/>
        <v>[[0.00146142545915077],[0.00292285091830155],[0.00171431047802916],[0.00189978642008402],[0.000846182877461423],[0.00136941982534888],[0.00347159371450234]]</v>
      </c>
    </row>
    <row r="42" spans="1:19" x14ac:dyDescent="0.2">
      <c r="A42" s="1" t="d">
        <v>2025-09-25</v>
      </c>
      <c r="B42">
        <f>daily_original_wrong!B42*total_from_MA_dashboard!B$24</f>
        <v>1.4614254591507735E-3</v>
      </c>
      <c r="C42">
        <f>daily_original_wrong!C42*total_from_MA_dashboard!C$24</f>
        <v>2.9228509183015471E-3</v>
      </c>
      <c r="D42">
        <f>daily_original_wrong!D42*total_from_MA_dashboard!D$24</f>
        <v>1.7143104780291617E-3</v>
      </c>
      <c r="E42">
        <f>daily_original_wrong!E42*total_from_MA_dashboard!E$24</f>
        <v>1.8997864200840174E-3</v>
      </c>
      <c r="F42">
        <f>daily_original_wrong!F42*total_from_MA_dashboard!F$24</f>
        <v>8.4618287746142308E-4</v>
      </c>
      <c r="G42">
        <f>daily_original_wrong!G42*total_from_MA_dashboard!G$24</f>
        <v>1.3694198253488758E-3</v>
      </c>
      <c r="H42">
        <f>daily_original_wrong!H42*total_from_MA_dashboard!H$24</f>
        <v>3.4715937145023369E-3</v>
      </c>
      <c r="J42" t="str">
        <f t="shared" si="1"/>
        <v>[</v>
      </c>
      <c r="K42" t="str">
        <f t="shared" si="2"/>
        <v>[0.00146142545915077],</v>
      </c>
      <c r="L42" t="str">
        <f t="shared" si="3"/>
        <v>[0.00292285091830155],</v>
      </c>
      <c r="M42" t="str">
        <f t="shared" si="3"/>
        <v>[0.00171431047802916],</v>
      </c>
      <c r="N42" t="str">
        <f t="shared" si="3"/>
        <v>[0.00189978642008402],</v>
      </c>
      <c r="O42" t="str">
        <f t="shared" si="3"/>
        <v>[0.000846182877461423],</v>
      </c>
      <c r="P42" t="str">
        <f t="shared" si="3"/>
        <v>[0.00136941982534888],</v>
      </c>
      <c r="Q42" t="str">
        <f t="shared" si="4"/>
        <v>[0.00347159371450234]</v>
      </c>
      <c r="R42" t="str">
        <f t="shared" si="5"/>
        <v>]</v>
      </c>
      <c r="S42" t="str">
        <f t="shared" si="6"/>
        <v>[[0.00146142545915077],[0.00292285091830155],[0.00171431047802916],[0.00189978642008402],[0.000846182877461423],[0.00136941982534888],[0.00347159371450234]]</v>
      </c>
    </row>
    <row r="43" spans="1:19" x14ac:dyDescent="0.2">
      <c r="A43" s="1" t="d">
        <v>2025-09-26</v>
      </c>
      <c r="B43">
        <f>daily_original_wrong!B43*total_from_MA_dashboard!B$24</f>
        <v>1.4614254591507735E-3</v>
      </c>
      <c r="C43">
        <f>daily_original_wrong!C43*total_from_MA_dashboard!C$24</f>
        <v>2.9228509183015471E-3</v>
      </c>
      <c r="D43">
        <f>daily_original_wrong!D43*total_from_MA_dashboard!D$24</f>
        <v>1.7143104780291617E-3</v>
      </c>
      <c r="E43">
        <f>daily_original_wrong!E43*total_from_MA_dashboard!E$24</f>
        <v>1.8997864200840174E-3</v>
      </c>
      <c r="F43">
        <f>daily_original_wrong!F43*total_from_MA_dashboard!F$24</f>
        <v>8.4618287746142308E-4</v>
      </c>
      <c r="G43">
        <f>daily_original_wrong!G43*total_from_MA_dashboard!G$24</f>
        <v>1.3694198253488758E-3</v>
      </c>
      <c r="H43">
        <f>daily_original_wrong!H43*total_from_MA_dashboard!H$24</f>
        <v>3.4715937145023369E-3</v>
      </c>
      <c r="J43" t="str">
        <f t="shared" si="1"/>
        <v>[</v>
      </c>
      <c r="K43" t="str">
        <f t="shared" si="2"/>
        <v>[0.00146142545915077],</v>
      </c>
      <c r="L43" t="str">
        <f t="shared" si="3"/>
        <v>[0.00292285091830155],</v>
      </c>
      <c r="M43" t="str">
        <f t="shared" si="3"/>
        <v>[0.00171431047802916],</v>
      </c>
      <c r="N43" t="str">
        <f t="shared" si="3"/>
        <v>[0.00189978642008402],</v>
      </c>
      <c r="O43" t="str">
        <f t="shared" si="3"/>
        <v>[0.000846182877461423],</v>
      </c>
      <c r="P43" t="str">
        <f t="shared" si="3"/>
        <v>[0.00136941982534888],</v>
      </c>
      <c r="Q43" t="str">
        <f t="shared" si="4"/>
        <v>[0.00347159371450234]</v>
      </c>
      <c r="R43" t="str">
        <f t="shared" si="5"/>
        <v>]</v>
      </c>
      <c r="S43" t="str">
        <f t="shared" si="6"/>
        <v>[[0.00146142545915077],[0.00292285091830155],[0.00171431047802916],[0.00189978642008402],[0.000846182877461423],[0.00136941982534888],[0.00347159371450234]]</v>
      </c>
    </row>
    <row r="44" spans="1:19" x14ac:dyDescent="0.2">
      <c r="A44" s="1" t="d">
        <v>2025-09-27</v>
      </c>
      <c r="B44">
        <f>daily_original_wrong!B44*total_from_MA_dashboard!B$24</f>
        <v>3.1145832750915101E-3</v>
      </c>
      <c r="C44">
        <f>daily_original_wrong!C44*total_from_MA_dashboard!C$24</f>
        <v>6.2291665501830202E-3</v>
      </c>
      <c r="D44">
        <f>daily_original_wrong!D44*total_from_MA_dashboard!D$24</f>
        <v>3.8269674644652936E-3</v>
      </c>
      <c r="E44">
        <f>daily_original_wrong!E44*total_from_MA_dashboard!E$24</f>
        <v>4.2786146284556834E-3</v>
      </c>
      <c r="F44">
        <f>daily_original_wrong!F44*total_from_MA_dashboard!F$24</f>
        <v>2.1995784397622082E-3</v>
      </c>
      <c r="G44">
        <f>daily_original_wrong!G44*total_from_MA_dashboard!G$24</f>
        <v>3.433356867187997E-3</v>
      </c>
      <c r="H44">
        <f>daily_original_wrong!H44*total_from_MA_dashboard!H$24</f>
        <v>7.7224541283661616E-3</v>
      </c>
      <c r="J44" t="str">
        <f t="shared" si="1"/>
        <v>[</v>
      </c>
      <c r="K44" t="str">
        <f t="shared" si="2"/>
        <v>[0.00311458327509151],</v>
      </c>
      <c r="L44" t="str">
        <f t="shared" si="3"/>
        <v>[0.00622916655018302],</v>
      </c>
      <c r="M44" t="str">
        <f t="shared" si="3"/>
        <v>[0.00382696746446529],</v>
      </c>
      <c r="N44" t="str">
        <f t="shared" si="3"/>
        <v>[0.00427861462845568],</v>
      </c>
      <c r="O44" t="str">
        <f t="shared" si="3"/>
        <v>[0.00219957843976221],</v>
      </c>
      <c r="P44" t="str">
        <f t="shared" si="3"/>
        <v>[0.003433356867188],</v>
      </c>
      <c r="Q44" t="str">
        <f t="shared" si="4"/>
        <v>[0.00772245412836616]</v>
      </c>
      <c r="R44" t="str">
        <f t="shared" si="5"/>
        <v>]</v>
      </c>
      <c r="S44" t="str">
        <f t="shared" si="6"/>
        <v>[[0.00311458327509151],[0.00622916655018302],[0.00382696746446529],[0.00427861462845568],[0.00219957843976221],[0.003433356867188],[0.00772245412836616]]</v>
      </c>
    </row>
    <row r="45" spans="1:19" x14ac:dyDescent="0.2">
      <c r="A45" s="1" t="d">
        <v>2025-09-28</v>
      </c>
      <c r="B45">
        <f>daily_original_wrong!B45*total_from_MA_dashboard!B$24</f>
        <v>3.1145832750915101E-3</v>
      </c>
      <c r="C45">
        <f>daily_original_wrong!C45*total_from_MA_dashboard!C$24</f>
        <v>6.2291665501830202E-3</v>
      </c>
      <c r="D45">
        <f>daily_original_wrong!D45*total_from_MA_dashboard!D$24</f>
        <v>3.8269674644652936E-3</v>
      </c>
      <c r="E45">
        <f>daily_original_wrong!E45*total_from_MA_dashboard!E$24</f>
        <v>4.2786146284556834E-3</v>
      </c>
      <c r="F45">
        <f>daily_original_wrong!F45*total_from_MA_dashboard!F$24</f>
        <v>2.1995784397622082E-3</v>
      </c>
      <c r="G45">
        <f>daily_original_wrong!G45*total_from_MA_dashboard!G$24</f>
        <v>3.433356867187997E-3</v>
      </c>
      <c r="H45">
        <f>daily_original_wrong!H45*total_from_MA_dashboard!H$24</f>
        <v>7.7224541283661616E-3</v>
      </c>
      <c r="J45" t="str">
        <f t="shared" si="1"/>
        <v>[</v>
      </c>
      <c r="K45" t="str">
        <f t="shared" si="2"/>
        <v>[0.00311458327509151],</v>
      </c>
      <c r="L45" t="str">
        <f t="shared" si="3"/>
        <v>[0.00622916655018302],</v>
      </c>
      <c r="M45" t="str">
        <f t="shared" si="3"/>
        <v>[0.00382696746446529],</v>
      </c>
      <c r="N45" t="str">
        <f t="shared" si="3"/>
        <v>[0.00427861462845568],</v>
      </c>
      <c r="O45" t="str">
        <f t="shared" si="3"/>
        <v>[0.00219957843976221],</v>
      </c>
      <c r="P45" t="str">
        <f t="shared" si="3"/>
        <v>[0.003433356867188],</v>
      </c>
      <c r="Q45" t="str">
        <f t="shared" si="4"/>
        <v>[0.00772245412836616]</v>
      </c>
      <c r="R45" t="str">
        <f t="shared" si="5"/>
        <v>]</v>
      </c>
      <c r="S45" t="str">
        <f t="shared" si="6"/>
        <v>[[0.00311458327509151],[0.00622916655018302],[0.00382696746446529],[0.00427861462845568],[0.00219957843976221],[0.003433356867188],[0.00772245412836616]]</v>
      </c>
    </row>
    <row r="46" spans="1:19" x14ac:dyDescent="0.2">
      <c r="A46" s="1" t="d">
        <v>2025-09-29</v>
      </c>
      <c r="B46">
        <f>daily_original_wrong!B46*total_from_MA_dashboard!B$24</f>
        <v>3.1145832750915101E-3</v>
      </c>
      <c r="C46">
        <f>daily_original_wrong!C46*total_from_MA_dashboard!C$24</f>
        <v>6.2291665501830202E-3</v>
      </c>
      <c r="D46">
        <f>daily_original_wrong!D46*total_from_MA_dashboard!D$24</f>
        <v>3.8269674644652936E-3</v>
      </c>
      <c r="E46">
        <f>daily_original_wrong!E46*total_from_MA_dashboard!E$24</f>
        <v>4.2786146284556834E-3</v>
      </c>
      <c r="F46">
        <f>daily_original_wrong!F46*total_from_MA_dashboard!F$24</f>
        <v>2.1995784397622082E-3</v>
      </c>
      <c r="G46">
        <f>daily_original_wrong!G46*total_from_MA_dashboard!G$24</f>
        <v>3.433356867187997E-3</v>
      </c>
      <c r="H46">
        <f>daily_original_wrong!H46*total_from_MA_dashboard!H$24</f>
        <v>7.7224541283661616E-3</v>
      </c>
      <c r="J46" t="str">
        <f t="shared" si="1"/>
        <v>[</v>
      </c>
      <c r="K46" t="str">
        <f t="shared" si="2"/>
        <v>[0.00311458327509151],</v>
      </c>
      <c r="L46" t="str">
        <f t="shared" si="3"/>
        <v>[0.00622916655018302],</v>
      </c>
      <c r="M46" t="str">
        <f t="shared" si="3"/>
        <v>[0.00382696746446529],</v>
      </c>
      <c r="N46" t="str">
        <f t="shared" si="3"/>
        <v>[0.00427861462845568],</v>
      </c>
      <c r="O46" t="str">
        <f t="shared" si="3"/>
        <v>[0.00219957843976221],</v>
      </c>
      <c r="P46" t="str">
        <f t="shared" si="3"/>
        <v>[0.003433356867188],</v>
      </c>
      <c r="Q46" t="str">
        <f t="shared" si="4"/>
        <v>[0.00772245412836616]</v>
      </c>
      <c r="R46" t="str">
        <f t="shared" si="5"/>
        <v>]</v>
      </c>
      <c r="S46" t="str">
        <f t="shared" si="6"/>
        <v>[[0.00311458327509151],[0.00622916655018302],[0.00382696746446529],[0.00427861462845568],[0.00219957843976221],[0.003433356867188],[0.00772245412836616]]</v>
      </c>
    </row>
    <row r="47" spans="1:19" x14ac:dyDescent="0.2">
      <c r="A47" s="1" t="d">
        <v>2025-09-30</v>
      </c>
      <c r="B47">
        <f>daily_original_wrong!B47*total_from_MA_dashboard!B$24</f>
        <v>3.1145832750915101E-3</v>
      </c>
      <c r="C47">
        <f>daily_original_wrong!C47*total_from_MA_dashboard!C$24</f>
        <v>6.2291665501830202E-3</v>
      </c>
      <c r="D47">
        <f>daily_original_wrong!D47*total_from_MA_dashboard!D$24</f>
        <v>3.8269674644652936E-3</v>
      </c>
      <c r="E47">
        <f>daily_original_wrong!E47*total_from_MA_dashboard!E$24</f>
        <v>4.2786146284556834E-3</v>
      </c>
      <c r="F47">
        <f>daily_original_wrong!F47*total_from_MA_dashboard!F$24</f>
        <v>2.1995784397622082E-3</v>
      </c>
      <c r="G47">
        <f>daily_original_wrong!G47*total_from_MA_dashboard!G$24</f>
        <v>3.433356867187997E-3</v>
      </c>
      <c r="H47">
        <f>daily_original_wrong!H47*total_from_MA_dashboard!H$24</f>
        <v>7.7224541283661616E-3</v>
      </c>
      <c r="J47" t="str">
        <f t="shared" si="1"/>
        <v>[</v>
      </c>
      <c r="K47" t="str">
        <f t="shared" si="2"/>
        <v>[0.00311458327509151],</v>
      </c>
      <c r="L47" t="str">
        <f t="shared" si="3"/>
        <v>[0.00622916655018302],</v>
      </c>
      <c r="M47" t="str">
        <f t="shared" si="3"/>
        <v>[0.00382696746446529],</v>
      </c>
      <c r="N47" t="str">
        <f t="shared" si="3"/>
        <v>[0.00427861462845568],</v>
      </c>
      <c r="O47" t="str">
        <f t="shared" si="3"/>
        <v>[0.00219957843976221],</v>
      </c>
      <c r="P47" t="str">
        <f t="shared" si="3"/>
        <v>[0.003433356867188],</v>
      </c>
      <c r="Q47" t="str">
        <f t="shared" si="4"/>
        <v>[0.00772245412836616]</v>
      </c>
      <c r="R47" t="str">
        <f t="shared" si="5"/>
        <v>]</v>
      </c>
      <c r="S47" t="str">
        <f t="shared" si="6"/>
        <v>[[0.00311458327509151],[0.00622916655018302],[0.00382696746446529],[0.00427861462845568],[0.00219957843976221],[0.003433356867188],[0.00772245412836616]]</v>
      </c>
    </row>
    <row r="48" spans="1:19" x14ac:dyDescent="0.2">
      <c r="A48" s="1" t="d">
        <v>2025-10-01</v>
      </c>
      <c r="B48">
        <f>daily_original_wrong!B48*total_from_MA_dashboard!B$24</f>
        <v>3.1145832750915101E-3</v>
      </c>
      <c r="C48">
        <f>daily_original_wrong!C48*total_from_MA_dashboard!C$24</f>
        <v>6.2291665501830202E-3</v>
      </c>
      <c r="D48">
        <f>daily_original_wrong!D48*total_from_MA_dashboard!D$24</f>
        <v>3.8269674644652936E-3</v>
      </c>
      <c r="E48">
        <f>daily_original_wrong!E48*total_from_MA_dashboard!E$24</f>
        <v>4.2786146284556834E-3</v>
      </c>
      <c r="F48">
        <f>daily_original_wrong!F48*total_from_MA_dashboard!F$24</f>
        <v>2.1995784397622082E-3</v>
      </c>
      <c r="G48">
        <f>daily_original_wrong!G48*total_from_MA_dashboard!G$24</f>
        <v>3.433356867187997E-3</v>
      </c>
      <c r="H48">
        <f>daily_original_wrong!H48*total_from_MA_dashboard!H$24</f>
        <v>7.7224541283661616E-3</v>
      </c>
      <c r="J48" t="str">
        <f t="shared" si="1"/>
        <v>[</v>
      </c>
      <c r="K48" t="str">
        <f t="shared" si="2"/>
        <v>[0.00311458327509151],</v>
      </c>
      <c r="L48" t="str">
        <f t="shared" si="3"/>
        <v>[0.00622916655018302],</v>
      </c>
      <c r="M48" t="str">
        <f t="shared" si="3"/>
        <v>[0.00382696746446529],</v>
      </c>
      <c r="N48" t="str">
        <f t="shared" si="3"/>
        <v>[0.00427861462845568],</v>
      </c>
      <c r="O48" t="str">
        <f t="shared" si="3"/>
        <v>[0.00219957843976221],</v>
      </c>
      <c r="P48" t="str">
        <f t="shared" si="3"/>
        <v>[0.003433356867188],</v>
      </c>
      <c r="Q48" t="str">
        <f t="shared" si="4"/>
        <v>[0.00772245412836616]</v>
      </c>
      <c r="R48" t="str">
        <f t="shared" si="5"/>
        <v>]</v>
      </c>
      <c r="S48" t="str">
        <f t="shared" si="6"/>
        <v>[[0.00311458327509151],[0.00622916655018302],[0.00382696746446529],[0.00427861462845568],[0.00219957843976221],[0.003433356867188],[0.00772245412836616]]</v>
      </c>
    </row>
    <row r="49" spans="1:19" x14ac:dyDescent="0.2">
      <c r="A49" s="1" t="d">
        <v>2025-10-02</v>
      </c>
      <c r="B49">
        <f>daily_original_wrong!B49*total_from_MA_dashboard!B$24</f>
        <v>3.1145832750915101E-3</v>
      </c>
      <c r="C49">
        <f>daily_original_wrong!C49*total_from_MA_dashboard!C$24</f>
        <v>6.2291665501830202E-3</v>
      </c>
      <c r="D49">
        <f>daily_original_wrong!D49*total_from_MA_dashboard!D$24</f>
        <v>3.8269674644652936E-3</v>
      </c>
      <c r="E49">
        <f>daily_original_wrong!E49*total_from_MA_dashboard!E$24</f>
        <v>4.2786146284556834E-3</v>
      </c>
      <c r="F49">
        <f>daily_original_wrong!F49*total_from_MA_dashboard!F$24</f>
        <v>2.1995784397622082E-3</v>
      </c>
      <c r="G49">
        <f>daily_original_wrong!G49*total_from_MA_dashboard!G$24</f>
        <v>3.433356867187997E-3</v>
      </c>
      <c r="H49">
        <f>daily_original_wrong!H49*total_from_MA_dashboard!H$24</f>
        <v>7.7224541283661616E-3</v>
      </c>
      <c r="J49" t="str">
        <f t="shared" si="1"/>
        <v>[</v>
      </c>
      <c r="K49" t="str">
        <f t="shared" si="2"/>
        <v>[0.00311458327509151],</v>
      </c>
      <c r="L49" t="str">
        <f t="shared" si="3"/>
        <v>[0.00622916655018302],</v>
      </c>
      <c r="M49" t="str">
        <f t="shared" si="3"/>
        <v>[0.00382696746446529],</v>
      </c>
      <c r="N49" t="str">
        <f t="shared" si="3"/>
        <v>[0.00427861462845568],</v>
      </c>
      <c r="O49" t="str">
        <f t="shared" si="3"/>
        <v>[0.00219957843976221],</v>
      </c>
      <c r="P49" t="str">
        <f t="shared" si="3"/>
        <v>[0.003433356867188],</v>
      </c>
      <c r="Q49" t="str">
        <f t="shared" si="4"/>
        <v>[0.00772245412836616]</v>
      </c>
      <c r="R49" t="str">
        <f t="shared" si="5"/>
        <v>]</v>
      </c>
      <c r="S49" t="str">
        <f t="shared" si="6"/>
        <v>[[0.00311458327509151],[0.00622916655018302],[0.00382696746446529],[0.00427861462845568],[0.00219957843976221],[0.003433356867188],[0.00772245412836616]]</v>
      </c>
    </row>
    <row r="50" spans="1:19" x14ac:dyDescent="0.2">
      <c r="A50" s="1" t="d">
        <v>2025-10-03</v>
      </c>
      <c r="B50">
        <f>daily_original_wrong!B50*total_from_MA_dashboard!B$24</f>
        <v>3.1145832750915101E-3</v>
      </c>
      <c r="C50">
        <f>daily_original_wrong!C50*total_from_MA_dashboard!C$24</f>
        <v>6.2291665501830202E-3</v>
      </c>
      <c r="D50">
        <f>daily_original_wrong!D50*total_from_MA_dashboard!D$24</f>
        <v>3.8269674644652936E-3</v>
      </c>
      <c r="E50">
        <f>daily_original_wrong!E50*total_from_MA_dashboard!E$24</f>
        <v>4.2786146284556834E-3</v>
      </c>
      <c r="F50">
        <f>daily_original_wrong!F50*total_from_MA_dashboard!F$24</f>
        <v>2.1995784397622082E-3</v>
      </c>
      <c r="G50">
        <f>daily_original_wrong!G50*total_from_MA_dashboard!G$24</f>
        <v>3.433356867187997E-3</v>
      </c>
      <c r="H50">
        <f>daily_original_wrong!H50*total_from_MA_dashboard!H$24</f>
        <v>7.7224541283661616E-3</v>
      </c>
      <c r="J50" t="str">
        <f t="shared" si="1"/>
        <v>[</v>
      </c>
      <c r="K50" t="str">
        <f t="shared" si="2"/>
        <v>[0.00311458327509151],</v>
      </c>
      <c r="L50" t="str">
        <f t="shared" si="3"/>
        <v>[0.00622916655018302],</v>
      </c>
      <c r="M50" t="str">
        <f t="shared" si="3"/>
        <v>[0.00382696746446529],</v>
      </c>
      <c r="N50" t="str">
        <f t="shared" si="3"/>
        <v>[0.00427861462845568],</v>
      </c>
      <c r="O50" t="str">
        <f t="shared" si="3"/>
        <v>[0.00219957843976221],</v>
      </c>
      <c r="P50" t="str">
        <f t="shared" si="3"/>
        <v>[0.003433356867188],</v>
      </c>
      <c r="Q50" t="str">
        <f t="shared" si="4"/>
        <v>[0.00772245412836616]</v>
      </c>
      <c r="R50" t="str">
        <f t="shared" si="5"/>
        <v>]</v>
      </c>
      <c r="S50" t="str">
        <f t="shared" si="6"/>
        <v>[[0.00311458327509151],[0.00622916655018302],[0.00382696746446529],[0.00427861462845568],[0.00219957843976221],[0.003433356867188],[0.00772245412836616]]</v>
      </c>
    </row>
    <row r="51" spans="1:19" x14ac:dyDescent="0.2">
      <c r="A51" s="1" t="d">
        <v>2025-10-04</v>
      </c>
      <c r="B51">
        <f>daily_original_wrong!B51*total_from_MA_dashboard!B$24</f>
        <v>1.7701846141725192E-3</v>
      </c>
      <c r="C51">
        <f>daily_original_wrong!C51*total_from_MA_dashboard!C$24</f>
        <v>3.5403692283450384E-3</v>
      </c>
      <c r="D51">
        <f>daily_original_wrong!D51*total_from_MA_dashboard!D$24</f>
        <v>2.3023616476277632E-3</v>
      </c>
      <c r="E51">
        <f>daily_original_wrong!E51*total_from_MA_dashboard!E$24</f>
        <v>2.6283471278620582E-3</v>
      </c>
      <c r="F51">
        <f>daily_original_wrong!F51*total_from_MA_dashboard!F$24</f>
        <v>1.5947457510616108E-3</v>
      </c>
      <c r="G51">
        <f>daily_original_wrong!G51*total_from_MA_dashboard!G$24</f>
        <v>2.4165500361197694E-3</v>
      </c>
      <c r="H51">
        <f>daily_original_wrong!H51*total_from_MA_dashboard!H$24</f>
        <v>4.6981488391862761E-3</v>
      </c>
      <c r="J51" t="str">
        <f t="shared" si="1"/>
        <v>[</v>
      </c>
      <c r="K51" t="str">
        <f t="shared" si="2"/>
        <v>[0.00177018461417252],</v>
      </c>
      <c r="L51" t="str">
        <f t="shared" si="3"/>
        <v>[0.00354036922834504],</v>
      </c>
      <c r="M51" t="str">
        <f t="shared" si="3"/>
        <v>[0.00230236164762776],</v>
      </c>
      <c r="N51" t="str">
        <f t="shared" si="3"/>
        <v>[0.00262834712786206],</v>
      </c>
      <c r="O51" t="str">
        <f t="shared" si="3"/>
        <v>[0.00159474575106161],</v>
      </c>
      <c r="P51" t="str">
        <f t="shared" si="3"/>
        <v>[0.00241655003611977],</v>
      </c>
      <c r="Q51" t="str">
        <f t="shared" si="4"/>
        <v>[0.00469814883918628]</v>
      </c>
      <c r="R51" t="str">
        <f t="shared" si="5"/>
        <v>]</v>
      </c>
      <c r="S51" t="str">
        <f t="shared" si="6"/>
        <v>[[0.00177018461417252],[0.00354036922834504],[0.00230236164762776],[0.00262834712786206],[0.00159474575106161],[0.00241655003611977],[0.00469814883918628]]</v>
      </c>
    </row>
    <row r="52" spans="1:19" x14ac:dyDescent="0.2">
      <c r="A52" s="1" t="d">
        <v>2025-10-05</v>
      </c>
      <c r="B52">
        <f>daily_original_wrong!B52*total_from_MA_dashboard!B$24</f>
        <v>1.7701846141725192E-3</v>
      </c>
      <c r="C52">
        <f>daily_original_wrong!C52*total_from_MA_dashboard!C$24</f>
        <v>3.5403692283450384E-3</v>
      </c>
      <c r="D52">
        <f>daily_original_wrong!D52*total_from_MA_dashboard!D$24</f>
        <v>2.3023616476277632E-3</v>
      </c>
      <c r="E52">
        <f>daily_original_wrong!E52*total_from_MA_dashboard!E$24</f>
        <v>2.6283471278620582E-3</v>
      </c>
      <c r="F52">
        <f>daily_original_wrong!F52*total_from_MA_dashboard!F$24</f>
        <v>1.5947457510616108E-3</v>
      </c>
      <c r="G52">
        <f>daily_original_wrong!G52*total_from_MA_dashboard!G$24</f>
        <v>2.4165500361197694E-3</v>
      </c>
      <c r="H52">
        <f>daily_original_wrong!H52*total_from_MA_dashboard!H$24</f>
        <v>4.6981488391862761E-3</v>
      </c>
      <c r="J52" t="str">
        <f t="shared" si="1"/>
        <v>[</v>
      </c>
      <c r="K52" t="str">
        <f t="shared" si="2"/>
        <v>[0.00177018461417252],</v>
      </c>
      <c r="L52" t="str">
        <f t="shared" si="3"/>
        <v>[0.00354036922834504],</v>
      </c>
      <c r="M52" t="str">
        <f t="shared" si="3"/>
        <v>[0.00230236164762776],</v>
      </c>
      <c r="N52" t="str">
        <f t="shared" si="3"/>
        <v>[0.00262834712786206],</v>
      </c>
      <c r="O52" t="str">
        <f t="shared" si="3"/>
        <v>[0.00159474575106161],</v>
      </c>
      <c r="P52" t="str">
        <f t="shared" si="3"/>
        <v>[0.00241655003611977],</v>
      </c>
      <c r="Q52" t="str">
        <f t="shared" si="4"/>
        <v>[0.00469814883918628]</v>
      </c>
      <c r="R52" t="str">
        <f t="shared" si="5"/>
        <v>]</v>
      </c>
      <c r="S52" t="str">
        <f t="shared" si="6"/>
        <v>[[0.00177018461417252],[0.00354036922834504],[0.00230236164762776],[0.00262834712786206],[0.00159474575106161],[0.00241655003611977],[0.00469814883918628]]</v>
      </c>
    </row>
    <row r="53" spans="1:19" x14ac:dyDescent="0.2">
      <c r="A53" s="1" t="d">
        <v>2025-10-06</v>
      </c>
      <c r="B53">
        <f>daily_original_wrong!B53*total_from_MA_dashboard!B$24</f>
        <v>1.7701846141725192E-3</v>
      </c>
      <c r="C53">
        <f>daily_original_wrong!C53*total_from_MA_dashboard!C$24</f>
        <v>3.5403692283450384E-3</v>
      </c>
      <c r="D53">
        <f>daily_original_wrong!D53*total_from_MA_dashboard!D$24</f>
        <v>2.3023616476277632E-3</v>
      </c>
      <c r="E53">
        <f>daily_original_wrong!E53*total_from_MA_dashboard!E$24</f>
        <v>2.6283471278620582E-3</v>
      </c>
      <c r="F53">
        <f>daily_original_wrong!F53*total_from_MA_dashboard!F$24</f>
        <v>1.5947457510616108E-3</v>
      </c>
      <c r="G53">
        <f>daily_original_wrong!G53*total_from_MA_dashboard!G$24</f>
        <v>2.4165500361197694E-3</v>
      </c>
      <c r="H53">
        <f>daily_original_wrong!H53*total_from_MA_dashboard!H$24</f>
        <v>4.6981488391862761E-3</v>
      </c>
      <c r="J53" t="str">
        <f t="shared" si="1"/>
        <v>[</v>
      </c>
      <c r="K53" t="str">
        <f t="shared" si="2"/>
        <v>[0.00177018461417252],</v>
      </c>
      <c r="L53" t="str">
        <f t="shared" si="3"/>
        <v>[0.00354036922834504],</v>
      </c>
      <c r="M53" t="str">
        <f t="shared" si="3"/>
        <v>[0.00230236164762776],</v>
      </c>
      <c r="N53" t="str">
        <f t="shared" si="3"/>
        <v>[0.00262834712786206],</v>
      </c>
      <c r="O53" t="str">
        <f t="shared" si="3"/>
        <v>[0.00159474575106161],</v>
      </c>
      <c r="P53" t="str">
        <f t="shared" si="3"/>
        <v>[0.00241655003611977],</v>
      </c>
      <c r="Q53" t="str">
        <f t="shared" si="4"/>
        <v>[0.00469814883918628]</v>
      </c>
      <c r="R53" t="str">
        <f t="shared" si="5"/>
        <v>]</v>
      </c>
      <c r="S53" t="str">
        <f t="shared" si="6"/>
        <v>[[0.00177018461417252],[0.00354036922834504],[0.00230236164762776],[0.00262834712786206],[0.00159474575106161],[0.00241655003611977],[0.00469814883918628]]</v>
      </c>
    </row>
    <row r="54" spans="1:19" x14ac:dyDescent="0.2">
      <c r="A54" s="1" t="d">
        <v>2025-10-07</v>
      </c>
      <c r="B54">
        <f>daily_original_wrong!B54*total_from_MA_dashboard!B$24</f>
        <v>1.7701846141725192E-3</v>
      </c>
      <c r="C54">
        <f>daily_original_wrong!C54*total_from_MA_dashboard!C$24</f>
        <v>3.5403692283450384E-3</v>
      </c>
      <c r="D54">
        <f>daily_original_wrong!D54*total_from_MA_dashboard!D$24</f>
        <v>2.3023616476277632E-3</v>
      </c>
      <c r="E54">
        <f>daily_original_wrong!E54*total_from_MA_dashboard!E$24</f>
        <v>2.6283471278620582E-3</v>
      </c>
      <c r="F54">
        <f>daily_original_wrong!F54*total_from_MA_dashboard!F$24</f>
        <v>1.5947457510616108E-3</v>
      </c>
      <c r="G54">
        <f>daily_original_wrong!G54*total_from_MA_dashboard!G$24</f>
        <v>2.4165500361197694E-3</v>
      </c>
      <c r="H54">
        <f>daily_original_wrong!H54*total_from_MA_dashboard!H$24</f>
        <v>4.6981488391862761E-3</v>
      </c>
      <c r="J54" t="str">
        <f t="shared" si="1"/>
        <v>[</v>
      </c>
      <c r="K54" t="str">
        <f t="shared" si="2"/>
        <v>[0.00177018461417252],</v>
      </c>
      <c r="L54" t="str">
        <f t="shared" ref="L54:P104" si="7">"["&amp;C54&amp;"],"</f>
        <v>[0.00354036922834504],</v>
      </c>
      <c r="M54" t="str">
        <f t="shared" si="7"/>
        <v>[0.00230236164762776],</v>
      </c>
      <c r="N54" t="str">
        <f t="shared" si="7"/>
        <v>[0.00262834712786206],</v>
      </c>
      <c r="O54" t="str">
        <f t="shared" si="7"/>
        <v>[0.00159474575106161],</v>
      </c>
      <c r="P54" t="str">
        <f t="shared" si="7"/>
        <v>[0.00241655003611977],</v>
      </c>
      <c r="Q54" t="str">
        <f t="shared" si="4"/>
        <v>[0.00469814883918628]</v>
      </c>
      <c r="R54" t="str">
        <f t="shared" si="5"/>
        <v>]</v>
      </c>
      <c r="S54" t="str">
        <f t="shared" si="6"/>
        <v>[[0.00177018461417252],[0.00354036922834504],[0.00230236164762776],[0.00262834712786206],[0.00159474575106161],[0.00241655003611977],[0.00469814883918628]]</v>
      </c>
    </row>
    <row r="55" spans="1:19" x14ac:dyDescent="0.2">
      <c r="A55" s="1" t="d">
        <v>2025-10-08</v>
      </c>
      <c r="B55">
        <f>daily_original_wrong!B55*total_from_MA_dashboard!B$24</f>
        <v>1.7701846141725192E-3</v>
      </c>
      <c r="C55">
        <f>daily_original_wrong!C55*total_from_MA_dashboard!C$24</f>
        <v>3.5403692283450384E-3</v>
      </c>
      <c r="D55">
        <f>daily_original_wrong!D55*total_from_MA_dashboard!D$24</f>
        <v>2.3023616476277632E-3</v>
      </c>
      <c r="E55">
        <f>daily_original_wrong!E55*total_from_MA_dashboard!E$24</f>
        <v>2.6283471278620582E-3</v>
      </c>
      <c r="F55">
        <f>daily_original_wrong!F55*total_from_MA_dashboard!F$24</f>
        <v>1.5947457510616108E-3</v>
      </c>
      <c r="G55">
        <f>daily_original_wrong!G55*total_from_MA_dashboard!G$24</f>
        <v>2.4165500361197694E-3</v>
      </c>
      <c r="H55">
        <f>daily_original_wrong!H55*total_from_MA_dashboard!H$24</f>
        <v>4.6981488391862761E-3</v>
      </c>
      <c r="J55" t="str">
        <f t="shared" si="1"/>
        <v>[</v>
      </c>
      <c r="K55" t="str">
        <f t="shared" si="2"/>
        <v>[0.00177018461417252],</v>
      </c>
      <c r="L55" t="str">
        <f t="shared" si="7"/>
        <v>[0.00354036922834504],</v>
      </c>
      <c r="M55" t="str">
        <f t="shared" si="7"/>
        <v>[0.00230236164762776],</v>
      </c>
      <c r="N55" t="str">
        <f t="shared" si="7"/>
        <v>[0.00262834712786206],</v>
      </c>
      <c r="O55" t="str">
        <f t="shared" si="7"/>
        <v>[0.00159474575106161],</v>
      </c>
      <c r="P55" t="str">
        <f t="shared" si="7"/>
        <v>[0.00241655003611977],</v>
      </c>
      <c r="Q55" t="str">
        <f t="shared" si="4"/>
        <v>[0.00469814883918628]</v>
      </c>
      <c r="R55" t="str">
        <f t="shared" si="5"/>
        <v>]</v>
      </c>
      <c r="S55" t="str">
        <f t="shared" si="6"/>
        <v>[[0.00177018461417252],[0.00354036922834504],[0.00230236164762776],[0.00262834712786206],[0.00159474575106161],[0.00241655003611977],[0.00469814883918628]]</v>
      </c>
    </row>
    <row r="56" spans="1:19" x14ac:dyDescent="0.2">
      <c r="A56" s="1" t="d">
        <v>2025-10-09</v>
      </c>
      <c r="B56">
        <f>daily_original_wrong!B56*total_from_MA_dashboard!B$24</f>
        <v>1.7701846141725192E-3</v>
      </c>
      <c r="C56">
        <f>daily_original_wrong!C56*total_from_MA_dashboard!C$24</f>
        <v>3.5403692283450384E-3</v>
      </c>
      <c r="D56">
        <f>daily_original_wrong!D56*total_from_MA_dashboard!D$24</f>
        <v>2.3023616476277632E-3</v>
      </c>
      <c r="E56">
        <f>daily_original_wrong!E56*total_from_MA_dashboard!E$24</f>
        <v>2.6283471278620582E-3</v>
      </c>
      <c r="F56">
        <f>daily_original_wrong!F56*total_from_MA_dashboard!F$24</f>
        <v>1.5947457510616108E-3</v>
      </c>
      <c r="G56">
        <f>daily_original_wrong!G56*total_from_MA_dashboard!G$24</f>
        <v>2.4165500361197694E-3</v>
      </c>
      <c r="H56">
        <f>daily_original_wrong!H56*total_from_MA_dashboard!H$24</f>
        <v>4.6981488391862761E-3</v>
      </c>
      <c r="J56" t="str">
        <f t="shared" si="1"/>
        <v>[</v>
      </c>
      <c r="K56" t="str">
        <f t="shared" si="2"/>
        <v>[0.00177018461417252],</v>
      </c>
      <c r="L56" t="str">
        <f t="shared" si="7"/>
        <v>[0.00354036922834504],</v>
      </c>
      <c r="M56" t="str">
        <f t="shared" si="7"/>
        <v>[0.00230236164762776],</v>
      </c>
      <c r="N56" t="str">
        <f t="shared" si="7"/>
        <v>[0.00262834712786206],</v>
      </c>
      <c r="O56" t="str">
        <f t="shared" si="7"/>
        <v>[0.00159474575106161],</v>
      </c>
      <c r="P56" t="str">
        <f t="shared" si="7"/>
        <v>[0.00241655003611977],</v>
      </c>
      <c r="Q56" t="str">
        <f t="shared" si="4"/>
        <v>[0.00469814883918628]</v>
      </c>
      <c r="R56" t="str">
        <f t="shared" si="5"/>
        <v>]</v>
      </c>
      <c r="S56" t="str">
        <f t="shared" si="6"/>
        <v>[[0.00177018461417252],[0.00354036922834504],[0.00230236164762776],[0.00262834712786206],[0.00159474575106161],[0.00241655003611977],[0.00469814883918628]]</v>
      </c>
    </row>
    <row r="57" spans="1:19" x14ac:dyDescent="0.2">
      <c r="A57" s="1" t="d">
        <v>2025-10-10</v>
      </c>
      <c r="B57">
        <f>daily_original_wrong!B57*total_from_MA_dashboard!B$24</f>
        <v>1.7701846141725192E-3</v>
      </c>
      <c r="C57">
        <f>daily_original_wrong!C57*total_from_MA_dashboard!C$24</f>
        <v>3.5403692283450384E-3</v>
      </c>
      <c r="D57">
        <f>daily_original_wrong!D57*total_from_MA_dashboard!D$24</f>
        <v>2.3023616476277632E-3</v>
      </c>
      <c r="E57">
        <f>daily_original_wrong!E57*total_from_MA_dashboard!E$24</f>
        <v>2.6283471278620582E-3</v>
      </c>
      <c r="F57">
        <f>daily_original_wrong!F57*total_from_MA_dashboard!F$24</f>
        <v>1.5947457510616108E-3</v>
      </c>
      <c r="G57">
        <f>daily_original_wrong!G57*total_from_MA_dashboard!G$24</f>
        <v>2.4165500361197694E-3</v>
      </c>
      <c r="H57">
        <f>daily_original_wrong!H57*total_from_MA_dashboard!H$24</f>
        <v>4.6981488391862761E-3</v>
      </c>
      <c r="J57" t="str">
        <f t="shared" si="1"/>
        <v>[</v>
      </c>
      <c r="K57" t="str">
        <f t="shared" si="2"/>
        <v>[0.00177018461417252],</v>
      </c>
      <c r="L57" t="str">
        <f t="shared" si="7"/>
        <v>[0.00354036922834504],</v>
      </c>
      <c r="M57" t="str">
        <f t="shared" si="7"/>
        <v>[0.00230236164762776],</v>
      </c>
      <c r="N57" t="str">
        <f t="shared" si="7"/>
        <v>[0.00262834712786206],</v>
      </c>
      <c r="O57" t="str">
        <f t="shared" si="7"/>
        <v>[0.00159474575106161],</v>
      </c>
      <c r="P57" t="str">
        <f t="shared" si="7"/>
        <v>[0.00241655003611977],</v>
      </c>
      <c r="Q57" t="str">
        <f t="shared" si="4"/>
        <v>[0.00469814883918628]</v>
      </c>
      <c r="R57" t="str">
        <f t="shared" si="5"/>
        <v>]</v>
      </c>
      <c r="S57" t="str">
        <f t="shared" si="6"/>
        <v>[[0.00177018461417252],[0.00354036922834504],[0.00230236164762776],[0.00262834712786206],[0.00159474575106161],[0.00241655003611977],[0.00469814883918628]]</v>
      </c>
    </row>
    <row r="58" spans="1:19" x14ac:dyDescent="0.2">
      <c r="A58" s="1" t="d">
        <v>2025-10-11</v>
      </c>
      <c r="B58">
        <f>daily_original_wrong!B58*total_from_MA_dashboard!B$24</f>
        <v>1.9835523116011381E-3</v>
      </c>
      <c r="C58">
        <f>daily_original_wrong!C58*total_from_MA_dashboard!C$24</f>
        <v>3.9671046232022762E-3</v>
      </c>
      <c r="D58">
        <f>daily_original_wrong!D58*total_from_MA_dashboard!D$24</f>
        <v>2.6755446497134217E-3</v>
      </c>
      <c r="E58">
        <f>daily_original_wrong!E58*total_from_MA_dashboard!E$24</f>
        <v>3.1107450073892475E-3</v>
      </c>
      <c r="F58">
        <f>daily_original_wrong!F58*total_from_MA_dashboard!F$24</f>
        <v>2.0978090258022687E-3</v>
      </c>
      <c r="G58">
        <f>daily_original_wrong!G58*total_from_MA_dashboard!G$24</f>
        <v>3.1305913653588654E-3</v>
      </c>
      <c r="H58">
        <f>daily_original_wrong!H58*total_from_MA_dashboard!H$24</f>
        <v>5.5398456452924677E-3</v>
      </c>
      <c r="J58" t="str">
        <f t="shared" si="1"/>
        <v>[</v>
      </c>
      <c r="K58" t="str">
        <f t="shared" si="2"/>
        <v>[0.00198355231160114],</v>
      </c>
      <c r="L58" t="str">
        <f t="shared" si="7"/>
        <v>[0.00396710462320228],</v>
      </c>
      <c r="M58" t="str">
        <f t="shared" si="7"/>
        <v>[0.00267554464971342],</v>
      </c>
      <c r="N58" t="str">
        <f t="shared" si="7"/>
        <v>[0.00311074500738925],</v>
      </c>
      <c r="O58" t="str">
        <f t="shared" si="7"/>
        <v>[0.00209780902580227],</v>
      </c>
      <c r="P58" t="str">
        <f t="shared" si="7"/>
        <v>[0.00313059136535887],</v>
      </c>
      <c r="Q58" t="str">
        <f t="shared" si="4"/>
        <v>[0.00553984564529247]</v>
      </c>
      <c r="R58" t="str">
        <f t="shared" si="5"/>
        <v>]</v>
      </c>
      <c r="S58" t="str">
        <f t="shared" si="6"/>
        <v>[[0.00198355231160114],[0.00396710462320228],[0.00267554464971342],[0.00311074500738925],[0.00209780902580227],[0.00313059136535887],[0.00553984564529247]]</v>
      </c>
    </row>
    <row r="59" spans="1:19" x14ac:dyDescent="0.2">
      <c r="A59" s="1" t="d">
        <v>2025-10-12</v>
      </c>
      <c r="B59">
        <f>daily_original_wrong!B59*total_from_MA_dashboard!B$24</f>
        <v>1.9835523116011381E-3</v>
      </c>
      <c r="C59">
        <f>daily_original_wrong!C59*total_from_MA_dashboard!C$24</f>
        <v>3.9671046232022762E-3</v>
      </c>
      <c r="D59">
        <f>daily_original_wrong!D59*total_from_MA_dashboard!D$24</f>
        <v>2.6755446497134217E-3</v>
      </c>
      <c r="E59">
        <f>daily_original_wrong!E59*total_from_MA_dashboard!E$24</f>
        <v>3.1107450073892475E-3</v>
      </c>
      <c r="F59">
        <f>daily_original_wrong!F59*total_from_MA_dashboard!F$24</f>
        <v>2.0978090258022687E-3</v>
      </c>
      <c r="G59">
        <f>daily_original_wrong!G59*total_from_MA_dashboard!G$24</f>
        <v>3.1305913653588654E-3</v>
      </c>
      <c r="H59">
        <f>daily_original_wrong!H59*total_from_MA_dashboard!H$24</f>
        <v>5.5398456452924677E-3</v>
      </c>
      <c r="J59" t="str">
        <f t="shared" si="1"/>
        <v>[</v>
      </c>
      <c r="K59" t="str">
        <f t="shared" si="2"/>
        <v>[0.00198355231160114],</v>
      </c>
      <c r="L59" t="str">
        <f t="shared" si="7"/>
        <v>[0.00396710462320228],</v>
      </c>
      <c r="M59" t="str">
        <f t="shared" si="7"/>
        <v>[0.00267554464971342],</v>
      </c>
      <c r="N59" t="str">
        <f t="shared" si="7"/>
        <v>[0.00311074500738925],</v>
      </c>
      <c r="O59" t="str">
        <f t="shared" si="7"/>
        <v>[0.00209780902580227],</v>
      </c>
      <c r="P59" t="str">
        <f t="shared" si="7"/>
        <v>[0.00313059136535887],</v>
      </c>
      <c r="Q59" t="str">
        <f t="shared" si="4"/>
        <v>[0.00553984564529247]</v>
      </c>
      <c r="R59" t="str">
        <f t="shared" si="5"/>
        <v>]</v>
      </c>
      <c r="S59" t="str">
        <f t="shared" si="6"/>
        <v>[[0.00198355231160114],[0.00396710462320228],[0.00267554464971342],[0.00311074500738925],[0.00209780902580227],[0.00313059136535887],[0.00553984564529247]]</v>
      </c>
    </row>
    <row r="60" spans="1:19" x14ac:dyDescent="0.2">
      <c r="A60" s="1" t="d">
        <v>2025-10-13</v>
      </c>
      <c r="B60">
        <f>daily_original_wrong!B60*total_from_MA_dashboard!B$24</f>
        <v>1.9835523116011381E-3</v>
      </c>
      <c r="C60">
        <f>daily_original_wrong!C60*total_from_MA_dashboard!C$24</f>
        <v>3.9671046232022762E-3</v>
      </c>
      <c r="D60">
        <f>daily_original_wrong!D60*total_from_MA_dashboard!D$24</f>
        <v>2.6755446497134217E-3</v>
      </c>
      <c r="E60">
        <f>daily_original_wrong!E60*total_from_MA_dashboard!E$24</f>
        <v>3.1107450073892475E-3</v>
      </c>
      <c r="F60">
        <f>daily_original_wrong!F60*total_from_MA_dashboard!F$24</f>
        <v>2.0978090258022687E-3</v>
      </c>
      <c r="G60">
        <f>daily_original_wrong!G60*total_from_MA_dashboard!G$24</f>
        <v>3.1305913653588654E-3</v>
      </c>
      <c r="H60">
        <f>daily_original_wrong!H60*total_from_MA_dashboard!H$24</f>
        <v>5.5398456452924677E-3</v>
      </c>
      <c r="J60" t="str">
        <f t="shared" si="1"/>
        <v>[</v>
      </c>
      <c r="K60" t="str">
        <f t="shared" si="2"/>
        <v>[0.00198355231160114],</v>
      </c>
      <c r="L60" t="str">
        <f t="shared" si="7"/>
        <v>[0.00396710462320228],</v>
      </c>
      <c r="M60" t="str">
        <f t="shared" si="7"/>
        <v>[0.00267554464971342],</v>
      </c>
      <c r="N60" t="str">
        <f t="shared" si="7"/>
        <v>[0.00311074500738925],</v>
      </c>
      <c r="O60" t="str">
        <f t="shared" si="7"/>
        <v>[0.00209780902580227],</v>
      </c>
      <c r="P60" t="str">
        <f t="shared" si="7"/>
        <v>[0.00313059136535887],</v>
      </c>
      <c r="Q60" t="str">
        <f t="shared" si="4"/>
        <v>[0.00553984564529247]</v>
      </c>
      <c r="R60" t="str">
        <f t="shared" si="5"/>
        <v>]</v>
      </c>
      <c r="S60" t="str">
        <f t="shared" si="6"/>
        <v>[[0.00198355231160114],[0.00396710462320228],[0.00267554464971342],[0.00311074500738925],[0.00209780902580227],[0.00313059136535887],[0.00553984564529247]]</v>
      </c>
    </row>
    <row r="61" spans="1:19" x14ac:dyDescent="0.2">
      <c r="A61" s="1" t="d">
        <v>2025-10-14</v>
      </c>
      <c r="B61">
        <f>daily_original_wrong!B61*total_from_MA_dashboard!B$24</f>
        <v>1.9835523116011381E-3</v>
      </c>
      <c r="C61">
        <f>daily_original_wrong!C61*total_from_MA_dashboard!C$24</f>
        <v>3.9671046232022762E-3</v>
      </c>
      <c r="D61">
        <f>daily_original_wrong!D61*total_from_MA_dashboard!D$24</f>
        <v>2.6755446497134217E-3</v>
      </c>
      <c r="E61">
        <f>daily_original_wrong!E61*total_from_MA_dashboard!E$24</f>
        <v>3.1107450073892475E-3</v>
      </c>
      <c r="F61">
        <f>daily_original_wrong!F61*total_from_MA_dashboard!F$24</f>
        <v>2.0978090258022687E-3</v>
      </c>
      <c r="G61">
        <f>daily_original_wrong!G61*total_from_MA_dashboard!G$24</f>
        <v>3.1305913653588654E-3</v>
      </c>
      <c r="H61">
        <f>daily_original_wrong!H61*total_from_MA_dashboard!H$24</f>
        <v>5.5398456452924677E-3</v>
      </c>
      <c r="J61" t="str">
        <f t="shared" si="1"/>
        <v>[</v>
      </c>
      <c r="K61" t="str">
        <f t="shared" si="2"/>
        <v>[0.00198355231160114],</v>
      </c>
      <c r="L61" t="str">
        <f t="shared" si="7"/>
        <v>[0.00396710462320228],</v>
      </c>
      <c r="M61" t="str">
        <f t="shared" si="7"/>
        <v>[0.00267554464971342],</v>
      </c>
      <c r="N61" t="str">
        <f t="shared" si="7"/>
        <v>[0.00311074500738925],</v>
      </c>
      <c r="O61" t="str">
        <f t="shared" si="7"/>
        <v>[0.00209780902580227],</v>
      </c>
      <c r="P61" t="str">
        <f t="shared" si="7"/>
        <v>[0.00313059136535887],</v>
      </c>
      <c r="Q61" t="str">
        <f t="shared" si="4"/>
        <v>[0.00553984564529247]</v>
      </c>
      <c r="R61" t="str">
        <f t="shared" si="5"/>
        <v>]</v>
      </c>
      <c r="S61" t="str">
        <f t="shared" si="6"/>
        <v>[[0.00198355231160114],[0.00396710462320228],[0.00267554464971342],[0.00311074500738925],[0.00209780902580227],[0.00313059136535887],[0.00553984564529247]]</v>
      </c>
    </row>
    <row r="62" spans="1:19" x14ac:dyDescent="0.2">
      <c r="A62" s="1" t="d">
        <v>2025-10-15</v>
      </c>
      <c r="B62">
        <f>daily_original_wrong!B62*total_from_MA_dashboard!B$24</f>
        <v>1.9835523116011381E-3</v>
      </c>
      <c r="C62">
        <f>daily_original_wrong!C62*total_from_MA_dashboard!C$24</f>
        <v>3.9671046232022762E-3</v>
      </c>
      <c r="D62">
        <f>daily_original_wrong!D62*total_from_MA_dashboard!D$24</f>
        <v>2.6755446497134217E-3</v>
      </c>
      <c r="E62">
        <f>daily_original_wrong!E62*total_from_MA_dashboard!E$24</f>
        <v>3.1107450073892475E-3</v>
      </c>
      <c r="F62">
        <f>daily_original_wrong!F62*total_from_MA_dashboard!F$24</f>
        <v>2.0978090258022687E-3</v>
      </c>
      <c r="G62">
        <f>daily_original_wrong!G62*total_from_MA_dashboard!G$24</f>
        <v>3.1305913653588654E-3</v>
      </c>
      <c r="H62">
        <f>daily_original_wrong!H62*total_from_MA_dashboard!H$24</f>
        <v>5.5398456452924677E-3</v>
      </c>
      <c r="J62" t="str">
        <f t="shared" si="1"/>
        <v>[</v>
      </c>
      <c r="K62" t="str">
        <f t="shared" si="2"/>
        <v>[0.00198355231160114],</v>
      </c>
      <c r="L62" t="str">
        <f t="shared" si="7"/>
        <v>[0.00396710462320228],</v>
      </c>
      <c r="M62" t="str">
        <f t="shared" si="7"/>
        <v>[0.00267554464971342],</v>
      </c>
      <c r="N62" t="str">
        <f t="shared" si="7"/>
        <v>[0.00311074500738925],</v>
      </c>
      <c r="O62" t="str">
        <f t="shared" si="7"/>
        <v>[0.00209780902580227],</v>
      </c>
      <c r="P62" t="str">
        <f t="shared" si="7"/>
        <v>[0.00313059136535887],</v>
      </c>
      <c r="Q62" t="str">
        <f t="shared" si="4"/>
        <v>[0.00553984564529247]</v>
      </c>
      <c r="R62" t="str">
        <f t="shared" si="5"/>
        <v>]</v>
      </c>
      <c r="S62" t="str">
        <f t="shared" si="6"/>
        <v>[[0.00198355231160114],[0.00396710462320228],[0.00267554464971342],[0.00311074500738925],[0.00209780902580227],[0.00313059136535887],[0.00553984564529247]]</v>
      </c>
    </row>
    <row r="63" spans="1:19" x14ac:dyDescent="0.2">
      <c r="A63" s="1" t="d">
        <v>2025-10-16</v>
      </c>
      <c r="B63">
        <f>daily_original_wrong!B63*total_from_MA_dashboard!B$24</f>
        <v>1.9835523116011381E-3</v>
      </c>
      <c r="C63">
        <f>daily_original_wrong!C63*total_from_MA_dashboard!C$24</f>
        <v>3.9671046232022762E-3</v>
      </c>
      <c r="D63">
        <f>daily_original_wrong!D63*total_from_MA_dashboard!D$24</f>
        <v>2.6755446497134217E-3</v>
      </c>
      <c r="E63">
        <f>daily_original_wrong!E63*total_from_MA_dashboard!E$24</f>
        <v>3.1107450073892475E-3</v>
      </c>
      <c r="F63">
        <f>daily_original_wrong!F63*total_from_MA_dashboard!F$24</f>
        <v>2.0978090258022687E-3</v>
      </c>
      <c r="G63">
        <f>daily_original_wrong!G63*total_from_MA_dashboard!G$24</f>
        <v>3.1305913653588654E-3</v>
      </c>
      <c r="H63">
        <f>daily_original_wrong!H63*total_from_MA_dashboard!H$24</f>
        <v>5.5398456452924677E-3</v>
      </c>
      <c r="J63" t="str">
        <f t="shared" si="1"/>
        <v>[</v>
      </c>
      <c r="K63" t="str">
        <f t="shared" si="2"/>
        <v>[0.00198355231160114],</v>
      </c>
      <c r="L63" t="str">
        <f t="shared" si="7"/>
        <v>[0.00396710462320228],</v>
      </c>
      <c r="M63" t="str">
        <f t="shared" si="7"/>
        <v>[0.00267554464971342],</v>
      </c>
      <c r="N63" t="str">
        <f t="shared" si="7"/>
        <v>[0.00311074500738925],</v>
      </c>
      <c r="O63" t="str">
        <f t="shared" si="7"/>
        <v>[0.00209780902580227],</v>
      </c>
      <c r="P63" t="str">
        <f t="shared" si="7"/>
        <v>[0.00313059136535887],</v>
      </c>
      <c r="Q63" t="str">
        <f t="shared" si="4"/>
        <v>[0.00553984564529247]</v>
      </c>
      <c r="R63" t="str">
        <f t="shared" si="5"/>
        <v>]</v>
      </c>
      <c r="S63" t="str">
        <f t="shared" si="6"/>
        <v>[[0.00198355231160114],[0.00396710462320228],[0.00267554464971342],[0.00311074500738925],[0.00209780902580227],[0.00313059136535887],[0.00553984564529247]]</v>
      </c>
    </row>
    <row r="64" spans="1:19" x14ac:dyDescent="0.2">
      <c r="A64" s="1" t="d">
        <v>2025-10-17</v>
      </c>
      <c r="B64">
        <f>daily_original_wrong!B64*total_from_MA_dashboard!B$24</f>
        <v>1.9835523116011381E-3</v>
      </c>
      <c r="C64">
        <f>daily_original_wrong!C64*total_from_MA_dashboard!C$24</f>
        <v>3.9671046232022762E-3</v>
      </c>
      <c r="D64">
        <f>daily_original_wrong!D64*total_from_MA_dashboard!D$24</f>
        <v>2.6755446497134217E-3</v>
      </c>
      <c r="E64">
        <f>daily_original_wrong!E64*total_from_MA_dashboard!E$24</f>
        <v>3.1107450073892475E-3</v>
      </c>
      <c r="F64">
        <f>daily_original_wrong!F64*total_from_MA_dashboard!F$24</f>
        <v>2.0978090258022687E-3</v>
      </c>
      <c r="G64">
        <f>daily_original_wrong!G64*total_from_MA_dashboard!G$24</f>
        <v>3.1305913653588654E-3</v>
      </c>
      <c r="H64">
        <f>daily_original_wrong!H64*total_from_MA_dashboard!H$24</f>
        <v>5.5398456452924677E-3</v>
      </c>
      <c r="J64" t="str">
        <f t="shared" si="1"/>
        <v>[</v>
      </c>
      <c r="K64" t="str">
        <f t="shared" si="2"/>
        <v>[0.00198355231160114],</v>
      </c>
      <c r="L64" t="str">
        <f t="shared" si="7"/>
        <v>[0.00396710462320228],</v>
      </c>
      <c r="M64" t="str">
        <f t="shared" si="7"/>
        <v>[0.00267554464971342],</v>
      </c>
      <c r="N64" t="str">
        <f t="shared" si="7"/>
        <v>[0.00311074500738925],</v>
      </c>
      <c r="O64" t="str">
        <f t="shared" si="7"/>
        <v>[0.00209780902580227],</v>
      </c>
      <c r="P64" t="str">
        <f t="shared" si="7"/>
        <v>[0.00313059136535887],</v>
      </c>
      <c r="Q64" t="str">
        <f t="shared" si="4"/>
        <v>[0.00553984564529247]</v>
      </c>
      <c r="R64" t="str">
        <f t="shared" si="5"/>
        <v>]</v>
      </c>
      <c r="S64" t="str">
        <f t="shared" si="6"/>
        <v>[[0.00198355231160114],[0.00396710462320228],[0.00267554464971342],[0.00311074500738925],[0.00209780902580227],[0.00313059136535887],[0.00553984564529247]]</v>
      </c>
    </row>
    <row r="65" spans="1:19" x14ac:dyDescent="0.2">
      <c r="A65" s="1" t="d">
        <v>2025-10-18</v>
      </c>
      <c r="B65">
        <f>daily_original_wrong!B65*total_from_MA_dashboard!B$24</f>
        <v>2.1499849517592163E-3</v>
      </c>
      <c r="C65">
        <f>daily_original_wrong!C65*total_from_MA_dashboard!C$24</f>
        <v>4.2999699035184327E-3</v>
      </c>
      <c r="D65">
        <f>daily_original_wrong!D65*total_from_MA_dashboard!D$24</f>
        <v>3.0096813739513332E-3</v>
      </c>
      <c r="E65">
        <f>daily_original_wrong!E65*total_from_MA_dashboard!E$24</f>
        <v>3.5267090344453665E-3</v>
      </c>
      <c r="F65">
        <f>daily_original_wrong!F65*total_from_MA_dashboard!F$24</f>
        <v>2.5712488131053052E-3</v>
      </c>
      <c r="G65">
        <f>daily_original_wrong!G65*total_from_MA_dashboard!G$24</f>
        <v>3.7771349030190568E-3</v>
      </c>
      <c r="H65">
        <f>daily_original_wrong!H65*total_from_MA_dashboard!H$24</f>
        <v>6.2300601047197831E-3</v>
      </c>
      <c r="J65" t="str">
        <f t="shared" si="1"/>
        <v>[</v>
      </c>
      <c r="K65" t="str">
        <f t="shared" si="2"/>
        <v>[0.00214998495175922],</v>
      </c>
      <c r="L65" t="str">
        <f t="shared" si="7"/>
        <v>[0.00429996990351843],</v>
      </c>
      <c r="M65" t="str">
        <f t="shared" si="7"/>
        <v>[0.00300968137395133],</v>
      </c>
      <c r="N65" t="str">
        <f t="shared" si="7"/>
        <v>[0.00352670903444537],</v>
      </c>
      <c r="O65" t="str">
        <f t="shared" si="7"/>
        <v>[0.00257124881310531],</v>
      </c>
      <c r="P65" t="str">
        <f t="shared" si="7"/>
        <v>[0.00377713490301906],</v>
      </c>
      <c r="Q65" t="str">
        <f t="shared" si="4"/>
        <v>[0.00623006010471978]</v>
      </c>
      <c r="R65" t="str">
        <f t="shared" si="5"/>
        <v>]</v>
      </c>
      <c r="S65" t="str">
        <f t="shared" si="6"/>
        <v>[[0.00214998495175922],[0.00429996990351843],[0.00300968137395133],[0.00352670903444537],[0.00257124881310531],[0.00377713490301906],[0.00623006010471978]]</v>
      </c>
    </row>
    <row r="66" spans="1:19" x14ac:dyDescent="0.2">
      <c r="A66" s="1" t="d">
        <v>2025-10-19</v>
      </c>
      <c r="B66">
        <f>daily_original_wrong!B66*total_from_MA_dashboard!B$24</f>
        <v>2.1499849517592163E-3</v>
      </c>
      <c r="C66">
        <f>daily_original_wrong!C66*total_from_MA_dashboard!C$24</f>
        <v>4.2999699035184327E-3</v>
      </c>
      <c r="D66">
        <f>daily_original_wrong!D66*total_from_MA_dashboard!D$24</f>
        <v>3.0096813739513332E-3</v>
      </c>
      <c r="E66">
        <f>daily_original_wrong!E66*total_from_MA_dashboard!E$24</f>
        <v>3.5267090344453665E-3</v>
      </c>
      <c r="F66">
        <f>daily_original_wrong!F66*total_from_MA_dashboard!F$24</f>
        <v>2.5712488131053052E-3</v>
      </c>
      <c r="G66">
        <f>daily_original_wrong!G66*total_from_MA_dashboard!G$24</f>
        <v>3.7771349030190568E-3</v>
      </c>
      <c r="H66">
        <f>daily_original_wrong!H66*total_from_MA_dashboard!H$24</f>
        <v>6.2300601047197831E-3</v>
      </c>
      <c r="J66" t="str">
        <f t="shared" si="1"/>
        <v>[</v>
      </c>
      <c r="K66" t="str">
        <f t="shared" si="2"/>
        <v>[0.00214998495175922],</v>
      </c>
      <c r="L66" t="str">
        <f t="shared" si="7"/>
        <v>[0.00429996990351843],</v>
      </c>
      <c r="M66" t="str">
        <f t="shared" si="7"/>
        <v>[0.00300968137395133],</v>
      </c>
      <c r="N66" t="str">
        <f t="shared" si="7"/>
        <v>[0.00352670903444537],</v>
      </c>
      <c r="O66" t="str">
        <f t="shared" si="7"/>
        <v>[0.00257124881310531],</v>
      </c>
      <c r="P66" t="str">
        <f t="shared" si="7"/>
        <v>[0.00377713490301906],</v>
      </c>
      <c r="Q66" t="str">
        <f t="shared" si="4"/>
        <v>[0.00623006010471978]</v>
      </c>
      <c r="R66" t="str">
        <f t="shared" si="5"/>
        <v>]</v>
      </c>
      <c r="S66" t="str">
        <f t="shared" si="6"/>
        <v>[[0.00214998495175922],[0.00429996990351843],[0.00300968137395133],[0.00352670903444537],[0.00257124881310531],[0.00377713490301906],[0.00623006010471978]]</v>
      </c>
    </row>
    <row r="67" spans="1:19" x14ac:dyDescent="0.2">
      <c r="A67" s="1" t="d">
        <v>2025-10-20</v>
      </c>
      <c r="B67">
        <f>daily_original_wrong!B67*total_from_MA_dashboard!B$24</f>
        <v>2.1499849517592163E-3</v>
      </c>
      <c r="C67">
        <f>daily_original_wrong!C67*total_from_MA_dashboard!C$24</f>
        <v>4.2999699035184327E-3</v>
      </c>
      <c r="D67">
        <f>daily_original_wrong!D67*total_from_MA_dashboard!D$24</f>
        <v>3.0096813739513332E-3</v>
      </c>
      <c r="E67">
        <f>daily_original_wrong!E67*total_from_MA_dashboard!E$24</f>
        <v>3.5267090344453665E-3</v>
      </c>
      <c r="F67">
        <f>daily_original_wrong!F67*total_from_MA_dashboard!F$24</f>
        <v>2.5712488131053052E-3</v>
      </c>
      <c r="G67">
        <f>daily_original_wrong!G67*total_from_MA_dashboard!G$24</f>
        <v>3.7771349030190568E-3</v>
      </c>
      <c r="H67">
        <f>daily_original_wrong!H67*total_from_MA_dashboard!H$24</f>
        <v>6.2300601047197831E-3</v>
      </c>
      <c r="J67" t="str">
        <f t="shared" ref="J67:J130" si="8">"["</f>
        <v>[</v>
      </c>
      <c r="K67" t="str">
        <f t="shared" ref="K67:K130" si="9">"["&amp;B67&amp;"],"</f>
        <v>[0.00214998495175922],</v>
      </c>
      <c r="L67" t="str">
        <f t="shared" si="7"/>
        <v>[0.00429996990351843],</v>
      </c>
      <c r="M67" t="str">
        <f t="shared" si="7"/>
        <v>[0.00300968137395133],</v>
      </c>
      <c r="N67" t="str">
        <f t="shared" si="7"/>
        <v>[0.00352670903444537],</v>
      </c>
      <c r="O67" t="str">
        <f t="shared" si="7"/>
        <v>[0.00257124881310531],</v>
      </c>
      <c r="P67" t="str">
        <f t="shared" si="7"/>
        <v>[0.00377713490301906],</v>
      </c>
      <c r="Q67" t="str">
        <f t="shared" ref="Q67:Q130" si="10">"["&amp;H67&amp;"]"</f>
        <v>[0.00623006010471978]</v>
      </c>
      <c r="R67" t="str">
        <f t="shared" ref="R67:R130" si="11">"]"</f>
        <v>]</v>
      </c>
      <c r="S67" t="str">
        <f t="shared" ref="S67:S130" si="12">J67&amp;K67&amp;L67&amp;M67&amp;N67&amp;O67&amp;P67&amp;Q67&amp;R67</f>
        <v>[[0.00214998495175922],[0.00429996990351843],[0.00300968137395133],[0.00352670903444537],[0.00257124881310531],[0.00377713490301906],[0.00623006010471978]]</v>
      </c>
    </row>
    <row r="68" spans="1:19" x14ac:dyDescent="0.2">
      <c r="A68" s="1" t="d">
        <v>2025-10-21</v>
      </c>
      <c r="B68">
        <f>daily_original_wrong!B68*total_from_MA_dashboard!B$24</f>
        <v>2.1499849517592163E-3</v>
      </c>
      <c r="C68">
        <f>daily_original_wrong!C68*total_from_MA_dashboard!C$24</f>
        <v>4.2999699035184327E-3</v>
      </c>
      <c r="D68">
        <f>daily_original_wrong!D68*total_from_MA_dashboard!D$24</f>
        <v>3.0096813739513332E-3</v>
      </c>
      <c r="E68">
        <f>daily_original_wrong!E68*total_from_MA_dashboard!E$24</f>
        <v>3.5267090344453665E-3</v>
      </c>
      <c r="F68">
        <f>daily_original_wrong!F68*total_from_MA_dashboard!F$24</f>
        <v>2.5712488131053052E-3</v>
      </c>
      <c r="G68">
        <f>daily_original_wrong!G68*total_from_MA_dashboard!G$24</f>
        <v>3.7771349030190568E-3</v>
      </c>
      <c r="H68">
        <f>daily_original_wrong!H68*total_from_MA_dashboard!H$24</f>
        <v>6.2300601047197831E-3</v>
      </c>
      <c r="J68" t="str">
        <f t="shared" si="8"/>
        <v>[</v>
      </c>
      <c r="K68" t="str">
        <f t="shared" si="9"/>
        <v>[0.00214998495175922],</v>
      </c>
      <c r="L68" t="str">
        <f t="shared" si="7"/>
        <v>[0.00429996990351843],</v>
      </c>
      <c r="M68" t="str">
        <f t="shared" si="7"/>
        <v>[0.00300968137395133],</v>
      </c>
      <c r="N68" t="str">
        <f t="shared" si="7"/>
        <v>[0.00352670903444537],</v>
      </c>
      <c r="O68" t="str">
        <f t="shared" si="7"/>
        <v>[0.00257124881310531],</v>
      </c>
      <c r="P68" t="str">
        <f t="shared" si="7"/>
        <v>[0.00377713490301906],</v>
      </c>
      <c r="Q68" t="str">
        <f t="shared" si="10"/>
        <v>[0.00623006010471978]</v>
      </c>
      <c r="R68" t="str">
        <f t="shared" si="11"/>
        <v>]</v>
      </c>
      <c r="S68" t="str">
        <f t="shared" si="12"/>
        <v>[[0.00214998495175922],[0.00429996990351843],[0.00300968137395133],[0.00352670903444537],[0.00257124881310531],[0.00377713490301906],[0.00623006010471978]]</v>
      </c>
    </row>
    <row r="69" spans="1:19" x14ac:dyDescent="0.2">
      <c r="A69" s="1" t="d">
        <v>2025-10-22</v>
      </c>
      <c r="B69">
        <f>daily_original_wrong!B69*total_from_MA_dashboard!B$24</f>
        <v>2.1499849517592163E-3</v>
      </c>
      <c r="C69">
        <f>daily_original_wrong!C69*total_from_MA_dashboard!C$24</f>
        <v>4.2999699035184327E-3</v>
      </c>
      <c r="D69">
        <f>daily_original_wrong!D69*total_from_MA_dashboard!D$24</f>
        <v>3.0096813739513332E-3</v>
      </c>
      <c r="E69">
        <f>daily_original_wrong!E69*total_from_MA_dashboard!E$24</f>
        <v>3.5267090344453665E-3</v>
      </c>
      <c r="F69">
        <f>daily_original_wrong!F69*total_from_MA_dashboard!F$24</f>
        <v>2.5712488131053052E-3</v>
      </c>
      <c r="G69">
        <f>daily_original_wrong!G69*total_from_MA_dashboard!G$24</f>
        <v>3.7771349030190568E-3</v>
      </c>
      <c r="H69">
        <f>daily_original_wrong!H69*total_from_MA_dashboard!H$24</f>
        <v>6.2300601047197831E-3</v>
      </c>
      <c r="J69" t="str">
        <f t="shared" si="8"/>
        <v>[</v>
      </c>
      <c r="K69" t="str">
        <f t="shared" si="9"/>
        <v>[0.00214998495175922],</v>
      </c>
      <c r="L69" t="str">
        <f t="shared" si="7"/>
        <v>[0.00429996990351843],</v>
      </c>
      <c r="M69" t="str">
        <f t="shared" si="7"/>
        <v>[0.00300968137395133],</v>
      </c>
      <c r="N69" t="str">
        <f t="shared" si="7"/>
        <v>[0.00352670903444537],</v>
      </c>
      <c r="O69" t="str">
        <f t="shared" si="7"/>
        <v>[0.00257124881310531],</v>
      </c>
      <c r="P69" t="str">
        <f t="shared" si="7"/>
        <v>[0.00377713490301906],</v>
      </c>
      <c r="Q69" t="str">
        <f t="shared" si="10"/>
        <v>[0.00623006010471978]</v>
      </c>
      <c r="R69" t="str">
        <f t="shared" si="11"/>
        <v>]</v>
      </c>
      <c r="S69" t="str">
        <f t="shared" si="12"/>
        <v>[[0.00214998495175922],[0.00429996990351843],[0.00300968137395133],[0.00352670903444537],[0.00257124881310531],[0.00377713490301906],[0.00623006010471978]]</v>
      </c>
    </row>
    <row r="70" spans="1:19" x14ac:dyDescent="0.2">
      <c r="A70" s="1" t="d">
        <v>2025-10-23</v>
      </c>
      <c r="B70">
        <f>daily_original_wrong!B70*total_from_MA_dashboard!B$24</f>
        <v>2.1499849517592163E-3</v>
      </c>
      <c r="C70">
        <f>daily_original_wrong!C70*total_from_MA_dashboard!C$24</f>
        <v>4.2999699035184327E-3</v>
      </c>
      <c r="D70">
        <f>daily_original_wrong!D70*total_from_MA_dashboard!D$24</f>
        <v>3.0096813739513332E-3</v>
      </c>
      <c r="E70">
        <f>daily_original_wrong!E70*total_from_MA_dashboard!E$24</f>
        <v>3.5267090344453665E-3</v>
      </c>
      <c r="F70">
        <f>daily_original_wrong!F70*total_from_MA_dashboard!F$24</f>
        <v>2.5712488131053052E-3</v>
      </c>
      <c r="G70">
        <f>daily_original_wrong!G70*total_from_MA_dashboard!G$24</f>
        <v>3.7771349030190568E-3</v>
      </c>
      <c r="H70">
        <f>daily_original_wrong!H70*total_from_MA_dashboard!H$24</f>
        <v>6.2300601047197831E-3</v>
      </c>
      <c r="J70" t="str">
        <f t="shared" si="8"/>
        <v>[</v>
      </c>
      <c r="K70" t="str">
        <f t="shared" si="9"/>
        <v>[0.00214998495175922],</v>
      </c>
      <c r="L70" t="str">
        <f t="shared" si="7"/>
        <v>[0.00429996990351843],</v>
      </c>
      <c r="M70" t="str">
        <f t="shared" si="7"/>
        <v>[0.00300968137395133],</v>
      </c>
      <c r="N70" t="str">
        <f t="shared" si="7"/>
        <v>[0.00352670903444537],</v>
      </c>
      <c r="O70" t="str">
        <f t="shared" si="7"/>
        <v>[0.00257124881310531],</v>
      </c>
      <c r="P70" t="str">
        <f t="shared" si="7"/>
        <v>[0.00377713490301906],</v>
      </c>
      <c r="Q70" t="str">
        <f t="shared" si="10"/>
        <v>[0.00623006010471978]</v>
      </c>
      <c r="R70" t="str">
        <f t="shared" si="11"/>
        <v>]</v>
      </c>
      <c r="S70" t="str">
        <f t="shared" si="12"/>
        <v>[[0.00214998495175922],[0.00429996990351843],[0.00300968137395133],[0.00352670903444537],[0.00257124881310531],[0.00377713490301906],[0.00623006010471978]]</v>
      </c>
    </row>
    <row r="71" spans="1:19" x14ac:dyDescent="0.2">
      <c r="A71" s="1" t="d">
        <v>2025-10-24</v>
      </c>
      <c r="B71">
        <f>daily_original_wrong!B71*total_from_MA_dashboard!B$24</f>
        <v>2.1499849517592163E-3</v>
      </c>
      <c r="C71">
        <f>daily_original_wrong!C71*total_from_MA_dashboard!C$24</f>
        <v>4.2999699035184327E-3</v>
      </c>
      <c r="D71">
        <f>daily_original_wrong!D71*total_from_MA_dashboard!D$24</f>
        <v>3.0096813739513332E-3</v>
      </c>
      <c r="E71">
        <f>daily_original_wrong!E71*total_from_MA_dashboard!E$24</f>
        <v>3.5267090344453665E-3</v>
      </c>
      <c r="F71">
        <f>daily_original_wrong!F71*total_from_MA_dashboard!F$24</f>
        <v>2.5712488131053052E-3</v>
      </c>
      <c r="G71">
        <f>daily_original_wrong!G71*total_from_MA_dashboard!G$24</f>
        <v>3.7771349030190568E-3</v>
      </c>
      <c r="H71">
        <f>daily_original_wrong!H71*total_from_MA_dashboard!H$24</f>
        <v>6.2300601047197831E-3</v>
      </c>
      <c r="J71" t="str">
        <f t="shared" si="8"/>
        <v>[</v>
      </c>
      <c r="K71" t="str">
        <f t="shared" si="9"/>
        <v>[0.00214998495175922],</v>
      </c>
      <c r="L71" t="str">
        <f t="shared" si="7"/>
        <v>[0.00429996990351843],</v>
      </c>
      <c r="M71" t="str">
        <f t="shared" si="7"/>
        <v>[0.00300968137395133],</v>
      </c>
      <c r="N71" t="str">
        <f t="shared" si="7"/>
        <v>[0.00352670903444537],</v>
      </c>
      <c r="O71" t="str">
        <f t="shared" si="7"/>
        <v>[0.00257124881310531],</v>
      </c>
      <c r="P71" t="str">
        <f t="shared" si="7"/>
        <v>[0.00377713490301906],</v>
      </c>
      <c r="Q71" t="str">
        <f t="shared" si="10"/>
        <v>[0.00623006010471978]</v>
      </c>
      <c r="R71" t="str">
        <f t="shared" si="11"/>
        <v>]</v>
      </c>
      <c r="S71" t="str">
        <f t="shared" si="12"/>
        <v>[[0.00214998495175922],[0.00429996990351843],[0.00300968137395133],[0.00352670903444537],[0.00257124881310531],[0.00377713490301906],[0.00623006010471978]]</v>
      </c>
    </row>
    <row r="72" spans="1:19" x14ac:dyDescent="0.2">
      <c r="A72" s="1" t="d">
        <v>2025-10-25</v>
      </c>
      <c r="B72">
        <f>daily_original_wrong!B72*total_from_MA_dashboard!B$24</f>
        <v>2.4094580766106026E-3</v>
      </c>
      <c r="C72">
        <f>daily_original_wrong!C72*total_from_MA_dashboard!C$24</f>
        <v>4.8189161532212052E-3</v>
      </c>
      <c r="D72">
        <f>daily_original_wrong!D72*total_from_MA_dashboard!D$24</f>
        <v>3.503100896513922E-3</v>
      </c>
      <c r="E72">
        <f>daily_original_wrong!E72*total_from_MA_dashboard!E$24</f>
        <v>4.0617839584853209E-3</v>
      </c>
      <c r="F72">
        <f>daily_original_wrong!F72*total_from_MA_dashboard!F$24</f>
        <v>3.082460436453896E-3</v>
      </c>
      <c r="G72">
        <f>daily_original_wrong!G72*total_from_MA_dashboard!G$24</f>
        <v>4.4471647104979981E-3</v>
      </c>
      <c r="H72">
        <f>daily_original_wrong!H72*total_from_MA_dashboard!H$24</f>
        <v>7.0601705174223803E-3</v>
      </c>
      <c r="J72" t="str">
        <f t="shared" si="8"/>
        <v>[</v>
      </c>
      <c r="K72" t="str">
        <f t="shared" si="9"/>
        <v>[0.0024094580766106],</v>
      </c>
      <c r="L72" t="str">
        <f t="shared" si="7"/>
        <v>[0.00481891615322121],</v>
      </c>
      <c r="M72" t="str">
        <f t="shared" si="7"/>
        <v>[0.00350310089651392],</v>
      </c>
      <c r="N72" t="str">
        <f t="shared" si="7"/>
        <v>[0.00406178395848532],</v>
      </c>
      <c r="O72" t="str">
        <f t="shared" si="7"/>
        <v>[0.0030824604364539],</v>
      </c>
      <c r="P72" t="str">
        <f t="shared" si="7"/>
        <v>[0.004447164710498],</v>
      </c>
      <c r="Q72" t="str">
        <f t="shared" si="10"/>
        <v>[0.00706017051742238]</v>
      </c>
      <c r="R72" t="str">
        <f t="shared" si="11"/>
        <v>]</v>
      </c>
      <c r="S72" t="str">
        <f t="shared" si="12"/>
        <v>[[0.0024094580766106],[0.00481891615322121],[0.00350310089651392],[0.00406178395848532],[0.0030824604364539],[0.004447164710498],[0.00706017051742238]]</v>
      </c>
    </row>
    <row r="73" spans="1:19" x14ac:dyDescent="0.2">
      <c r="A73" s="1" t="d">
        <v>2025-10-26</v>
      </c>
      <c r="B73">
        <f>daily_original_wrong!B73*total_from_MA_dashboard!B$24</f>
        <v>2.4094580766106026E-3</v>
      </c>
      <c r="C73">
        <f>daily_original_wrong!C73*total_from_MA_dashboard!C$24</f>
        <v>4.8189161532212052E-3</v>
      </c>
      <c r="D73">
        <f>daily_original_wrong!D73*total_from_MA_dashboard!D$24</f>
        <v>3.503100896513922E-3</v>
      </c>
      <c r="E73">
        <f>daily_original_wrong!E73*total_from_MA_dashboard!E$24</f>
        <v>4.0617839584853209E-3</v>
      </c>
      <c r="F73">
        <f>daily_original_wrong!F73*total_from_MA_dashboard!F$24</f>
        <v>3.082460436453896E-3</v>
      </c>
      <c r="G73">
        <f>daily_original_wrong!G73*total_from_MA_dashboard!G$24</f>
        <v>4.4471647104979981E-3</v>
      </c>
      <c r="H73">
        <f>daily_original_wrong!H73*total_from_MA_dashboard!H$24</f>
        <v>7.0601705174223803E-3</v>
      </c>
      <c r="J73" t="str">
        <f t="shared" si="8"/>
        <v>[</v>
      </c>
      <c r="K73" t="str">
        <f t="shared" si="9"/>
        <v>[0.0024094580766106],</v>
      </c>
      <c r="L73" t="str">
        <f t="shared" si="7"/>
        <v>[0.00481891615322121],</v>
      </c>
      <c r="M73" t="str">
        <f t="shared" si="7"/>
        <v>[0.00350310089651392],</v>
      </c>
      <c r="N73" t="str">
        <f t="shared" si="7"/>
        <v>[0.00406178395848532],</v>
      </c>
      <c r="O73" t="str">
        <f t="shared" si="7"/>
        <v>[0.0030824604364539],</v>
      </c>
      <c r="P73" t="str">
        <f t="shared" si="7"/>
        <v>[0.004447164710498],</v>
      </c>
      <c r="Q73" t="str">
        <f t="shared" si="10"/>
        <v>[0.00706017051742238]</v>
      </c>
      <c r="R73" t="str">
        <f t="shared" si="11"/>
        <v>]</v>
      </c>
      <c r="S73" t="str">
        <f t="shared" si="12"/>
        <v>[[0.0024094580766106],[0.00481891615322121],[0.00350310089651392],[0.00406178395848532],[0.0030824604364539],[0.004447164710498],[0.00706017051742238]]</v>
      </c>
    </row>
    <row r="74" spans="1:19" x14ac:dyDescent="0.2">
      <c r="A74" s="1" t="d">
        <v>2025-10-27</v>
      </c>
      <c r="B74">
        <f>daily_original_wrong!B74*total_from_MA_dashboard!B$24</f>
        <v>2.4094580766106026E-3</v>
      </c>
      <c r="C74">
        <f>daily_original_wrong!C74*total_from_MA_dashboard!C$24</f>
        <v>4.8189161532212052E-3</v>
      </c>
      <c r="D74">
        <f>daily_original_wrong!D74*total_from_MA_dashboard!D$24</f>
        <v>3.503100896513922E-3</v>
      </c>
      <c r="E74">
        <f>daily_original_wrong!E74*total_from_MA_dashboard!E$24</f>
        <v>4.0617839584853209E-3</v>
      </c>
      <c r="F74">
        <f>daily_original_wrong!F74*total_from_MA_dashboard!F$24</f>
        <v>3.082460436453896E-3</v>
      </c>
      <c r="G74">
        <f>daily_original_wrong!G74*total_from_MA_dashboard!G$24</f>
        <v>4.4471647104979981E-3</v>
      </c>
      <c r="H74">
        <f>daily_original_wrong!H74*total_from_MA_dashboard!H$24</f>
        <v>7.0601705174223803E-3</v>
      </c>
      <c r="J74" t="str">
        <f t="shared" si="8"/>
        <v>[</v>
      </c>
      <c r="K74" t="str">
        <f t="shared" si="9"/>
        <v>[0.0024094580766106],</v>
      </c>
      <c r="L74" t="str">
        <f t="shared" si="7"/>
        <v>[0.00481891615322121],</v>
      </c>
      <c r="M74" t="str">
        <f t="shared" si="7"/>
        <v>[0.00350310089651392],</v>
      </c>
      <c r="N74" t="str">
        <f t="shared" si="7"/>
        <v>[0.00406178395848532],</v>
      </c>
      <c r="O74" t="str">
        <f t="shared" si="7"/>
        <v>[0.0030824604364539],</v>
      </c>
      <c r="P74" t="str">
        <f t="shared" si="7"/>
        <v>[0.004447164710498],</v>
      </c>
      <c r="Q74" t="str">
        <f t="shared" si="10"/>
        <v>[0.00706017051742238]</v>
      </c>
      <c r="R74" t="str">
        <f t="shared" si="11"/>
        <v>]</v>
      </c>
      <c r="S74" t="str">
        <f t="shared" si="12"/>
        <v>[[0.0024094580766106],[0.00481891615322121],[0.00350310089651392],[0.00406178395848532],[0.0030824604364539],[0.004447164710498],[0.00706017051742238]]</v>
      </c>
    </row>
    <row r="75" spans="1:19" x14ac:dyDescent="0.2">
      <c r="A75" s="1" t="d">
        <v>2025-10-28</v>
      </c>
      <c r="B75">
        <f>daily_original_wrong!B75*total_from_MA_dashboard!B$24</f>
        <v>2.4094580766106026E-3</v>
      </c>
      <c r="C75">
        <f>daily_original_wrong!C75*total_from_MA_dashboard!C$24</f>
        <v>4.8189161532212052E-3</v>
      </c>
      <c r="D75">
        <f>daily_original_wrong!D75*total_from_MA_dashboard!D$24</f>
        <v>3.503100896513922E-3</v>
      </c>
      <c r="E75">
        <f>daily_original_wrong!E75*total_from_MA_dashboard!E$24</f>
        <v>4.0617839584853209E-3</v>
      </c>
      <c r="F75">
        <f>daily_original_wrong!F75*total_from_MA_dashboard!F$24</f>
        <v>3.082460436453896E-3</v>
      </c>
      <c r="G75">
        <f>daily_original_wrong!G75*total_from_MA_dashboard!G$24</f>
        <v>4.4471647104979981E-3</v>
      </c>
      <c r="H75">
        <f>daily_original_wrong!H75*total_from_MA_dashboard!H$24</f>
        <v>7.0601705174223803E-3</v>
      </c>
      <c r="J75" t="str">
        <f t="shared" si="8"/>
        <v>[</v>
      </c>
      <c r="K75" t="str">
        <f t="shared" si="9"/>
        <v>[0.0024094580766106],</v>
      </c>
      <c r="L75" t="str">
        <f t="shared" si="7"/>
        <v>[0.00481891615322121],</v>
      </c>
      <c r="M75" t="str">
        <f t="shared" si="7"/>
        <v>[0.00350310089651392],</v>
      </c>
      <c r="N75" t="str">
        <f t="shared" si="7"/>
        <v>[0.00406178395848532],</v>
      </c>
      <c r="O75" t="str">
        <f t="shared" si="7"/>
        <v>[0.0030824604364539],</v>
      </c>
      <c r="P75" t="str">
        <f t="shared" si="7"/>
        <v>[0.004447164710498],</v>
      </c>
      <c r="Q75" t="str">
        <f t="shared" si="10"/>
        <v>[0.00706017051742238]</v>
      </c>
      <c r="R75" t="str">
        <f t="shared" si="11"/>
        <v>]</v>
      </c>
      <c r="S75" t="str">
        <f t="shared" si="12"/>
        <v>[[0.0024094580766106],[0.00481891615322121],[0.00350310089651392],[0.00406178395848532],[0.0030824604364539],[0.004447164710498],[0.00706017051742238]]</v>
      </c>
    </row>
    <row r="76" spans="1:19" x14ac:dyDescent="0.2">
      <c r="A76" s="1" t="d">
        <v>2025-10-29</v>
      </c>
      <c r="B76">
        <f>daily_original_wrong!B76*total_from_MA_dashboard!B$24</f>
        <v>2.4094580766106026E-3</v>
      </c>
      <c r="C76">
        <f>daily_original_wrong!C76*total_from_MA_dashboard!C$24</f>
        <v>4.8189161532212052E-3</v>
      </c>
      <c r="D76">
        <f>daily_original_wrong!D76*total_from_MA_dashboard!D$24</f>
        <v>3.503100896513922E-3</v>
      </c>
      <c r="E76">
        <f>daily_original_wrong!E76*total_from_MA_dashboard!E$24</f>
        <v>4.0617839584853209E-3</v>
      </c>
      <c r="F76">
        <f>daily_original_wrong!F76*total_from_MA_dashboard!F$24</f>
        <v>3.082460436453896E-3</v>
      </c>
      <c r="G76">
        <f>daily_original_wrong!G76*total_from_MA_dashboard!G$24</f>
        <v>4.4471647104979981E-3</v>
      </c>
      <c r="H76">
        <f>daily_original_wrong!H76*total_from_MA_dashboard!H$24</f>
        <v>7.0601705174223803E-3</v>
      </c>
      <c r="J76" t="str">
        <f t="shared" si="8"/>
        <v>[</v>
      </c>
      <c r="K76" t="str">
        <f t="shared" si="9"/>
        <v>[0.0024094580766106],</v>
      </c>
      <c r="L76" t="str">
        <f t="shared" si="7"/>
        <v>[0.00481891615322121],</v>
      </c>
      <c r="M76" t="str">
        <f t="shared" si="7"/>
        <v>[0.00350310089651392],</v>
      </c>
      <c r="N76" t="str">
        <f t="shared" si="7"/>
        <v>[0.00406178395848532],</v>
      </c>
      <c r="O76" t="str">
        <f t="shared" si="7"/>
        <v>[0.0030824604364539],</v>
      </c>
      <c r="P76" t="str">
        <f t="shared" si="7"/>
        <v>[0.004447164710498],</v>
      </c>
      <c r="Q76" t="str">
        <f t="shared" si="10"/>
        <v>[0.00706017051742238]</v>
      </c>
      <c r="R76" t="str">
        <f t="shared" si="11"/>
        <v>]</v>
      </c>
      <c r="S76" t="str">
        <f t="shared" si="12"/>
        <v>[[0.0024094580766106],[0.00481891615322121],[0.00350310089651392],[0.00406178395848532],[0.0030824604364539],[0.004447164710498],[0.00706017051742238]]</v>
      </c>
    </row>
    <row r="77" spans="1:19" x14ac:dyDescent="0.2">
      <c r="A77" s="1" t="d">
        <v>2025-10-30</v>
      </c>
      <c r="B77">
        <f>daily_original_wrong!B77*total_from_MA_dashboard!B$24</f>
        <v>2.4094580766106026E-3</v>
      </c>
      <c r="C77">
        <f>daily_original_wrong!C77*total_from_MA_dashboard!C$24</f>
        <v>4.8189161532212052E-3</v>
      </c>
      <c r="D77">
        <f>daily_original_wrong!D77*total_from_MA_dashboard!D$24</f>
        <v>3.503100896513922E-3</v>
      </c>
      <c r="E77">
        <f>daily_original_wrong!E77*total_from_MA_dashboard!E$24</f>
        <v>4.0617839584853209E-3</v>
      </c>
      <c r="F77">
        <f>daily_original_wrong!F77*total_from_MA_dashboard!F$24</f>
        <v>3.082460436453896E-3</v>
      </c>
      <c r="G77">
        <f>daily_original_wrong!G77*total_from_MA_dashboard!G$24</f>
        <v>4.4471647104979981E-3</v>
      </c>
      <c r="H77">
        <f>daily_original_wrong!H77*total_from_MA_dashboard!H$24</f>
        <v>7.0601705174223803E-3</v>
      </c>
      <c r="J77" t="str">
        <f t="shared" si="8"/>
        <v>[</v>
      </c>
      <c r="K77" t="str">
        <f t="shared" si="9"/>
        <v>[0.0024094580766106],</v>
      </c>
      <c r="L77" t="str">
        <f t="shared" si="7"/>
        <v>[0.00481891615322121],</v>
      </c>
      <c r="M77" t="str">
        <f t="shared" si="7"/>
        <v>[0.00350310089651392],</v>
      </c>
      <c r="N77" t="str">
        <f t="shared" si="7"/>
        <v>[0.00406178395848532],</v>
      </c>
      <c r="O77" t="str">
        <f t="shared" si="7"/>
        <v>[0.0030824604364539],</v>
      </c>
      <c r="P77" t="str">
        <f t="shared" si="7"/>
        <v>[0.004447164710498],</v>
      </c>
      <c r="Q77" t="str">
        <f t="shared" si="10"/>
        <v>[0.00706017051742238]</v>
      </c>
      <c r="R77" t="str">
        <f t="shared" si="11"/>
        <v>]</v>
      </c>
      <c r="S77" t="str">
        <f t="shared" si="12"/>
        <v>[[0.0024094580766106],[0.00481891615322121],[0.00350310089651392],[0.00406178395848532],[0.0030824604364539],[0.004447164710498],[0.00706017051742238]]</v>
      </c>
    </row>
    <row r="78" spans="1:19" x14ac:dyDescent="0.2">
      <c r="A78" s="1" t="d">
        <v>2025-10-31</v>
      </c>
      <c r="B78">
        <f>daily_original_wrong!B78*total_from_MA_dashboard!B$24</f>
        <v>2.4094580766106026E-3</v>
      </c>
      <c r="C78">
        <f>daily_original_wrong!C78*total_from_MA_dashboard!C$24</f>
        <v>4.8189161532212052E-3</v>
      </c>
      <c r="D78">
        <f>daily_original_wrong!D78*total_from_MA_dashboard!D$24</f>
        <v>3.503100896513922E-3</v>
      </c>
      <c r="E78">
        <f>daily_original_wrong!E78*total_from_MA_dashboard!E$24</f>
        <v>4.0617839584853209E-3</v>
      </c>
      <c r="F78">
        <f>daily_original_wrong!F78*total_from_MA_dashboard!F$24</f>
        <v>3.082460436453896E-3</v>
      </c>
      <c r="G78">
        <f>daily_original_wrong!G78*total_from_MA_dashboard!G$24</f>
        <v>4.4471647104979981E-3</v>
      </c>
      <c r="H78">
        <f>daily_original_wrong!H78*total_from_MA_dashboard!H$24</f>
        <v>7.0601705174223803E-3</v>
      </c>
      <c r="J78" t="str">
        <f t="shared" si="8"/>
        <v>[</v>
      </c>
      <c r="K78" t="str">
        <f t="shared" si="9"/>
        <v>[0.0024094580766106],</v>
      </c>
      <c r="L78" t="str">
        <f t="shared" si="7"/>
        <v>[0.00481891615322121],</v>
      </c>
      <c r="M78" t="str">
        <f t="shared" si="7"/>
        <v>[0.00350310089651392],</v>
      </c>
      <c r="N78" t="str">
        <f t="shared" si="7"/>
        <v>[0.00406178395848532],</v>
      </c>
      <c r="O78" t="str">
        <f t="shared" si="7"/>
        <v>[0.0030824604364539],</v>
      </c>
      <c r="P78" t="str">
        <f t="shared" si="7"/>
        <v>[0.004447164710498],</v>
      </c>
      <c r="Q78" t="str">
        <f t="shared" si="10"/>
        <v>[0.00706017051742238]</v>
      </c>
      <c r="R78" t="str">
        <f t="shared" si="11"/>
        <v>]</v>
      </c>
      <c r="S78" t="str">
        <f t="shared" si="12"/>
        <v>[[0.0024094580766106],[0.00481891615322121],[0.00350310089651392],[0.00406178395848532],[0.0030824604364539],[0.004447164710498],[0.00706017051742238]]</v>
      </c>
    </row>
    <row r="79" spans="1:19" x14ac:dyDescent="0.2">
      <c r="A79" s="1" t="d">
        <v>2025-11-01</v>
      </c>
      <c r="B79">
        <f>daily_original_wrong!B79*total_from_MA_dashboard!B$24</f>
        <v>4.3583648221201211E-3</v>
      </c>
      <c r="C79">
        <f>daily_original_wrong!C79*total_from_MA_dashboard!C$24</f>
        <v>8.7167296442402422E-3</v>
      </c>
      <c r="D79">
        <f>daily_original_wrong!D79*total_from_MA_dashboard!D$24</f>
        <v>6.6997677043452953E-3</v>
      </c>
      <c r="E79">
        <f>daily_original_wrong!E79*total_from_MA_dashboard!E$24</f>
        <v>7.5896565434311891E-3</v>
      </c>
      <c r="F79">
        <f>daily_original_wrong!F79*total_from_MA_dashboard!F$24</f>
        <v>5.9771448107572541E-3</v>
      </c>
      <c r="G79">
        <f>daily_original_wrong!G79*total_from_MA_dashboard!G$24</f>
        <v>8.4014740388511765E-3</v>
      </c>
      <c r="H79">
        <f>daily_original_wrong!H79*total_from_MA_dashboard!H$24</f>
        <v>1.2853049352885861E-2</v>
      </c>
      <c r="J79" t="str">
        <f t="shared" si="8"/>
        <v>[</v>
      </c>
      <c r="K79" t="str">
        <f t="shared" si="9"/>
        <v>[0.00435836482212012],</v>
      </c>
      <c r="L79" t="str">
        <f t="shared" si="7"/>
        <v>[0.00871672964424024],</v>
      </c>
      <c r="M79" t="str">
        <f t="shared" si="7"/>
        <v>[0.0066997677043453],</v>
      </c>
      <c r="N79" t="str">
        <f t="shared" si="7"/>
        <v>[0.00758965654343119],</v>
      </c>
      <c r="O79" t="str">
        <f t="shared" si="7"/>
        <v>[0.00597714481075725],</v>
      </c>
      <c r="P79" t="str">
        <f t="shared" si="7"/>
        <v>[0.00840147403885118],</v>
      </c>
      <c r="Q79" t="str">
        <f t="shared" si="10"/>
        <v>[0.0128530493528859]</v>
      </c>
      <c r="R79" t="str">
        <f t="shared" si="11"/>
        <v>]</v>
      </c>
      <c r="S79" t="str">
        <f t="shared" si="12"/>
        <v>[[0.00435836482212012],[0.00871672964424024],[0.0066997677043453],[0.00758965654343119],[0.00597714481075725],[0.00840147403885118],[0.0128530493528859]]</v>
      </c>
    </row>
    <row r="80" spans="1:19" x14ac:dyDescent="0.2">
      <c r="A80" s="1" t="d">
        <v>2025-11-02</v>
      </c>
      <c r="B80">
        <f>daily_original_wrong!B80*total_from_MA_dashboard!B$24</f>
        <v>4.3583648221201211E-3</v>
      </c>
      <c r="C80">
        <f>daily_original_wrong!C80*total_from_MA_dashboard!C$24</f>
        <v>8.7167296442402422E-3</v>
      </c>
      <c r="D80">
        <f>daily_original_wrong!D80*total_from_MA_dashboard!D$24</f>
        <v>6.6997677043452953E-3</v>
      </c>
      <c r="E80">
        <f>daily_original_wrong!E80*total_from_MA_dashboard!E$24</f>
        <v>7.5896565434311891E-3</v>
      </c>
      <c r="F80">
        <f>daily_original_wrong!F80*total_from_MA_dashboard!F$24</f>
        <v>5.9771448107572541E-3</v>
      </c>
      <c r="G80">
        <f>daily_original_wrong!G80*total_from_MA_dashboard!G$24</f>
        <v>8.4014740388511765E-3</v>
      </c>
      <c r="H80">
        <f>daily_original_wrong!H80*total_from_MA_dashboard!H$24</f>
        <v>1.2853049352885861E-2</v>
      </c>
      <c r="J80" t="str">
        <f t="shared" si="8"/>
        <v>[</v>
      </c>
      <c r="K80" t="str">
        <f t="shared" si="9"/>
        <v>[0.00435836482212012],</v>
      </c>
      <c r="L80" t="str">
        <f t="shared" si="7"/>
        <v>[0.00871672964424024],</v>
      </c>
      <c r="M80" t="str">
        <f t="shared" si="7"/>
        <v>[0.0066997677043453],</v>
      </c>
      <c r="N80" t="str">
        <f t="shared" si="7"/>
        <v>[0.00758965654343119],</v>
      </c>
      <c r="O80" t="str">
        <f t="shared" si="7"/>
        <v>[0.00597714481075725],</v>
      </c>
      <c r="P80" t="str">
        <f t="shared" si="7"/>
        <v>[0.00840147403885118],</v>
      </c>
      <c r="Q80" t="str">
        <f t="shared" si="10"/>
        <v>[0.0128530493528859]</v>
      </c>
      <c r="R80" t="str">
        <f t="shared" si="11"/>
        <v>]</v>
      </c>
      <c r="S80" t="str">
        <f t="shared" si="12"/>
        <v>[[0.00435836482212012],[0.00871672964424024],[0.0066997677043453],[0.00758965654343119],[0.00597714481075725],[0.00840147403885118],[0.0128530493528859]]</v>
      </c>
    </row>
    <row r="81" spans="1:19" x14ac:dyDescent="0.2">
      <c r="A81" s="1" t="d">
        <v>2025-11-03</v>
      </c>
      <c r="B81">
        <f>daily_original_wrong!B81*total_from_MA_dashboard!B$24</f>
        <v>4.3583648221201211E-3</v>
      </c>
      <c r="C81">
        <f>daily_original_wrong!C81*total_from_MA_dashboard!C$24</f>
        <v>8.7167296442402422E-3</v>
      </c>
      <c r="D81">
        <f>daily_original_wrong!D81*total_from_MA_dashboard!D$24</f>
        <v>6.6997677043452953E-3</v>
      </c>
      <c r="E81">
        <f>daily_original_wrong!E81*total_from_MA_dashboard!E$24</f>
        <v>7.5896565434311891E-3</v>
      </c>
      <c r="F81">
        <f>daily_original_wrong!F81*total_from_MA_dashboard!F$24</f>
        <v>5.9771448107572541E-3</v>
      </c>
      <c r="G81">
        <f>daily_original_wrong!G81*total_from_MA_dashboard!G$24</f>
        <v>8.4014740388511765E-3</v>
      </c>
      <c r="H81">
        <f>daily_original_wrong!H81*total_from_MA_dashboard!H$24</f>
        <v>1.2853049352885861E-2</v>
      </c>
      <c r="J81" t="str">
        <f t="shared" si="8"/>
        <v>[</v>
      </c>
      <c r="K81" t="str">
        <f t="shared" si="9"/>
        <v>[0.00435836482212012],</v>
      </c>
      <c r="L81" t="str">
        <f t="shared" si="7"/>
        <v>[0.00871672964424024],</v>
      </c>
      <c r="M81" t="str">
        <f t="shared" si="7"/>
        <v>[0.0066997677043453],</v>
      </c>
      <c r="N81" t="str">
        <f t="shared" si="7"/>
        <v>[0.00758965654343119],</v>
      </c>
      <c r="O81" t="str">
        <f t="shared" si="7"/>
        <v>[0.00597714481075725],</v>
      </c>
      <c r="P81" t="str">
        <f t="shared" si="7"/>
        <v>[0.00840147403885118],</v>
      </c>
      <c r="Q81" t="str">
        <f t="shared" si="10"/>
        <v>[0.0128530493528859]</v>
      </c>
      <c r="R81" t="str">
        <f t="shared" si="11"/>
        <v>]</v>
      </c>
      <c r="S81" t="str">
        <f t="shared" si="12"/>
        <v>[[0.00435836482212012],[0.00871672964424024],[0.0066997677043453],[0.00758965654343119],[0.00597714481075725],[0.00840147403885118],[0.0128530493528859]]</v>
      </c>
    </row>
    <row r="82" spans="1:19" x14ac:dyDescent="0.2">
      <c r="A82" s="1" t="d">
        <v>2025-11-04</v>
      </c>
      <c r="B82">
        <f>daily_original_wrong!B82*total_from_MA_dashboard!B$24</f>
        <v>4.3583648221201211E-3</v>
      </c>
      <c r="C82">
        <f>daily_original_wrong!C82*total_from_MA_dashboard!C$24</f>
        <v>8.7167296442402422E-3</v>
      </c>
      <c r="D82">
        <f>daily_original_wrong!D82*total_from_MA_dashboard!D$24</f>
        <v>6.6997677043452953E-3</v>
      </c>
      <c r="E82">
        <f>daily_original_wrong!E82*total_from_MA_dashboard!E$24</f>
        <v>7.5896565434311891E-3</v>
      </c>
      <c r="F82">
        <f>daily_original_wrong!F82*total_from_MA_dashboard!F$24</f>
        <v>5.9771448107572541E-3</v>
      </c>
      <c r="G82">
        <f>daily_original_wrong!G82*total_from_MA_dashboard!G$24</f>
        <v>8.4014740388511765E-3</v>
      </c>
      <c r="H82">
        <f>daily_original_wrong!H82*total_from_MA_dashboard!H$24</f>
        <v>1.2853049352885861E-2</v>
      </c>
      <c r="J82" t="str">
        <f t="shared" si="8"/>
        <v>[</v>
      </c>
      <c r="K82" t="str">
        <f t="shared" si="9"/>
        <v>[0.00435836482212012],</v>
      </c>
      <c r="L82" t="str">
        <f t="shared" si="7"/>
        <v>[0.00871672964424024],</v>
      </c>
      <c r="M82" t="str">
        <f t="shared" si="7"/>
        <v>[0.0066997677043453],</v>
      </c>
      <c r="N82" t="str">
        <f t="shared" si="7"/>
        <v>[0.00758965654343119],</v>
      </c>
      <c r="O82" t="str">
        <f t="shared" si="7"/>
        <v>[0.00597714481075725],</v>
      </c>
      <c r="P82" t="str">
        <f t="shared" si="7"/>
        <v>[0.00840147403885118],</v>
      </c>
      <c r="Q82" t="str">
        <f t="shared" si="10"/>
        <v>[0.0128530493528859]</v>
      </c>
      <c r="R82" t="str">
        <f t="shared" si="11"/>
        <v>]</v>
      </c>
      <c r="S82" t="str">
        <f t="shared" si="12"/>
        <v>[[0.00435836482212012],[0.00871672964424024],[0.0066997677043453],[0.00758965654343119],[0.00597714481075725],[0.00840147403885118],[0.0128530493528859]]</v>
      </c>
    </row>
    <row r="83" spans="1:19" x14ac:dyDescent="0.2">
      <c r="A83" s="1" t="d">
        <v>2025-11-05</v>
      </c>
      <c r="B83">
        <f>daily_original_wrong!B83*total_from_MA_dashboard!B$24</f>
        <v>4.3583648221201211E-3</v>
      </c>
      <c r="C83">
        <f>daily_original_wrong!C83*total_from_MA_dashboard!C$24</f>
        <v>8.7167296442402422E-3</v>
      </c>
      <c r="D83">
        <f>daily_original_wrong!D83*total_from_MA_dashboard!D$24</f>
        <v>6.6997677043452953E-3</v>
      </c>
      <c r="E83">
        <f>daily_original_wrong!E83*total_from_MA_dashboard!E$24</f>
        <v>7.5896565434311891E-3</v>
      </c>
      <c r="F83">
        <f>daily_original_wrong!F83*total_from_MA_dashboard!F$24</f>
        <v>5.9771448107572541E-3</v>
      </c>
      <c r="G83">
        <f>daily_original_wrong!G83*total_from_MA_dashboard!G$24</f>
        <v>8.4014740388511765E-3</v>
      </c>
      <c r="H83">
        <f>daily_original_wrong!H83*total_from_MA_dashboard!H$24</f>
        <v>1.2853049352885861E-2</v>
      </c>
      <c r="J83" t="str">
        <f t="shared" si="8"/>
        <v>[</v>
      </c>
      <c r="K83" t="str">
        <f t="shared" si="9"/>
        <v>[0.00435836482212012],</v>
      </c>
      <c r="L83" t="str">
        <f t="shared" si="7"/>
        <v>[0.00871672964424024],</v>
      </c>
      <c r="M83" t="str">
        <f t="shared" si="7"/>
        <v>[0.0066997677043453],</v>
      </c>
      <c r="N83" t="str">
        <f t="shared" si="7"/>
        <v>[0.00758965654343119],</v>
      </c>
      <c r="O83" t="str">
        <f t="shared" si="7"/>
        <v>[0.00597714481075725],</v>
      </c>
      <c r="P83" t="str">
        <f t="shared" si="7"/>
        <v>[0.00840147403885118],</v>
      </c>
      <c r="Q83" t="str">
        <f t="shared" si="10"/>
        <v>[0.0128530493528859]</v>
      </c>
      <c r="R83" t="str">
        <f t="shared" si="11"/>
        <v>]</v>
      </c>
      <c r="S83" t="str">
        <f t="shared" si="12"/>
        <v>[[0.00435836482212012],[0.00871672964424024],[0.0066997677043453],[0.00758965654343119],[0.00597714481075725],[0.00840147403885118],[0.0128530493528859]]</v>
      </c>
    </row>
    <row r="84" spans="1:19" x14ac:dyDescent="0.2">
      <c r="A84" s="1" t="d">
        <v>2025-11-06</v>
      </c>
      <c r="B84">
        <f>daily_original_wrong!B84*total_from_MA_dashboard!B$24</f>
        <v>4.3583648221201211E-3</v>
      </c>
      <c r="C84">
        <f>daily_original_wrong!C84*total_from_MA_dashboard!C$24</f>
        <v>8.7167296442402422E-3</v>
      </c>
      <c r="D84">
        <f>daily_original_wrong!D84*total_from_MA_dashboard!D$24</f>
        <v>6.6997677043452953E-3</v>
      </c>
      <c r="E84">
        <f>daily_original_wrong!E84*total_from_MA_dashboard!E$24</f>
        <v>7.5896565434311891E-3</v>
      </c>
      <c r="F84">
        <f>daily_original_wrong!F84*total_from_MA_dashboard!F$24</f>
        <v>5.9771448107572541E-3</v>
      </c>
      <c r="G84">
        <f>daily_original_wrong!G84*total_from_MA_dashboard!G$24</f>
        <v>8.4014740388511765E-3</v>
      </c>
      <c r="H84">
        <f>daily_original_wrong!H84*total_from_MA_dashboard!H$24</f>
        <v>1.2853049352885861E-2</v>
      </c>
      <c r="J84" t="str">
        <f t="shared" si="8"/>
        <v>[</v>
      </c>
      <c r="K84" t="str">
        <f t="shared" si="9"/>
        <v>[0.00435836482212012],</v>
      </c>
      <c r="L84" t="str">
        <f t="shared" si="7"/>
        <v>[0.00871672964424024],</v>
      </c>
      <c r="M84" t="str">
        <f t="shared" si="7"/>
        <v>[0.0066997677043453],</v>
      </c>
      <c r="N84" t="str">
        <f t="shared" si="7"/>
        <v>[0.00758965654343119],</v>
      </c>
      <c r="O84" t="str">
        <f t="shared" si="7"/>
        <v>[0.00597714481075725],</v>
      </c>
      <c r="P84" t="str">
        <f t="shared" si="7"/>
        <v>[0.00840147403885118],</v>
      </c>
      <c r="Q84" t="str">
        <f t="shared" si="10"/>
        <v>[0.0128530493528859]</v>
      </c>
      <c r="R84" t="str">
        <f t="shared" si="11"/>
        <v>]</v>
      </c>
      <c r="S84" t="str">
        <f t="shared" si="12"/>
        <v>[[0.00435836482212012],[0.00871672964424024],[0.0066997677043453],[0.00758965654343119],[0.00597714481075725],[0.00840147403885118],[0.0128530493528859]]</v>
      </c>
    </row>
    <row r="85" spans="1:19" x14ac:dyDescent="0.2">
      <c r="A85" s="1" t="d">
        <v>2025-11-07</v>
      </c>
      <c r="B85">
        <f>daily_original_wrong!B85*total_from_MA_dashboard!B$24</f>
        <v>4.3583648221201211E-3</v>
      </c>
      <c r="C85">
        <f>daily_original_wrong!C85*total_from_MA_dashboard!C$24</f>
        <v>8.7167296442402422E-3</v>
      </c>
      <c r="D85">
        <f>daily_original_wrong!D85*total_from_MA_dashboard!D$24</f>
        <v>6.6997677043452953E-3</v>
      </c>
      <c r="E85">
        <f>daily_original_wrong!E85*total_from_MA_dashboard!E$24</f>
        <v>7.5896565434311891E-3</v>
      </c>
      <c r="F85">
        <f>daily_original_wrong!F85*total_from_MA_dashboard!F$24</f>
        <v>5.9771448107572541E-3</v>
      </c>
      <c r="G85">
        <f>daily_original_wrong!G85*total_from_MA_dashboard!G$24</f>
        <v>8.4014740388511765E-3</v>
      </c>
      <c r="H85">
        <f>daily_original_wrong!H85*total_from_MA_dashboard!H$24</f>
        <v>1.2853049352885861E-2</v>
      </c>
      <c r="J85" t="str">
        <f t="shared" si="8"/>
        <v>[</v>
      </c>
      <c r="K85" t="str">
        <f t="shared" si="9"/>
        <v>[0.00435836482212012],</v>
      </c>
      <c r="L85" t="str">
        <f t="shared" si="7"/>
        <v>[0.00871672964424024],</v>
      </c>
      <c r="M85" t="str">
        <f t="shared" si="7"/>
        <v>[0.0066997677043453],</v>
      </c>
      <c r="N85" t="str">
        <f t="shared" si="7"/>
        <v>[0.00758965654343119],</v>
      </c>
      <c r="O85" t="str">
        <f t="shared" si="7"/>
        <v>[0.00597714481075725],</v>
      </c>
      <c r="P85" t="str">
        <f t="shared" si="7"/>
        <v>[0.00840147403885118],</v>
      </c>
      <c r="Q85" t="str">
        <f t="shared" si="10"/>
        <v>[0.0128530493528859]</v>
      </c>
      <c r="R85" t="str">
        <f t="shared" si="11"/>
        <v>]</v>
      </c>
      <c r="S85" t="str">
        <f t="shared" si="12"/>
        <v>[[0.00435836482212012],[0.00871672964424024],[0.0066997677043453],[0.00758965654343119],[0.00597714481075725],[0.00840147403885118],[0.0128530493528859]]</v>
      </c>
    </row>
    <row r="86" spans="1:19" x14ac:dyDescent="0.2">
      <c r="A86" s="1" t="d">
        <v>2025-11-08</v>
      </c>
      <c r="B86">
        <f>daily_original_wrong!B86*total_from_MA_dashboard!B$24</f>
        <v>1.6887035676919594E-3</v>
      </c>
      <c r="C86">
        <f>daily_original_wrong!C86*total_from_MA_dashboard!C$24</f>
        <v>3.3774071353839187E-3</v>
      </c>
      <c r="D86">
        <f>daily_original_wrong!D86*total_from_MA_dashboard!D$24</f>
        <v>2.953178265545405E-3</v>
      </c>
      <c r="E86">
        <f>daily_original_wrong!E86*total_from_MA_dashboard!E$24</f>
        <v>3.1098004471189992E-3</v>
      </c>
      <c r="F86">
        <f>daily_original_wrong!F86*total_from_MA_dashboard!F$24</f>
        <v>2.5331767272982635E-3</v>
      </c>
      <c r="G86">
        <f>daily_original_wrong!G86*total_from_MA_dashboard!G$24</f>
        <v>3.3400389237788759E-3</v>
      </c>
      <c r="H86">
        <f>daily_original_wrong!H86*total_from_MA_dashboard!H$24</f>
        <v>4.9227379591898039E-3</v>
      </c>
      <c r="J86" t="str">
        <f t="shared" si="8"/>
        <v>[</v>
      </c>
      <c r="K86" t="str">
        <f t="shared" si="9"/>
        <v>[0.00168870356769196],</v>
      </c>
      <c r="L86" t="str">
        <f t="shared" si="7"/>
        <v>[0.00337740713538392],</v>
      </c>
      <c r="M86" t="str">
        <f t="shared" si="7"/>
        <v>[0.0029531782655454],</v>
      </c>
      <c r="N86" t="str">
        <f t="shared" si="7"/>
        <v>[0.003109800447119],</v>
      </c>
      <c r="O86" t="str">
        <f t="shared" si="7"/>
        <v>[0.00253317672729826],</v>
      </c>
      <c r="P86" t="str">
        <f t="shared" si="7"/>
        <v>[0.00334003892377888],</v>
      </c>
      <c r="Q86" t="str">
        <f t="shared" si="10"/>
        <v>[0.0049227379591898]</v>
      </c>
      <c r="R86" t="str">
        <f t="shared" si="11"/>
        <v>]</v>
      </c>
      <c r="S86" t="str">
        <f t="shared" si="12"/>
        <v>[[0.00168870356769196],[0.00337740713538392],[0.0029531782655454],[0.003109800447119],[0.00253317672729826],[0.00334003892377888],[0.0049227379591898]]</v>
      </c>
    </row>
    <row r="87" spans="1:19" x14ac:dyDescent="0.2">
      <c r="A87" s="1" t="d">
        <v>2025-11-09</v>
      </c>
      <c r="B87">
        <f>daily_original_wrong!B87*total_from_MA_dashboard!B$24</f>
        <v>1.6887035676919594E-3</v>
      </c>
      <c r="C87">
        <f>daily_original_wrong!C87*total_from_MA_dashboard!C$24</f>
        <v>3.3774071353839187E-3</v>
      </c>
      <c r="D87">
        <f>daily_original_wrong!D87*total_from_MA_dashboard!D$24</f>
        <v>2.953178265545405E-3</v>
      </c>
      <c r="E87">
        <f>daily_original_wrong!E87*total_from_MA_dashboard!E$24</f>
        <v>3.1098004471189992E-3</v>
      </c>
      <c r="F87">
        <f>daily_original_wrong!F87*total_from_MA_dashboard!F$24</f>
        <v>2.5331767272982635E-3</v>
      </c>
      <c r="G87">
        <f>daily_original_wrong!G87*total_from_MA_dashboard!G$24</f>
        <v>3.3400389237788759E-3</v>
      </c>
      <c r="H87">
        <f>daily_original_wrong!H87*total_from_MA_dashboard!H$24</f>
        <v>4.9227379591898039E-3</v>
      </c>
      <c r="J87" t="str">
        <f t="shared" si="8"/>
        <v>[</v>
      </c>
      <c r="K87" t="str">
        <f t="shared" si="9"/>
        <v>[0.00168870356769196],</v>
      </c>
      <c r="L87" t="str">
        <f t="shared" si="7"/>
        <v>[0.00337740713538392],</v>
      </c>
      <c r="M87" t="str">
        <f t="shared" si="7"/>
        <v>[0.0029531782655454],</v>
      </c>
      <c r="N87" t="str">
        <f t="shared" si="7"/>
        <v>[0.003109800447119],</v>
      </c>
      <c r="O87" t="str">
        <f t="shared" si="7"/>
        <v>[0.00253317672729826],</v>
      </c>
      <c r="P87" t="str">
        <f t="shared" si="7"/>
        <v>[0.00334003892377888],</v>
      </c>
      <c r="Q87" t="str">
        <f t="shared" si="10"/>
        <v>[0.0049227379591898]</v>
      </c>
      <c r="R87" t="str">
        <f t="shared" si="11"/>
        <v>]</v>
      </c>
      <c r="S87" t="str">
        <f t="shared" si="12"/>
        <v>[[0.00168870356769196],[0.00337740713538392],[0.0029531782655454],[0.003109800447119],[0.00253317672729826],[0.00334003892377888],[0.0049227379591898]]</v>
      </c>
    </row>
    <row r="88" spans="1:19" x14ac:dyDescent="0.2">
      <c r="A88" s="1" t="d">
        <v>2025-11-10</v>
      </c>
      <c r="B88">
        <f>daily_original_wrong!B88*total_from_MA_dashboard!B$24</f>
        <v>1.6887035676919594E-3</v>
      </c>
      <c r="C88">
        <f>daily_original_wrong!C88*total_from_MA_dashboard!C$24</f>
        <v>3.3774071353839187E-3</v>
      </c>
      <c r="D88">
        <f>daily_original_wrong!D88*total_from_MA_dashboard!D$24</f>
        <v>2.953178265545405E-3</v>
      </c>
      <c r="E88">
        <f>daily_original_wrong!E88*total_from_MA_dashboard!E$24</f>
        <v>3.1098004471189992E-3</v>
      </c>
      <c r="F88">
        <f>daily_original_wrong!F88*total_from_MA_dashboard!F$24</f>
        <v>2.5331767272982635E-3</v>
      </c>
      <c r="G88">
        <f>daily_original_wrong!G88*total_from_MA_dashboard!G$24</f>
        <v>3.3400389237788759E-3</v>
      </c>
      <c r="H88">
        <f>daily_original_wrong!H88*total_from_MA_dashboard!H$24</f>
        <v>4.9227379591898039E-3</v>
      </c>
      <c r="J88" t="str">
        <f t="shared" si="8"/>
        <v>[</v>
      </c>
      <c r="K88" t="str">
        <f t="shared" si="9"/>
        <v>[0.00168870356769196],</v>
      </c>
      <c r="L88" t="str">
        <f t="shared" si="7"/>
        <v>[0.00337740713538392],</v>
      </c>
      <c r="M88" t="str">
        <f t="shared" si="7"/>
        <v>[0.0029531782655454],</v>
      </c>
      <c r="N88" t="str">
        <f t="shared" si="7"/>
        <v>[0.003109800447119],</v>
      </c>
      <c r="O88" t="str">
        <f t="shared" si="7"/>
        <v>[0.00253317672729826],</v>
      </c>
      <c r="P88" t="str">
        <f t="shared" si="7"/>
        <v>[0.00334003892377888],</v>
      </c>
      <c r="Q88" t="str">
        <f t="shared" si="10"/>
        <v>[0.0049227379591898]</v>
      </c>
      <c r="R88" t="str">
        <f t="shared" si="11"/>
        <v>]</v>
      </c>
      <c r="S88" t="str">
        <f t="shared" si="12"/>
        <v>[[0.00168870356769196],[0.00337740713538392],[0.0029531782655454],[0.003109800447119],[0.00253317672729826],[0.00334003892377888],[0.0049227379591898]]</v>
      </c>
    </row>
    <row r="89" spans="1:19" x14ac:dyDescent="0.2">
      <c r="A89" s="1" t="d">
        <v>2025-11-11</v>
      </c>
      <c r="B89">
        <f>daily_original_wrong!B89*total_from_MA_dashboard!B$24</f>
        <v>1.6887035676919594E-3</v>
      </c>
      <c r="C89">
        <f>daily_original_wrong!C89*total_from_MA_dashboard!C$24</f>
        <v>3.3774071353839187E-3</v>
      </c>
      <c r="D89">
        <f>daily_original_wrong!D89*total_from_MA_dashboard!D$24</f>
        <v>2.953178265545405E-3</v>
      </c>
      <c r="E89">
        <f>daily_original_wrong!E89*total_from_MA_dashboard!E$24</f>
        <v>3.1098004471189992E-3</v>
      </c>
      <c r="F89">
        <f>daily_original_wrong!F89*total_from_MA_dashboard!F$24</f>
        <v>2.5331767272982635E-3</v>
      </c>
      <c r="G89">
        <f>daily_original_wrong!G89*total_from_MA_dashboard!G$24</f>
        <v>3.3400389237788759E-3</v>
      </c>
      <c r="H89">
        <f>daily_original_wrong!H89*total_from_MA_dashboard!H$24</f>
        <v>4.9227379591898039E-3</v>
      </c>
      <c r="J89" t="str">
        <f t="shared" si="8"/>
        <v>[</v>
      </c>
      <c r="K89" t="str">
        <f t="shared" si="9"/>
        <v>[0.00168870356769196],</v>
      </c>
      <c r="L89" t="str">
        <f t="shared" si="7"/>
        <v>[0.00337740713538392],</v>
      </c>
      <c r="M89" t="str">
        <f t="shared" si="7"/>
        <v>[0.0029531782655454],</v>
      </c>
      <c r="N89" t="str">
        <f t="shared" si="7"/>
        <v>[0.003109800447119],</v>
      </c>
      <c r="O89" t="str">
        <f t="shared" si="7"/>
        <v>[0.00253317672729826],</v>
      </c>
      <c r="P89" t="str">
        <f t="shared" si="7"/>
        <v>[0.00334003892377888],</v>
      </c>
      <c r="Q89" t="str">
        <f t="shared" si="10"/>
        <v>[0.0049227379591898]</v>
      </c>
      <c r="R89" t="str">
        <f t="shared" si="11"/>
        <v>]</v>
      </c>
      <c r="S89" t="str">
        <f t="shared" si="12"/>
        <v>[[0.00168870356769196],[0.00337740713538392],[0.0029531782655454],[0.003109800447119],[0.00253317672729826],[0.00334003892377888],[0.0049227379591898]]</v>
      </c>
    </row>
    <row r="90" spans="1:19" x14ac:dyDescent="0.2">
      <c r="A90" s="1" t="d">
        <v>2025-11-12</v>
      </c>
      <c r="B90">
        <f>daily_original_wrong!B90*total_from_MA_dashboard!B$24</f>
        <v>1.6887035676919594E-3</v>
      </c>
      <c r="C90">
        <f>daily_original_wrong!C90*total_from_MA_dashboard!C$24</f>
        <v>3.3774071353839187E-3</v>
      </c>
      <c r="D90">
        <f>daily_original_wrong!D90*total_from_MA_dashboard!D$24</f>
        <v>2.953178265545405E-3</v>
      </c>
      <c r="E90">
        <f>daily_original_wrong!E90*total_from_MA_dashboard!E$24</f>
        <v>3.1098004471189992E-3</v>
      </c>
      <c r="F90">
        <f>daily_original_wrong!F90*total_from_MA_dashboard!F$24</f>
        <v>2.5331767272982635E-3</v>
      </c>
      <c r="G90">
        <f>daily_original_wrong!G90*total_from_MA_dashboard!G$24</f>
        <v>3.3400389237788759E-3</v>
      </c>
      <c r="H90">
        <f>daily_original_wrong!H90*total_from_MA_dashboard!H$24</f>
        <v>4.9227379591898039E-3</v>
      </c>
      <c r="J90" t="str">
        <f t="shared" si="8"/>
        <v>[</v>
      </c>
      <c r="K90" t="str">
        <f t="shared" si="9"/>
        <v>[0.00168870356769196],</v>
      </c>
      <c r="L90" t="str">
        <f t="shared" si="7"/>
        <v>[0.00337740713538392],</v>
      </c>
      <c r="M90" t="str">
        <f t="shared" si="7"/>
        <v>[0.0029531782655454],</v>
      </c>
      <c r="N90" t="str">
        <f t="shared" si="7"/>
        <v>[0.003109800447119],</v>
      </c>
      <c r="O90" t="str">
        <f t="shared" si="7"/>
        <v>[0.00253317672729826],</v>
      </c>
      <c r="P90" t="str">
        <f t="shared" si="7"/>
        <v>[0.00334003892377888],</v>
      </c>
      <c r="Q90" t="str">
        <f t="shared" si="10"/>
        <v>[0.0049227379591898]</v>
      </c>
      <c r="R90" t="str">
        <f t="shared" si="11"/>
        <v>]</v>
      </c>
      <c r="S90" t="str">
        <f t="shared" si="12"/>
        <v>[[0.00168870356769196],[0.00337740713538392],[0.0029531782655454],[0.003109800447119],[0.00253317672729826],[0.00334003892377888],[0.0049227379591898]]</v>
      </c>
    </row>
    <row r="91" spans="1:19" x14ac:dyDescent="0.2">
      <c r="A91" s="1" t="d">
        <v>2025-11-13</v>
      </c>
      <c r="B91">
        <f>daily_original_wrong!B91*total_from_MA_dashboard!B$24</f>
        <v>1.6887035676919594E-3</v>
      </c>
      <c r="C91">
        <f>daily_original_wrong!C91*total_from_MA_dashboard!C$24</f>
        <v>3.3774071353839187E-3</v>
      </c>
      <c r="D91">
        <f>daily_original_wrong!D91*total_from_MA_dashboard!D$24</f>
        <v>2.953178265545405E-3</v>
      </c>
      <c r="E91">
        <f>daily_original_wrong!E91*total_from_MA_dashboard!E$24</f>
        <v>3.1098004471189992E-3</v>
      </c>
      <c r="F91">
        <f>daily_original_wrong!F91*total_from_MA_dashboard!F$24</f>
        <v>2.5331767272982635E-3</v>
      </c>
      <c r="G91">
        <f>daily_original_wrong!G91*total_from_MA_dashboard!G$24</f>
        <v>3.3400389237788759E-3</v>
      </c>
      <c r="H91">
        <f>daily_original_wrong!H91*total_from_MA_dashboard!H$24</f>
        <v>4.9227379591898039E-3</v>
      </c>
      <c r="J91" t="str">
        <f t="shared" si="8"/>
        <v>[</v>
      </c>
      <c r="K91" t="str">
        <f t="shared" si="9"/>
        <v>[0.00168870356769196],</v>
      </c>
      <c r="L91" t="str">
        <f t="shared" si="7"/>
        <v>[0.00337740713538392],</v>
      </c>
      <c r="M91" t="str">
        <f t="shared" si="7"/>
        <v>[0.0029531782655454],</v>
      </c>
      <c r="N91" t="str">
        <f t="shared" si="7"/>
        <v>[0.003109800447119],</v>
      </c>
      <c r="O91" t="str">
        <f t="shared" si="7"/>
        <v>[0.00253317672729826],</v>
      </c>
      <c r="P91" t="str">
        <f t="shared" si="7"/>
        <v>[0.00334003892377888],</v>
      </c>
      <c r="Q91" t="str">
        <f t="shared" si="10"/>
        <v>[0.0049227379591898]</v>
      </c>
      <c r="R91" t="str">
        <f t="shared" si="11"/>
        <v>]</v>
      </c>
      <c r="S91" t="str">
        <f t="shared" si="12"/>
        <v>[[0.00168870356769196],[0.00337740713538392],[0.0029531782655454],[0.003109800447119],[0.00253317672729826],[0.00334003892377888],[0.0049227379591898]]</v>
      </c>
    </row>
    <row r="92" spans="1:19" x14ac:dyDescent="0.2">
      <c r="A92" s="1" t="d">
        <v>2025-11-14</v>
      </c>
      <c r="B92">
        <f>daily_original_wrong!B92*total_from_MA_dashboard!B$24</f>
        <v>1.6887035676919594E-3</v>
      </c>
      <c r="C92">
        <f>daily_original_wrong!C92*total_from_MA_dashboard!C$24</f>
        <v>3.3774071353839187E-3</v>
      </c>
      <c r="D92">
        <f>daily_original_wrong!D92*total_from_MA_dashboard!D$24</f>
        <v>2.953178265545405E-3</v>
      </c>
      <c r="E92">
        <f>daily_original_wrong!E92*total_from_MA_dashboard!E$24</f>
        <v>3.1098004471189992E-3</v>
      </c>
      <c r="F92">
        <f>daily_original_wrong!F92*total_from_MA_dashboard!F$24</f>
        <v>2.5331767272982635E-3</v>
      </c>
      <c r="G92">
        <f>daily_original_wrong!G92*total_from_MA_dashboard!G$24</f>
        <v>3.3400389237788759E-3</v>
      </c>
      <c r="H92">
        <f>daily_original_wrong!H92*total_from_MA_dashboard!H$24</f>
        <v>4.9227379591898039E-3</v>
      </c>
      <c r="J92" t="str">
        <f t="shared" si="8"/>
        <v>[</v>
      </c>
      <c r="K92" t="str">
        <f t="shared" si="9"/>
        <v>[0.00168870356769196],</v>
      </c>
      <c r="L92" t="str">
        <f t="shared" si="7"/>
        <v>[0.00337740713538392],</v>
      </c>
      <c r="M92" t="str">
        <f t="shared" si="7"/>
        <v>[0.0029531782655454],</v>
      </c>
      <c r="N92" t="str">
        <f t="shared" si="7"/>
        <v>[0.003109800447119],</v>
      </c>
      <c r="O92" t="str">
        <f t="shared" si="7"/>
        <v>[0.00253317672729826],</v>
      </c>
      <c r="P92" t="str">
        <f t="shared" si="7"/>
        <v>[0.00334003892377888],</v>
      </c>
      <c r="Q92" t="str">
        <f t="shared" si="10"/>
        <v>[0.0049227379591898]</v>
      </c>
      <c r="R92" t="str">
        <f t="shared" si="11"/>
        <v>]</v>
      </c>
      <c r="S92" t="str">
        <f t="shared" si="12"/>
        <v>[[0.00168870356769196],[0.00337740713538392],[0.0029531782655454],[0.003109800447119],[0.00253317672729826],[0.00334003892377888],[0.0049227379591898]]</v>
      </c>
    </row>
    <row r="93" spans="1:19" x14ac:dyDescent="0.2">
      <c r="A93" s="1" t="d">
        <v>2025-11-15</v>
      </c>
      <c r="B93">
        <f>daily_original_wrong!B93*total_from_MA_dashboard!B$24</f>
        <v>1.3568633435099252E-3</v>
      </c>
      <c r="C93">
        <f>daily_original_wrong!C93*total_from_MA_dashboard!C$24</f>
        <v>2.7137266870198504E-3</v>
      </c>
      <c r="D93">
        <f>daily_original_wrong!D93*total_from_MA_dashboard!D$24</f>
        <v>2.6729999399755593E-3</v>
      </c>
      <c r="E93">
        <f>daily_original_wrong!E93*total_from_MA_dashboard!E$24</f>
        <v>2.6072495299263856E-3</v>
      </c>
      <c r="F93">
        <f>daily_original_wrong!F93*total_from_MA_dashboard!F$24</f>
        <v>2.1417127524732977E-3</v>
      </c>
      <c r="G93">
        <f>daily_original_wrong!G93*total_from_MA_dashboard!G$24</f>
        <v>2.6473828642831322E-3</v>
      </c>
      <c r="H93">
        <f>daily_original_wrong!H93*total_from_MA_dashboard!H$24</f>
        <v>3.84468435653329E-3</v>
      </c>
      <c r="J93" t="str">
        <f t="shared" si="8"/>
        <v>[</v>
      </c>
      <c r="K93" t="str">
        <f t="shared" si="9"/>
        <v>[0.00135686334350993],</v>
      </c>
      <c r="L93" t="str">
        <f t="shared" si="7"/>
        <v>[0.00271372668701985],</v>
      </c>
      <c r="M93" t="str">
        <f t="shared" si="7"/>
        <v>[0.00267299993997556],</v>
      </c>
      <c r="N93" t="str">
        <f t="shared" si="7"/>
        <v>[0.00260724952992639],</v>
      </c>
      <c r="O93" t="str">
        <f t="shared" si="7"/>
        <v>[0.0021417127524733],</v>
      </c>
      <c r="P93" t="str">
        <f t="shared" si="7"/>
        <v>[0.00264738286428313],</v>
      </c>
      <c r="Q93" t="str">
        <f t="shared" si="10"/>
        <v>[0.00384468435653329]</v>
      </c>
      <c r="R93" t="str">
        <f t="shared" si="11"/>
        <v>]</v>
      </c>
      <c r="S93" t="str">
        <f t="shared" si="12"/>
        <v>[[0.00135686334350993],[0.00271372668701985],[0.00267299993997556],[0.00260724952992639],[0.0021417127524733],[0.00264738286428313],[0.00384468435653329]]</v>
      </c>
    </row>
    <row r="94" spans="1:19" x14ac:dyDescent="0.2">
      <c r="A94" s="1" t="d">
        <v>2025-11-16</v>
      </c>
      <c r="B94">
        <f>daily_original_wrong!B94*total_from_MA_dashboard!B$24</f>
        <v>1.3568633435099252E-3</v>
      </c>
      <c r="C94">
        <f>daily_original_wrong!C94*total_from_MA_dashboard!C$24</f>
        <v>2.7137266870198504E-3</v>
      </c>
      <c r="D94">
        <f>daily_original_wrong!D94*total_from_MA_dashboard!D$24</f>
        <v>2.6729999399755593E-3</v>
      </c>
      <c r="E94">
        <f>daily_original_wrong!E94*total_from_MA_dashboard!E$24</f>
        <v>2.6072495299263856E-3</v>
      </c>
      <c r="F94">
        <f>daily_original_wrong!F94*total_from_MA_dashboard!F$24</f>
        <v>2.1417127524732977E-3</v>
      </c>
      <c r="G94">
        <f>daily_original_wrong!G94*total_from_MA_dashboard!G$24</f>
        <v>2.6473828642831322E-3</v>
      </c>
      <c r="H94">
        <f>daily_original_wrong!H94*total_from_MA_dashboard!H$24</f>
        <v>3.84468435653329E-3</v>
      </c>
      <c r="J94" t="str">
        <f t="shared" si="8"/>
        <v>[</v>
      </c>
      <c r="K94" t="str">
        <f t="shared" si="9"/>
        <v>[0.00135686334350993],</v>
      </c>
      <c r="L94" t="str">
        <f t="shared" si="7"/>
        <v>[0.00271372668701985],</v>
      </c>
      <c r="M94" t="str">
        <f t="shared" si="7"/>
        <v>[0.00267299993997556],</v>
      </c>
      <c r="N94" t="str">
        <f t="shared" si="7"/>
        <v>[0.00260724952992639],</v>
      </c>
      <c r="O94" t="str">
        <f t="shared" si="7"/>
        <v>[0.0021417127524733],</v>
      </c>
      <c r="P94" t="str">
        <f t="shared" si="7"/>
        <v>[0.00264738286428313],</v>
      </c>
      <c r="Q94" t="str">
        <f t="shared" si="10"/>
        <v>[0.00384468435653329]</v>
      </c>
      <c r="R94" t="str">
        <f t="shared" si="11"/>
        <v>]</v>
      </c>
      <c r="S94" t="str">
        <f t="shared" si="12"/>
        <v>[[0.00135686334350993],[0.00271372668701985],[0.00267299993997556],[0.00260724952992639],[0.0021417127524733],[0.00264738286428313],[0.00384468435653329]]</v>
      </c>
    </row>
    <row r="95" spans="1:19" x14ac:dyDescent="0.2">
      <c r="A95" s="1" t="d">
        <v>2025-11-17</v>
      </c>
      <c r="B95">
        <f>daily_original_wrong!B95*total_from_MA_dashboard!B$24</f>
        <v>1.3568633435099252E-3</v>
      </c>
      <c r="C95">
        <f>daily_original_wrong!C95*total_from_MA_dashboard!C$24</f>
        <v>2.7137266870198504E-3</v>
      </c>
      <c r="D95">
        <f>daily_original_wrong!D95*total_from_MA_dashboard!D$24</f>
        <v>2.6729999399755593E-3</v>
      </c>
      <c r="E95">
        <f>daily_original_wrong!E95*total_from_MA_dashboard!E$24</f>
        <v>2.6072495299263856E-3</v>
      </c>
      <c r="F95">
        <f>daily_original_wrong!F95*total_from_MA_dashboard!F$24</f>
        <v>2.1417127524732977E-3</v>
      </c>
      <c r="G95">
        <f>daily_original_wrong!G95*total_from_MA_dashboard!G$24</f>
        <v>2.6473828642831322E-3</v>
      </c>
      <c r="H95">
        <f>daily_original_wrong!H95*total_from_MA_dashboard!H$24</f>
        <v>3.84468435653329E-3</v>
      </c>
      <c r="J95" t="str">
        <f t="shared" si="8"/>
        <v>[</v>
      </c>
      <c r="K95" t="str">
        <f t="shared" si="9"/>
        <v>[0.00135686334350993],</v>
      </c>
      <c r="L95" t="str">
        <f t="shared" si="7"/>
        <v>[0.00271372668701985],</v>
      </c>
      <c r="M95" t="str">
        <f t="shared" si="7"/>
        <v>[0.00267299993997556],</v>
      </c>
      <c r="N95" t="str">
        <f t="shared" si="7"/>
        <v>[0.00260724952992639],</v>
      </c>
      <c r="O95" t="str">
        <f t="shared" si="7"/>
        <v>[0.0021417127524733],</v>
      </c>
      <c r="P95" t="str">
        <f t="shared" si="7"/>
        <v>[0.00264738286428313],</v>
      </c>
      <c r="Q95" t="str">
        <f t="shared" si="10"/>
        <v>[0.00384468435653329]</v>
      </c>
      <c r="R95" t="str">
        <f t="shared" si="11"/>
        <v>]</v>
      </c>
      <c r="S95" t="str">
        <f t="shared" si="12"/>
        <v>[[0.00135686334350993],[0.00271372668701985],[0.00267299993997556],[0.00260724952992639],[0.0021417127524733],[0.00264738286428313],[0.00384468435653329]]</v>
      </c>
    </row>
    <row r="96" spans="1:19" x14ac:dyDescent="0.2">
      <c r="A96" s="1" t="d">
        <v>2025-11-18</v>
      </c>
      <c r="B96">
        <f>daily_original_wrong!B96*total_from_MA_dashboard!B$24</f>
        <v>1.3568633435099252E-3</v>
      </c>
      <c r="C96">
        <f>daily_original_wrong!C96*total_from_MA_dashboard!C$24</f>
        <v>2.7137266870198504E-3</v>
      </c>
      <c r="D96">
        <f>daily_original_wrong!D96*total_from_MA_dashboard!D$24</f>
        <v>2.6729999399755593E-3</v>
      </c>
      <c r="E96">
        <f>daily_original_wrong!E96*total_from_MA_dashboard!E$24</f>
        <v>2.6072495299263856E-3</v>
      </c>
      <c r="F96">
        <f>daily_original_wrong!F96*total_from_MA_dashboard!F$24</f>
        <v>2.1417127524732977E-3</v>
      </c>
      <c r="G96">
        <f>daily_original_wrong!G96*total_from_MA_dashboard!G$24</f>
        <v>2.6473828642831322E-3</v>
      </c>
      <c r="H96">
        <f>daily_original_wrong!H96*total_from_MA_dashboard!H$24</f>
        <v>3.84468435653329E-3</v>
      </c>
      <c r="J96" t="str">
        <f t="shared" si="8"/>
        <v>[</v>
      </c>
      <c r="K96" t="str">
        <f t="shared" si="9"/>
        <v>[0.00135686334350993],</v>
      </c>
      <c r="L96" t="str">
        <f t="shared" si="7"/>
        <v>[0.00271372668701985],</v>
      </c>
      <c r="M96" t="str">
        <f t="shared" si="7"/>
        <v>[0.00267299993997556],</v>
      </c>
      <c r="N96" t="str">
        <f t="shared" si="7"/>
        <v>[0.00260724952992639],</v>
      </c>
      <c r="O96" t="str">
        <f t="shared" si="7"/>
        <v>[0.0021417127524733],</v>
      </c>
      <c r="P96" t="str">
        <f t="shared" si="7"/>
        <v>[0.00264738286428313],</v>
      </c>
      <c r="Q96" t="str">
        <f t="shared" si="10"/>
        <v>[0.00384468435653329]</v>
      </c>
      <c r="R96" t="str">
        <f t="shared" si="11"/>
        <v>]</v>
      </c>
      <c r="S96" t="str">
        <f t="shared" si="12"/>
        <v>[[0.00135686334350993],[0.00271372668701985],[0.00267299993997556],[0.00260724952992639],[0.0021417127524733],[0.00264738286428313],[0.00384468435653329]]</v>
      </c>
    </row>
    <row r="97" spans="1:19" x14ac:dyDescent="0.2">
      <c r="A97" s="1" t="d">
        <v>2025-11-19</v>
      </c>
      <c r="B97">
        <f>daily_original_wrong!B97*total_from_MA_dashboard!B$24</f>
        <v>1.3568633435099252E-3</v>
      </c>
      <c r="C97">
        <f>daily_original_wrong!C97*total_from_MA_dashboard!C$24</f>
        <v>2.7137266870198504E-3</v>
      </c>
      <c r="D97">
        <f>daily_original_wrong!D97*total_from_MA_dashboard!D$24</f>
        <v>2.6729999399755593E-3</v>
      </c>
      <c r="E97">
        <f>daily_original_wrong!E97*total_from_MA_dashboard!E$24</f>
        <v>2.6072495299263856E-3</v>
      </c>
      <c r="F97">
        <f>daily_original_wrong!F97*total_from_MA_dashboard!F$24</f>
        <v>2.1417127524732977E-3</v>
      </c>
      <c r="G97">
        <f>daily_original_wrong!G97*total_from_MA_dashboard!G$24</f>
        <v>2.6473828642831322E-3</v>
      </c>
      <c r="H97">
        <f>daily_original_wrong!H97*total_from_MA_dashboard!H$24</f>
        <v>3.84468435653329E-3</v>
      </c>
      <c r="J97" t="str">
        <f t="shared" si="8"/>
        <v>[</v>
      </c>
      <c r="K97" t="str">
        <f t="shared" si="9"/>
        <v>[0.00135686334350993],</v>
      </c>
      <c r="L97" t="str">
        <f t="shared" si="7"/>
        <v>[0.00271372668701985],</v>
      </c>
      <c r="M97" t="str">
        <f t="shared" si="7"/>
        <v>[0.00267299993997556],</v>
      </c>
      <c r="N97" t="str">
        <f t="shared" si="7"/>
        <v>[0.00260724952992639],</v>
      </c>
      <c r="O97" t="str">
        <f t="shared" si="7"/>
        <v>[0.0021417127524733],</v>
      </c>
      <c r="P97" t="str">
        <f t="shared" si="7"/>
        <v>[0.00264738286428313],</v>
      </c>
      <c r="Q97" t="str">
        <f t="shared" si="10"/>
        <v>[0.00384468435653329]</v>
      </c>
      <c r="R97" t="str">
        <f t="shared" si="11"/>
        <v>]</v>
      </c>
      <c r="S97" t="str">
        <f t="shared" si="12"/>
        <v>[[0.00135686334350993],[0.00271372668701985],[0.00267299993997556],[0.00260724952992639],[0.0021417127524733],[0.00264738286428313],[0.00384468435653329]]</v>
      </c>
    </row>
    <row r="98" spans="1:19" x14ac:dyDescent="0.2">
      <c r="A98" s="1" t="d">
        <v>2025-11-20</v>
      </c>
      <c r="B98">
        <f>daily_original_wrong!B98*total_from_MA_dashboard!B$24</f>
        <v>1.3568633435099252E-3</v>
      </c>
      <c r="C98">
        <f>daily_original_wrong!C98*total_from_MA_dashboard!C$24</f>
        <v>2.7137266870198504E-3</v>
      </c>
      <c r="D98">
        <f>daily_original_wrong!D98*total_from_MA_dashboard!D$24</f>
        <v>2.6729999399755593E-3</v>
      </c>
      <c r="E98">
        <f>daily_original_wrong!E98*total_from_MA_dashboard!E$24</f>
        <v>2.6072495299263856E-3</v>
      </c>
      <c r="F98">
        <f>daily_original_wrong!F98*total_from_MA_dashboard!F$24</f>
        <v>2.1417127524732977E-3</v>
      </c>
      <c r="G98">
        <f>daily_original_wrong!G98*total_from_MA_dashboard!G$24</f>
        <v>2.6473828642831322E-3</v>
      </c>
      <c r="H98">
        <f>daily_original_wrong!H98*total_from_MA_dashboard!H$24</f>
        <v>3.84468435653329E-3</v>
      </c>
      <c r="J98" t="str">
        <f t="shared" si="8"/>
        <v>[</v>
      </c>
      <c r="K98" t="str">
        <f t="shared" si="9"/>
        <v>[0.00135686334350993],</v>
      </c>
      <c r="L98" t="str">
        <f t="shared" si="7"/>
        <v>[0.00271372668701985],</v>
      </c>
      <c r="M98" t="str">
        <f t="shared" si="7"/>
        <v>[0.00267299993997556],</v>
      </c>
      <c r="N98" t="str">
        <f t="shared" si="7"/>
        <v>[0.00260724952992639],</v>
      </c>
      <c r="O98" t="str">
        <f t="shared" si="7"/>
        <v>[0.0021417127524733],</v>
      </c>
      <c r="P98" t="str">
        <f t="shared" si="7"/>
        <v>[0.00264738286428313],</v>
      </c>
      <c r="Q98" t="str">
        <f t="shared" si="10"/>
        <v>[0.00384468435653329]</v>
      </c>
      <c r="R98" t="str">
        <f t="shared" si="11"/>
        <v>]</v>
      </c>
      <c r="S98" t="str">
        <f t="shared" si="12"/>
        <v>[[0.00135686334350993],[0.00271372668701985],[0.00267299993997556],[0.00260724952992639],[0.0021417127524733],[0.00264738286428313],[0.00384468435653329]]</v>
      </c>
    </row>
    <row r="99" spans="1:19" x14ac:dyDescent="0.2">
      <c r="A99" s="1" t="d">
        <v>2025-11-21</v>
      </c>
      <c r="B99">
        <f>daily_original_wrong!B99*total_from_MA_dashboard!B$24</f>
        <v>1.3568633435099252E-3</v>
      </c>
      <c r="C99">
        <f>daily_original_wrong!C99*total_from_MA_dashboard!C$24</f>
        <v>2.7137266870198504E-3</v>
      </c>
      <c r="D99">
        <f>daily_original_wrong!D99*total_from_MA_dashboard!D$24</f>
        <v>2.6729999399755593E-3</v>
      </c>
      <c r="E99">
        <f>daily_original_wrong!E99*total_from_MA_dashboard!E$24</f>
        <v>2.6072495299263856E-3</v>
      </c>
      <c r="F99">
        <f>daily_original_wrong!F99*total_from_MA_dashboard!F$24</f>
        <v>2.1417127524732977E-3</v>
      </c>
      <c r="G99">
        <f>daily_original_wrong!G99*total_from_MA_dashboard!G$24</f>
        <v>2.6473828642831322E-3</v>
      </c>
      <c r="H99">
        <f>daily_original_wrong!H99*total_from_MA_dashboard!H$24</f>
        <v>3.84468435653329E-3</v>
      </c>
      <c r="J99" t="str">
        <f t="shared" si="8"/>
        <v>[</v>
      </c>
      <c r="K99" t="str">
        <f t="shared" si="9"/>
        <v>[0.00135686334350993],</v>
      </c>
      <c r="L99" t="str">
        <f t="shared" si="7"/>
        <v>[0.00271372668701985],</v>
      </c>
      <c r="M99" t="str">
        <f t="shared" si="7"/>
        <v>[0.00267299993997556],</v>
      </c>
      <c r="N99" t="str">
        <f t="shared" si="7"/>
        <v>[0.00260724952992639],</v>
      </c>
      <c r="O99" t="str">
        <f t="shared" si="7"/>
        <v>[0.0021417127524733],</v>
      </c>
      <c r="P99" t="str">
        <f t="shared" si="7"/>
        <v>[0.00264738286428313],</v>
      </c>
      <c r="Q99" t="str">
        <f t="shared" si="10"/>
        <v>[0.00384468435653329]</v>
      </c>
      <c r="R99" t="str">
        <f t="shared" si="11"/>
        <v>]</v>
      </c>
      <c r="S99" t="str">
        <f t="shared" si="12"/>
        <v>[[0.00135686334350993],[0.00271372668701985],[0.00267299993997556],[0.00260724952992639],[0.0021417127524733],[0.00264738286428313],[0.00384468435653329]]</v>
      </c>
    </row>
    <row r="100" spans="1:19" x14ac:dyDescent="0.2">
      <c r="A100" s="1" t="d">
        <v>2025-11-22</v>
      </c>
      <c r="B100">
        <f>daily_original_wrong!B100*total_from_MA_dashboard!B$24</f>
        <v>1.0961777236884625E-3</v>
      </c>
      <c r="C100">
        <f>daily_original_wrong!C100*total_from_MA_dashboard!C$24</f>
        <v>2.192355447376925E-3</v>
      </c>
      <c r="D100">
        <f>daily_original_wrong!D100*total_from_MA_dashboard!D$24</f>
        <v>2.3711530254257361E-3</v>
      </c>
      <c r="E100">
        <f>daily_original_wrong!E100*total_from_MA_dashboard!E$24</f>
        <v>2.1535281572071805E-3</v>
      </c>
      <c r="F100">
        <f>daily_original_wrong!F100*total_from_MA_dashboard!F$24</f>
        <v>1.7695077542662133E-3</v>
      </c>
      <c r="G100">
        <f>daily_original_wrong!G100*total_from_MA_dashboard!G$24</f>
        <v>2.0727258036003044E-3</v>
      </c>
      <c r="H100">
        <f>daily_original_wrong!H100*total_from_MA_dashboard!H$24</f>
        <v>2.9565302269299299E-3</v>
      </c>
      <c r="J100" t="str">
        <f t="shared" si="8"/>
        <v>[</v>
      </c>
      <c r="K100" t="str">
        <f t="shared" si="9"/>
        <v>[0.00109617772368846],</v>
      </c>
      <c r="L100" t="str">
        <f t="shared" si="7"/>
        <v>[0.00219235544737693],</v>
      </c>
      <c r="M100" t="str">
        <f t="shared" si="7"/>
        <v>[0.00237115302542574],</v>
      </c>
      <c r="N100" t="str">
        <f t="shared" si="7"/>
        <v>[0.00215352815720718],</v>
      </c>
      <c r="O100" t="str">
        <f t="shared" si="7"/>
        <v>[0.00176950775426621],</v>
      </c>
      <c r="P100" t="str">
        <f t="shared" si="7"/>
        <v>[0.0020727258036003],</v>
      </c>
      <c r="Q100" t="str">
        <f t="shared" si="10"/>
        <v>[0.00295653022692993]</v>
      </c>
      <c r="R100" t="str">
        <f t="shared" si="11"/>
        <v>]</v>
      </c>
      <c r="S100" t="str">
        <f t="shared" si="12"/>
        <v>[[0.00109617772368846],[0.00219235544737693],[0.00237115302542574],[0.00215352815720718],[0.00176950775426621],[0.0020727258036003],[0.00295653022692993]]</v>
      </c>
    </row>
    <row r="101" spans="1:19" x14ac:dyDescent="0.2">
      <c r="A101" s="1" t="d">
        <v>2025-11-23</v>
      </c>
      <c r="B101">
        <f>daily_original_wrong!B101*total_from_MA_dashboard!B$24</f>
        <v>1.0961777236884625E-3</v>
      </c>
      <c r="C101">
        <f>daily_original_wrong!C101*total_from_MA_dashboard!C$24</f>
        <v>2.192355447376925E-3</v>
      </c>
      <c r="D101">
        <f>daily_original_wrong!D101*total_from_MA_dashboard!D$24</f>
        <v>2.3711530254257361E-3</v>
      </c>
      <c r="E101">
        <f>daily_original_wrong!E101*total_from_MA_dashboard!E$24</f>
        <v>2.1535281572071805E-3</v>
      </c>
      <c r="F101">
        <f>daily_original_wrong!F101*total_from_MA_dashboard!F$24</f>
        <v>1.7695077542662133E-3</v>
      </c>
      <c r="G101">
        <f>daily_original_wrong!G101*total_from_MA_dashboard!G$24</f>
        <v>2.0727258036003044E-3</v>
      </c>
      <c r="H101">
        <f>daily_original_wrong!H101*total_from_MA_dashboard!H$24</f>
        <v>2.9565302269299299E-3</v>
      </c>
      <c r="J101" t="str">
        <f t="shared" si="8"/>
        <v>[</v>
      </c>
      <c r="K101" t="str">
        <f t="shared" si="9"/>
        <v>[0.00109617772368846],</v>
      </c>
      <c r="L101" t="str">
        <f t="shared" si="7"/>
        <v>[0.00219235544737693],</v>
      </c>
      <c r="M101" t="str">
        <f t="shared" si="7"/>
        <v>[0.00237115302542574],</v>
      </c>
      <c r="N101" t="str">
        <f t="shared" si="7"/>
        <v>[0.00215352815720718],</v>
      </c>
      <c r="O101" t="str">
        <f t="shared" si="7"/>
        <v>[0.00176950775426621],</v>
      </c>
      <c r="P101" t="str">
        <f t="shared" si="7"/>
        <v>[0.0020727258036003],</v>
      </c>
      <c r="Q101" t="str">
        <f t="shared" si="10"/>
        <v>[0.00295653022692993]</v>
      </c>
      <c r="R101" t="str">
        <f t="shared" si="11"/>
        <v>]</v>
      </c>
      <c r="S101" t="str">
        <f t="shared" si="12"/>
        <v>[[0.00109617772368846],[0.00219235544737693],[0.00237115302542574],[0.00215352815720718],[0.00176950775426621],[0.0020727258036003],[0.00295653022692993]]</v>
      </c>
    </row>
    <row r="102" spans="1:19" x14ac:dyDescent="0.2">
      <c r="A102" s="1" t="d">
        <v>2025-11-24</v>
      </c>
      <c r="B102">
        <f>daily_original_wrong!B102*total_from_MA_dashboard!B$24</f>
        <v>1.0961777236884625E-3</v>
      </c>
      <c r="C102">
        <f>daily_original_wrong!C102*total_from_MA_dashboard!C$24</f>
        <v>2.192355447376925E-3</v>
      </c>
      <c r="D102">
        <f>daily_original_wrong!D102*total_from_MA_dashboard!D$24</f>
        <v>2.3711530254257361E-3</v>
      </c>
      <c r="E102">
        <f>daily_original_wrong!E102*total_from_MA_dashboard!E$24</f>
        <v>2.1535281572071805E-3</v>
      </c>
      <c r="F102">
        <f>daily_original_wrong!F102*total_from_MA_dashboard!F$24</f>
        <v>1.7695077542662133E-3</v>
      </c>
      <c r="G102">
        <f>daily_original_wrong!G102*total_from_MA_dashboard!G$24</f>
        <v>2.0727258036003044E-3</v>
      </c>
      <c r="H102">
        <f>daily_original_wrong!H102*total_from_MA_dashboard!H$24</f>
        <v>2.9565302269299299E-3</v>
      </c>
      <c r="J102" t="str">
        <f t="shared" si="8"/>
        <v>[</v>
      </c>
      <c r="K102" t="str">
        <f t="shared" si="9"/>
        <v>[0.00109617772368846],</v>
      </c>
      <c r="L102" t="str">
        <f t="shared" si="7"/>
        <v>[0.00219235544737693],</v>
      </c>
      <c r="M102" t="str">
        <f t="shared" si="7"/>
        <v>[0.00237115302542574],</v>
      </c>
      <c r="N102" t="str">
        <f t="shared" si="7"/>
        <v>[0.00215352815720718],</v>
      </c>
      <c r="O102" t="str">
        <f t="shared" si="7"/>
        <v>[0.00176950775426621],</v>
      </c>
      <c r="P102" t="str">
        <f t="shared" si="7"/>
        <v>[0.0020727258036003],</v>
      </c>
      <c r="Q102" t="str">
        <f t="shared" si="10"/>
        <v>[0.00295653022692993]</v>
      </c>
      <c r="R102" t="str">
        <f t="shared" si="11"/>
        <v>]</v>
      </c>
      <c r="S102" t="str">
        <f t="shared" si="12"/>
        <v>[[0.00109617772368846],[0.00219235544737693],[0.00237115302542574],[0.00215352815720718],[0.00176950775426621],[0.0020727258036003],[0.00295653022692993]]</v>
      </c>
    </row>
    <row r="103" spans="1:19" x14ac:dyDescent="0.2">
      <c r="A103" s="1" t="d">
        <v>2025-11-25</v>
      </c>
      <c r="B103">
        <f>daily_original_wrong!B103*total_from_MA_dashboard!B$24</f>
        <v>1.0961777236884625E-3</v>
      </c>
      <c r="C103">
        <f>daily_original_wrong!C103*total_from_MA_dashboard!C$24</f>
        <v>2.192355447376925E-3</v>
      </c>
      <c r="D103">
        <f>daily_original_wrong!D103*total_from_MA_dashboard!D$24</f>
        <v>2.3711530254257361E-3</v>
      </c>
      <c r="E103">
        <f>daily_original_wrong!E103*total_from_MA_dashboard!E$24</f>
        <v>2.1535281572071805E-3</v>
      </c>
      <c r="F103">
        <f>daily_original_wrong!F103*total_from_MA_dashboard!F$24</f>
        <v>1.7695077542662133E-3</v>
      </c>
      <c r="G103">
        <f>daily_original_wrong!G103*total_from_MA_dashboard!G$24</f>
        <v>2.0727258036003044E-3</v>
      </c>
      <c r="H103">
        <f>daily_original_wrong!H103*total_from_MA_dashboard!H$24</f>
        <v>2.9565302269299299E-3</v>
      </c>
      <c r="J103" t="str">
        <f t="shared" si="8"/>
        <v>[</v>
      </c>
      <c r="K103" t="str">
        <f t="shared" si="9"/>
        <v>[0.00109617772368846],</v>
      </c>
      <c r="L103" t="str">
        <f t="shared" si="7"/>
        <v>[0.00219235544737693],</v>
      </c>
      <c r="M103" t="str">
        <f t="shared" si="7"/>
        <v>[0.00237115302542574],</v>
      </c>
      <c r="N103" t="str">
        <f t="shared" si="7"/>
        <v>[0.00215352815720718],</v>
      </c>
      <c r="O103" t="str">
        <f t="shared" si="7"/>
        <v>[0.00176950775426621],</v>
      </c>
      <c r="P103" t="str">
        <f t="shared" si="7"/>
        <v>[0.0020727258036003],</v>
      </c>
      <c r="Q103" t="str">
        <f t="shared" si="10"/>
        <v>[0.00295653022692993]</v>
      </c>
      <c r="R103" t="str">
        <f t="shared" si="11"/>
        <v>]</v>
      </c>
      <c r="S103" t="str">
        <f t="shared" si="12"/>
        <v>[[0.00109617772368846],[0.00219235544737693],[0.00237115302542574],[0.00215352815720718],[0.00176950775426621],[0.0020727258036003],[0.00295653022692993]]</v>
      </c>
    </row>
    <row r="104" spans="1:19" x14ac:dyDescent="0.2">
      <c r="A104" s="1" t="d">
        <v>2025-11-26</v>
      </c>
      <c r="B104">
        <f>daily_original_wrong!B104*total_from_MA_dashboard!B$24</f>
        <v>1.0961777236884625E-3</v>
      </c>
      <c r="C104">
        <f>daily_original_wrong!C104*total_from_MA_dashboard!C$24</f>
        <v>2.192355447376925E-3</v>
      </c>
      <c r="D104">
        <f>daily_original_wrong!D104*total_from_MA_dashboard!D$24</f>
        <v>2.3711530254257361E-3</v>
      </c>
      <c r="E104">
        <f>daily_original_wrong!E104*total_from_MA_dashboard!E$24</f>
        <v>2.1535281572071805E-3</v>
      </c>
      <c r="F104">
        <f>daily_original_wrong!F104*total_from_MA_dashboard!F$24</f>
        <v>1.7695077542662133E-3</v>
      </c>
      <c r="G104">
        <f>daily_original_wrong!G104*total_from_MA_dashboard!G$24</f>
        <v>2.0727258036003044E-3</v>
      </c>
      <c r="H104">
        <f>daily_original_wrong!H104*total_from_MA_dashboard!H$24</f>
        <v>2.9565302269299299E-3</v>
      </c>
      <c r="J104" t="str">
        <f t="shared" si="8"/>
        <v>[</v>
      </c>
      <c r="K104" t="str">
        <f t="shared" si="9"/>
        <v>[0.00109617772368846],</v>
      </c>
      <c r="L104" t="str">
        <f t="shared" si="7"/>
        <v>[0.00219235544737693],</v>
      </c>
      <c r="M104" t="str">
        <f t="shared" si="7"/>
        <v>[0.00237115302542574],</v>
      </c>
      <c r="N104" t="str">
        <f t="shared" si="7"/>
        <v>[0.00215352815720718],</v>
      </c>
      <c r="O104" t="str">
        <f t="shared" si="7"/>
        <v>[0.00176950775426621],</v>
      </c>
      <c r="P104" t="str">
        <f t="shared" si="7"/>
        <v>[0.0020727258036003],</v>
      </c>
      <c r="Q104" t="str">
        <f t="shared" si="10"/>
        <v>[0.00295653022692993]</v>
      </c>
      <c r="R104" t="str">
        <f t="shared" si="11"/>
        <v>]</v>
      </c>
      <c r="S104" t="str">
        <f t="shared" si="12"/>
        <v>[[0.00109617772368846],[0.00219235544737693],[0.00237115302542574],[0.00215352815720718],[0.00176950775426621],[0.0020727258036003],[0.00295653022692993]]</v>
      </c>
    </row>
    <row r="105" spans="1:19" x14ac:dyDescent="0.2">
      <c r="A105" s="1" t="d">
        <v>2025-11-27</v>
      </c>
      <c r="B105">
        <f>daily_original_wrong!B105*total_from_MA_dashboard!B$24</f>
        <v>1.0961777236884625E-3</v>
      </c>
      <c r="C105">
        <f>daily_original_wrong!C105*total_from_MA_dashboard!C$24</f>
        <v>2.192355447376925E-3</v>
      </c>
      <c r="D105">
        <f>daily_original_wrong!D105*total_from_MA_dashboard!D$24</f>
        <v>2.3711530254257361E-3</v>
      </c>
      <c r="E105">
        <f>daily_original_wrong!E105*total_from_MA_dashboard!E$24</f>
        <v>2.1535281572071805E-3</v>
      </c>
      <c r="F105">
        <f>daily_original_wrong!F105*total_from_MA_dashboard!F$24</f>
        <v>1.7695077542662133E-3</v>
      </c>
      <c r="G105">
        <f>daily_original_wrong!G105*total_from_MA_dashboard!G$24</f>
        <v>2.0727258036003044E-3</v>
      </c>
      <c r="H105">
        <f>daily_original_wrong!H105*total_from_MA_dashboard!H$24</f>
        <v>2.9565302269299299E-3</v>
      </c>
      <c r="J105" t="str">
        <f t="shared" si="8"/>
        <v>[</v>
      </c>
      <c r="K105" t="str">
        <f t="shared" si="9"/>
        <v>[0.00109617772368846],</v>
      </c>
      <c r="L105" t="str">
        <f t="shared" ref="L105:P155" si="13">"["&amp;C105&amp;"],"</f>
        <v>[0.00219235544737693],</v>
      </c>
      <c r="M105" t="str">
        <f t="shared" si="13"/>
        <v>[0.00237115302542574],</v>
      </c>
      <c r="N105" t="str">
        <f t="shared" si="13"/>
        <v>[0.00215352815720718],</v>
      </c>
      <c r="O105" t="str">
        <f t="shared" si="13"/>
        <v>[0.00176950775426621],</v>
      </c>
      <c r="P105" t="str">
        <f t="shared" si="13"/>
        <v>[0.0020727258036003],</v>
      </c>
      <c r="Q105" t="str">
        <f t="shared" si="10"/>
        <v>[0.00295653022692993]</v>
      </c>
      <c r="R105" t="str">
        <f t="shared" si="11"/>
        <v>]</v>
      </c>
      <c r="S105" t="str">
        <f t="shared" si="12"/>
        <v>[[0.00109617772368846],[0.00219235544737693],[0.00237115302542574],[0.00215352815720718],[0.00176950775426621],[0.0020727258036003],[0.00295653022692993]]</v>
      </c>
    </row>
    <row r="106" spans="1:19" x14ac:dyDescent="0.2">
      <c r="A106" s="1" t="d">
        <v>2025-11-28</v>
      </c>
      <c r="B106">
        <f>daily_original_wrong!B106*total_from_MA_dashboard!B$24</f>
        <v>1.0961777236884625E-3</v>
      </c>
      <c r="C106">
        <f>daily_original_wrong!C106*total_from_MA_dashboard!C$24</f>
        <v>2.192355447376925E-3</v>
      </c>
      <c r="D106">
        <f>daily_original_wrong!D106*total_from_MA_dashboard!D$24</f>
        <v>2.3711530254257361E-3</v>
      </c>
      <c r="E106">
        <f>daily_original_wrong!E106*total_from_MA_dashboard!E$24</f>
        <v>2.1535281572071805E-3</v>
      </c>
      <c r="F106">
        <f>daily_original_wrong!F106*total_from_MA_dashboard!F$24</f>
        <v>1.7695077542662133E-3</v>
      </c>
      <c r="G106">
        <f>daily_original_wrong!G106*total_from_MA_dashboard!G$24</f>
        <v>2.0727258036003044E-3</v>
      </c>
      <c r="H106">
        <f>daily_original_wrong!H106*total_from_MA_dashboard!H$24</f>
        <v>2.9565302269299299E-3</v>
      </c>
      <c r="J106" t="str">
        <f t="shared" si="8"/>
        <v>[</v>
      </c>
      <c r="K106" t="str">
        <f t="shared" si="9"/>
        <v>[0.00109617772368846],</v>
      </c>
      <c r="L106" t="str">
        <f t="shared" si="13"/>
        <v>[0.00219235544737693],</v>
      </c>
      <c r="M106" t="str">
        <f t="shared" si="13"/>
        <v>[0.00237115302542574],</v>
      </c>
      <c r="N106" t="str">
        <f t="shared" si="13"/>
        <v>[0.00215352815720718],</v>
      </c>
      <c r="O106" t="str">
        <f t="shared" si="13"/>
        <v>[0.00176950775426621],</v>
      </c>
      <c r="P106" t="str">
        <f t="shared" si="13"/>
        <v>[0.0020727258036003],</v>
      </c>
      <c r="Q106" t="str">
        <f t="shared" si="10"/>
        <v>[0.00295653022692993]</v>
      </c>
      <c r="R106" t="str">
        <f t="shared" si="11"/>
        <v>]</v>
      </c>
      <c r="S106" t="str">
        <f t="shared" si="12"/>
        <v>[[0.00109617772368846],[0.00219235544737693],[0.00237115302542574],[0.00215352815720718],[0.00176950775426621],[0.0020727258036003],[0.00295653022692993]]</v>
      </c>
    </row>
    <row r="107" spans="1:19" x14ac:dyDescent="0.2">
      <c r="A107" s="1" t="d">
        <v>2025-11-29</v>
      </c>
      <c r="B107">
        <f>daily_original_wrong!B107*total_from_MA_dashboard!B$24</f>
        <v>1.9822458309647377E-3</v>
      </c>
      <c r="C107">
        <f>daily_original_wrong!C107*total_from_MA_dashboard!C$24</f>
        <v>3.9644916619294753E-3</v>
      </c>
      <c r="D107">
        <f>daily_original_wrong!D107*total_from_MA_dashboard!D$24</f>
        <v>4.2651547115353005E-3</v>
      </c>
      <c r="E107">
        <f>daily_original_wrong!E107*total_from_MA_dashboard!E$24</f>
        <v>3.7725077584579666E-3</v>
      </c>
      <c r="F107">
        <f>daily_original_wrong!F107*total_from_MA_dashboard!F$24</f>
        <v>3.0708463873657956E-3</v>
      </c>
      <c r="G107">
        <f>daily_original_wrong!G107*total_from_MA_dashboard!G$24</f>
        <v>3.6185296479296358E-3</v>
      </c>
      <c r="H107">
        <f>daily_original_wrong!H107*total_from_MA_dashboard!H$24</f>
        <v>5.0345019141925179E-3</v>
      </c>
      <c r="J107" t="str">
        <f t="shared" si="8"/>
        <v>[</v>
      </c>
      <c r="K107" t="str">
        <f t="shared" si="9"/>
        <v>[0.00198224583096474],</v>
      </c>
      <c r="L107" t="str">
        <f t="shared" si="13"/>
        <v>[0.00396449166192948],</v>
      </c>
      <c r="M107" t="str">
        <f t="shared" si="13"/>
        <v>[0.0042651547115353],</v>
      </c>
      <c r="N107" t="str">
        <f t="shared" si="13"/>
        <v>[0.00377250775845797],</v>
      </c>
      <c r="O107" t="str">
        <f t="shared" si="13"/>
        <v>[0.0030708463873658],</v>
      </c>
      <c r="P107" t="str">
        <f t="shared" si="13"/>
        <v>[0.00361852964792964],</v>
      </c>
      <c r="Q107" t="str">
        <f t="shared" si="10"/>
        <v>[0.00503450191419252]</v>
      </c>
      <c r="R107" t="str">
        <f t="shared" si="11"/>
        <v>]</v>
      </c>
      <c r="S107" t="str">
        <f t="shared" si="12"/>
        <v>[[0.00198224583096474],[0.00396449166192948],[0.0042651547115353],[0.00377250775845797],[0.0030708463873658],[0.00361852964792964],[0.00503450191419252]]</v>
      </c>
    </row>
    <row r="108" spans="1:19" x14ac:dyDescent="0.2">
      <c r="A108" s="1" t="d">
        <v>2025-11-30</v>
      </c>
      <c r="B108">
        <f>daily_original_wrong!B108*total_from_MA_dashboard!B$24</f>
        <v>1.9822458309647377E-3</v>
      </c>
      <c r="C108">
        <f>daily_original_wrong!C108*total_from_MA_dashboard!C$24</f>
        <v>3.9644916619294753E-3</v>
      </c>
      <c r="D108">
        <f>daily_original_wrong!D108*total_from_MA_dashboard!D$24</f>
        <v>4.2651547115353005E-3</v>
      </c>
      <c r="E108">
        <f>daily_original_wrong!E108*total_from_MA_dashboard!E$24</f>
        <v>3.7725077584579666E-3</v>
      </c>
      <c r="F108">
        <f>daily_original_wrong!F108*total_from_MA_dashboard!F$24</f>
        <v>3.0708463873657956E-3</v>
      </c>
      <c r="G108">
        <f>daily_original_wrong!G108*total_from_MA_dashboard!G$24</f>
        <v>3.6185296479296358E-3</v>
      </c>
      <c r="H108">
        <f>daily_original_wrong!H108*total_from_MA_dashboard!H$24</f>
        <v>5.0345019141925179E-3</v>
      </c>
      <c r="J108" t="str">
        <f t="shared" si="8"/>
        <v>[</v>
      </c>
      <c r="K108" t="str">
        <f t="shared" si="9"/>
        <v>[0.00198224583096474],</v>
      </c>
      <c r="L108" t="str">
        <f t="shared" si="13"/>
        <v>[0.00396449166192948],</v>
      </c>
      <c r="M108" t="str">
        <f t="shared" si="13"/>
        <v>[0.0042651547115353],</v>
      </c>
      <c r="N108" t="str">
        <f t="shared" si="13"/>
        <v>[0.00377250775845797],</v>
      </c>
      <c r="O108" t="str">
        <f t="shared" si="13"/>
        <v>[0.0030708463873658],</v>
      </c>
      <c r="P108" t="str">
        <f t="shared" si="13"/>
        <v>[0.00361852964792964],</v>
      </c>
      <c r="Q108" t="str">
        <f t="shared" si="10"/>
        <v>[0.00503450191419252]</v>
      </c>
      <c r="R108" t="str">
        <f t="shared" si="11"/>
        <v>]</v>
      </c>
      <c r="S108" t="str">
        <f t="shared" si="12"/>
        <v>[[0.00198224583096474],[0.00396449166192948],[0.0042651547115353],[0.00377250775845797],[0.0030708463873658],[0.00361852964792964],[0.00503450191419252]]</v>
      </c>
    </row>
    <row r="109" spans="1:19" x14ac:dyDescent="0.2">
      <c r="A109" s="1" t="d">
        <v>2025-12-01</v>
      </c>
      <c r="B109">
        <f>daily_original_wrong!B109*total_from_MA_dashboard!B$24</f>
        <v>1.9822458309647377E-3</v>
      </c>
      <c r="C109">
        <f>daily_original_wrong!C109*total_from_MA_dashboard!C$24</f>
        <v>3.9644916619294753E-3</v>
      </c>
      <c r="D109">
        <f>daily_original_wrong!D109*total_from_MA_dashboard!D$24</f>
        <v>4.2651547115353005E-3</v>
      </c>
      <c r="E109">
        <f>daily_original_wrong!E109*total_from_MA_dashboard!E$24</f>
        <v>3.7725077584579666E-3</v>
      </c>
      <c r="F109">
        <f>daily_original_wrong!F109*total_from_MA_dashboard!F$24</f>
        <v>3.0708463873657956E-3</v>
      </c>
      <c r="G109">
        <f>daily_original_wrong!G109*total_from_MA_dashboard!G$24</f>
        <v>3.6185296479296358E-3</v>
      </c>
      <c r="H109">
        <f>daily_original_wrong!H109*total_from_MA_dashboard!H$24</f>
        <v>5.0345019141925179E-3</v>
      </c>
      <c r="J109" t="str">
        <f t="shared" si="8"/>
        <v>[</v>
      </c>
      <c r="K109" t="str">
        <f t="shared" si="9"/>
        <v>[0.00198224583096474],</v>
      </c>
      <c r="L109" t="str">
        <f t="shared" si="13"/>
        <v>[0.00396449166192948],</v>
      </c>
      <c r="M109" t="str">
        <f t="shared" si="13"/>
        <v>[0.0042651547115353],</v>
      </c>
      <c r="N109" t="str">
        <f t="shared" si="13"/>
        <v>[0.00377250775845797],</v>
      </c>
      <c r="O109" t="str">
        <f t="shared" si="13"/>
        <v>[0.0030708463873658],</v>
      </c>
      <c r="P109" t="str">
        <f t="shared" si="13"/>
        <v>[0.00361852964792964],</v>
      </c>
      <c r="Q109" t="str">
        <f t="shared" si="10"/>
        <v>[0.00503450191419252]</v>
      </c>
      <c r="R109" t="str">
        <f t="shared" si="11"/>
        <v>]</v>
      </c>
      <c r="S109" t="str">
        <f t="shared" si="12"/>
        <v>[[0.00198224583096474],[0.00396449166192948],[0.0042651547115353],[0.00377250775845797],[0.0030708463873658],[0.00361852964792964],[0.00503450191419252]]</v>
      </c>
    </row>
    <row r="110" spans="1:19" x14ac:dyDescent="0.2">
      <c r="A110" s="1" t="d">
        <v>2025-12-02</v>
      </c>
      <c r="B110">
        <f>daily_original_wrong!B110*total_from_MA_dashboard!B$24</f>
        <v>1.9822458309647377E-3</v>
      </c>
      <c r="C110">
        <f>daily_original_wrong!C110*total_from_MA_dashboard!C$24</f>
        <v>3.9644916619294753E-3</v>
      </c>
      <c r="D110">
        <f>daily_original_wrong!D110*total_from_MA_dashboard!D$24</f>
        <v>4.2651547115353005E-3</v>
      </c>
      <c r="E110">
        <f>daily_original_wrong!E110*total_from_MA_dashboard!E$24</f>
        <v>3.7725077584579666E-3</v>
      </c>
      <c r="F110">
        <f>daily_original_wrong!F110*total_from_MA_dashboard!F$24</f>
        <v>3.0708463873657956E-3</v>
      </c>
      <c r="G110">
        <f>daily_original_wrong!G110*total_from_MA_dashboard!G$24</f>
        <v>3.6185296479296358E-3</v>
      </c>
      <c r="H110">
        <f>daily_original_wrong!H110*total_from_MA_dashboard!H$24</f>
        <v>5.0345019141925179E-3</v>
      </c>
      <c r="J110" t="str">
        <f t="shared" si="8"/>
        <v>[</v>
      </c>
      <c r="K110" t="str">
        <f t="shared" si="9"/>
        <v>[0.00198224583096474],</v>
      </c>
      <c r="L110" t="str">
        <f t="shared" si="13"/>
        <v>[0.00396449166192948],</v>
      </c>
      <c r="M110" t="str">
        <f t="shared" si="13"/>
        <v>[0.0042651547115353],</v>
      </c>
      <c r="N110" t="str">
        <f t="shared" si="13"/>
        <v>[0.00377250775845797],</v>
      </c>
      <c r="O110" t="str">
        <f t="shared" si="13"/>
        <v>[0.0030708463873658],</v>
      </c>
      <c r="P110" t="str">
        <f t="shared" si="13"/>
        <v>[0.00361852964792964],</v>
      </c>
      <c r="Q110" t="str">
        <f t="shared" si="10"/>
        <v>[0.00503450191419252]</v>
      </c>
      <c r="R110" t="str">
        <f t="shared" si="11"/>
        <v>]</v>
      </c>
      <c r="S110" t="str">
        <f t="shared" si="12"/>
        <v>[[0.00198224583096474],[0.00396449166192948],[0.0042651547115353],[0.00377250775845797],[0.0030708463873658],[0.00361852964792964],[0.00503450191419252]]</v>
      </c>
    </row>
    <row r="111" spans="1:19" x14ac:dyDescent="0.2">
      <c r="A111" s="1" t="d">
        <v>2025-12-03</v>
      </c>
      <c r="B111">
        <f>daily_original_wrong!B111*total_from_MA_dashboard!B$24</f>
        <v>1.9822458309647377E-3</v>
      </c>
      <c r="C111">
        <f>daily_original_wrong!C111*total_from_MA_dashboard!C$24</f>
        <v>3.9644916619294753E-3</v>
      </c>
      <c r="D111">
        <f>daily_original_wrong!D111*total_from_MA_dashboard!D$24</f>
        <v>4.2651547115353005E-3</v>
      </c>
      <c r="E111">
        <f>daily_original_wrong!E111*total_from_MA_dashboard!E$24</f>
        <v>3.7725077584579666E-3</v>
      </c>
      <c r="F111">
        <f>daily_original_wrong!F111*total_from_MA_dashboard!F$24</f>
        <v>3.0708463873657956E-3</v>
      </c>
      <c r="G111">
        <f>daily_original_wrong!G111*total_from_MA_dashboard!G$24</f>
        <v>3.6185296479296358E-3</v>
      </c>
      <c r="H111">
        <f>daily_original_wrong!H111*total_from_MA_dashboard!H$24</f>
        <v>5.0345019141925179E-3</v>
      </c>
      <c r="J111" t="str">
        <f t="shared" si="8"/>
        <v>[</v>
      </c>
      <c r="K111" t="str">
        <f t="shared" si="9"/>
        <v>[0.00198224583096474],</v>
      </c>
      <c r="L111" t="str">
        <f t="shared" si="13"/>
        <v>[0.00396449166192948],</v>
      </c>
      <c r="M111" t="str">
        <f t="shared" si="13"/>
        <v>[0.0042651547115353],</v>
      </c>
      <c r="N111" t="str">
        <f t="shared" si="13"/>
        <v>[0.00377250775845797],</v>
      </c>
      <c r="O111" t="str">
        <f t="shared" si="13"/>
        <v>[0.0030708463873658],</v>
      </c>
      <c r="P111" t="str">
        <f t="shared" si="13"/>
        <v>[0.00361852964792964],</v>
      </c>
      <c r="Q111" t="str">
        <f t="shared" si="10"/>
        <v>[0.00503450191419252]</v>
      </c>
      <c r="R111" t="str">
        <f t="shared" si="11"/>
        <v>]</v>
      </c>
      <c r="S111" t="str">
        <f t="shared" si="12"/>
        <v>[[0.00198224583096474],[0.00396449166192948],[0.0042651547115353],[0.00377250775845797],[0.0030708463873658],[0.00361852964792964],[0.00503450191419252]]</v>
      </c>
    </row>
    <row r="112" spans="1:19" x14ac:dyDescent="0.2">
      <c r="A112" s="1" t="d">
        <v>2025-12-04</v>
      </c>
      <c r="B112">
        <f>daily_original_wrong!B112*total_from_MA_dashboard!B$24</f>
        <v>1.9822458309647377E-3</v>
      </c>
      <c r="C112">
        <f>daily_original_wrong!C112*total_from_MA_dashboard!C$24</f>
        <v>3.9644916619294753E-3</v>
      </c>
      <c r="D112">
        <f>daily_original_wrong!D112*total_from_MA_dashboard!D$24</f>
        <v>4.2651547115353005E-3</v>
      </c>
      <c r="E112">
        <f>daily_original_wrong!E112*total_from_MA_dashboard!E$24</f>
        <v>3.7725077584579666E-3</v>
      </c>
      <c r="F112">
        <f>daily_original_wrong!F112*total_from_MA_dashboard!F$24</f>
        <v>3.0708463873657956E-3</v>
      </c>
      <c r="G112">
        <f>daily_original_wrong!G112*total_from_MA_dashboard!G$24</f>
        <v>3.6185296479296358E-3</v>
      </c>
      <c r="H112">
        <f>daily_original_wrong!H112*total_from_MA_dashboard!H$24</f>
        <v>5.0345019141925179E-3</v>
      </c>
      <c r="J112" t="str">
        <f t="shared" si="8"/>
        <v>[</v>
      </c>
      <c r="K112" t="str">
        <f t="shared" si="9"/>
        <v>[0.00198224583096474],</v>
      </c>
      <c r="L112" t="str">
        <f t="shared" si="13"/>
        <v>[0.00396449166192948],</v>
      </c>
      <c r="M112" t="str">
        <f t="shared" si="13"/>
        <v>[0.0042651547115353],</v>
      </c>
      <c r="N112" t="str">
        <f t="shared" si="13"/>
        <v>[0.00377250775845797],</v>
      </c>
      <c r="O112" t="str">
        <f t="shared" si="13"/>
        <v>[0.0030708463873658],</v>
      </c>
      <c r="P112" t="str">
        <f t="shared" si="13"/>
        <v>[0.00361852964792964],</v>
      </c>
      <c r="Q112" t="str">
        <f t="shared" si="10"/>
        <v>[0.00503450191419252]</v>
      </c>
      <c r="R112" t="str">
        <f t="shared" si="11"/>
        <v>]</v>
      </c>
      <c r="S112" t="str">
        <f t="shared" si="12"/>
        <v>[[0.00198224583096474],[0.00396449166192948],[0.0042651547115353],[0.00377250775845797],[0.0030708463873658],[0.00361852964792964],[0.00503450191419252]]</v>
      </c>
    </row>
    <row r="113" spans="1:19" x14ac:dyDescent="0.2">
      <c r="A113" s="1" t="d">
        <v>2025-12-05</v>
      </c>
      <c r="B113">
        <f>daily_original_wrong!B113*total_from_MA_dashboard!B$24</f>
        <v>1.9822458309647377E-3</v>
      </c>
      <c r="C113">
        <f>daily_original_wrong!C113*total_from_MA_dashboard!C$24</f>
        <v>3.9644916619294753E-3</v>
      </c>
      <c r="D113">
        <f>daily_original_wrong!D113*total_from_MA_dashboard!D$24</f>
        <v>4.2651547115353005E-3</v>
      </c>
      <c r="E113">
        <f>daily_original_wrong!E113*total_from_MA_dashboard!E$24</f>
        <v>3.7725077584579666E-3</v>
      </c>
      <c r="F113">
        <f>daily_original_wrong!F113*total_from_MA_dashboard!F$24</f>
        <v>3.0708463873657956E-3</v>
      </c>
      <c r="G113">
        <f>daily_original_wrong!G113*total_from_MA_dashboard!G$24</f>
        <v>3.6185296479296358E-3</v>
      </c>
      <c r="H113">
        <f>daily_original_wrong!H113*total_from_MA_dashboard!H$24</f>
        <v>5.0345019141925179E-3</v>
      </c>
      <c r="J113" t="str">
        <f t="shared" si="8"/>
        <v>[</v>
      </c>
      <c r="K113" t="str">
        <f t="shared" si="9"/>
        <v>[0.00198224583096474],</v>
      </c>
      <c r="L113" t="str">
        <f t="shared" si="13"/>
        <v>[0.00396449166192948],</v>
      </c>
      <c r="M113" t="str">
        <f t="shared" si="13"/>
        <v>[0.0042651547115353],</v>
      </c>
      <c r="N113" t="str">
        <f t="shared" si="13"/>
        <v>[0.00377250775845797],</v>
      </c>
      <c r="O113" t="str">
        <f t="shared" si="13"/>
        <v>[0.0030708463873658],</v>
      </c>
      <c r="P113" t="str">
        <f t="shared" si="13"/>
        <v>[0.00361852964792964],</v>
      </c>
      <c r="Q113" t="str">
        <f t="shared" si="10"/>
        <v>[0.00503450191419252]</v>
      </c>
      <c r="R113" t="str">
        <f t="shared" si="11"/>
        <v>]</v>
      </c>
      <c r="S113" t="str">
        <f t="shared" si="12"/>
        <v>[[0.00198224583096474],[0.00396449166192948],[0.0042651547115353],[0.00377250775845797],[0.0030708463873658],[0.00361852964792964],[0.00503450191419252]]</v>
      </c>
    </row>
    <row r="114" spans="1:19" x14ac:dyDescent="0.2">
      <c r="A114" s="1" t="d">
        <v>2025-12-06</v>
      </c>
      <c r="B114">
        <f>daily_original_wrong!B114*total_from_MA_dashboard!B$24</f>
        <v>8.6136611818234002E-4</v>
      </c>
      <c r="C114">
        <f>daily_original_wrong!C114*total_from_MA_dashboard!C$24</f>
        <v>1.72273223636468E-3</v>
      </c>
      <c r="D114">
        <f>daily_original_wrong!D114*total_from_MA_dashboard!D$24</f>
        <v>1.6863759979063738E-3</v>
      </c>
      <c r="E114">
        <f>daily_original_wrong!E114*total_from_MA_dashboard!E$24</f>
        <v>1.4424444528652375E-3</v>
      </c>
      <c r="F114">
        <f>daily_original_wrong!F114*total_from_MA_dashboard!F$24</f>
        <v>1.1175649765455885E-3</v>
      </c>
      <c r="G114">
        <f>daily_original_wrong!G114*total_from_MA_dashboard!G$24</f>
        <v>1.4038180061013874E-3</v>
      </c>
      <c r="H114">
        <f>daily_original_wrong!H114*total_from_MA_dashboard!H$24</f>
        <v>1.8199908745029298E-3</v>
      </c>
      <c r="J114" t="str">
        <f t="shared" si="8"/>
        <v>[</v>
      </c>
      <c r="K114" t="str">
        <f t="shared" si="9"/>
        <v>[0.00086136611818234],</v>
      </c>
      <c r="L114" t="str">
        <f t="shared" si="13"/>
        <v>[0.00172273223636468],</v>
      </c>
      <c r="M114" t="str">
        <f t="shared" si="13"/>
        <v>[0.00168637599790637],</v>
      </c>
      <c r="N114" t="str">
        <f t="shared" si="13"/>
        <v>[0.00144244445286524],</v>
      </c>
      <c r="O114" t="str">
        <f t="shared" si="13"/>
        <v>[0.00111756497654559],</v>
      </c>
      <c r="P114" t="str">
        <f t="shared" si="13"/>
        <v>[0.00140381800610139],</v>
      </c>
      <c r="Q114" t="str">
        <f t="shared" si="10"/>
        <v>[0.00181999087450293]</v>
      </c>
      <c r="R114" t="str">
        <f t="shared" si="11"/>
        <v>]</v>
      </c>
      <c r="S114" t="str">
        <f t="shared" si="12"/>
        <v>[[0.00086136611818234],[0.00172273223636468],[0.00168637599790637],[0.00144244445286524],[0.00111756497654559],[0.00140381800610139],[0.00181999087450293]]</v>
      </c>
    </row>
    <row r="115" spans="1:19" x14ac:dyDescent="0.2">
      <c r="A115" s="1" t="d">
        <v>2025-12-07</v>
      </c>
      <c r="B115">
        <f>daily_original_wrong!B115*total_from_MA_dashboard!B$24</f>
        <v>8.6136611818234002E-4</v>
      </c>
      <c r="C115">
        <f>daily_original_wrong!C115*total_from_MA_dashboard!C$24</f>
        <v>1.72273223636468E-3</v>
      </c>
      <c r="D115">
        <f>daily_original_wrong!D115*total_from_MA_dashboard!D$24</f>
        <v>1.6863759979063738E-3</v>
      </c>
      <c r="E115">
        <f>daily_original_wrong!E115*total_from_MA_dashboard!E$24</f>
        <v>1.4424444528652375E-3</v>
      </c>
      <c r="F115">
        <f>daily_original_wrong!F115*total_from_MA_dashboard!F$24</f>
        <v>1.1175649765455885E-3</v>
      </c>
      <c r="G115">
        <f>daily_original_wrong!G115*total_from_MA_dashboard!G$24</f>
        <v>1.4038180061013874E-3</v>
      </c>
      <c r="H115">
        <f>daily_original_wrong!H115*total_from_MA_dashboard!H$24</f>
        <v>1.8199908745029298E-3</v>
      </c>
      <c r="J115" t="str">
        <f t="shared" si="8"/>
        <v>[</v>
      </c>
      <c r="K115" t="str">
        <f t="shared" si="9"/>
        <v>[0.00086136611818234],</v>
      </c>
      <c r="L115" t="str">
        <f t="shared" si="13"/>
        <v>[0.00172273223636468],</v>
      </c>
      <c r="M115" t="str">
        <f t="shared" si="13"/>
        <v>[0.00168637599790637],</v>
      </c>
      <c r="N115" t="str">
        <f t="shared" si="13"/>
        <v>[0.00144244445286524],</v>
      </c>
      <c r="O115" t="str">
        <f t="shared" si="13"/>
        <v>[0.00111756497654559],</v>
      </c>
      <c r="P115" t="str">
        <f t="shared" si="13"/>
        <v>[0.00140381800610139],</v>
      </c>
      <c r="Q115" t="str">
        <f t="shared" si="10"/>
        <v>[0.00181999087450293]</v>
      </c>
      <c r="R115" t="str">
        <f t="shared" si="11"/>
        <v>]</v>
      </c>
      <c r="S115" t="str">
        <f t="shared" si="12"/>
        <v>[[0.00086136611818234],[0.00172273223636468],[0.00168637599790637],[0.00144244445286524],[0.00111756497654559],[0.00140381800610139],[0.00181999087450293]]</v>
      </c>
    </row>
    <row r="116" spans="1:19" x14ac:dyDescent="0.2">
      <c r="A116" s="1" t="d">
        <v>2025-12-08</v>
      </c>
      <c r="B116">
        <f>daily_original_wrong!B116*total_from_MA_dashboard!B$24</f>
        <v>8.6136611818234002E-4</v>
      </c>
      <c r="C116">
        <f>daily_original_wrong!C116*total_from_MA_dashboard!C$24</f>
        <v>1.72273223636468E-3</v>
      </c>
      <c r="D116">
        <f>daily_original_wrong!D116*total_from_MA_dashboard!D$24</f>
        <v>1.6863759979063738E-3</v>
      </c>
      <c r="E116">
        <f>daily_original_wrong!E116*total_from_MA_dashboard!E$24</f>
        <v>1.4424444528652375E-3</v>
      </c>
      <c r="F116">
        <f>daily_original_wrong!F116*total_from_MA_dashboard!F$24</f>
        <v>1.1175649765455885E-3</v>
      </c>
      <c r="G116">
        <f>daily_original_wrong!G116*total_from_MA_dashboard!G$24</f>
        <v>1.4038180061013874E-3</v>
      </c>
      <c r="H116">
        <f>daily_original_wrong!H116*total_from_MA_dashboard!H$24</f>
        <v>1.8199908745029298E-3</v>
      </c>
      <c r="J116" t="str">
        <f t="shared" si="8"/>
        <v>[</v>
      </c>
      <c r="K116" t="str">
        <f t="shared" si="9"/>
        <v>[0.00086136611818234],</v>
      </c>
      <c r="L116" t="str">
        <f t="shared" si="13"/>
        <v>[0.00172273223636468],</v>
      </c>
      <c r="M116" t="str">
        <f t="shared" si="13"/>
        <v>[0.00168637599790637],</v>
      </c>
      <c r="N116" t="str">
        <f t="shared" si="13"/>
        <v>[0.00144244445286524],</v>
      </c>
      <c r="O116" t="str">
        <f t="shared" si="13"/>
        <v>[0.00111756497654559],</v>
      </c>
      <c r="P116" t="str">
        <f t="shared" si="13"/>
        <v>[0.00140381800610139],</v>
      </c>
      <c r="Q116" t="str">
        <f t="shared" si="10"/>
        <v>[0.00181999087450293]</v>
      </c>
      <c r="R116" t="str">
        <f t="shared" si="11"/>
        <v>]</v>
      </c>
      <c r="S116" t="str">
        <f t="shared" si="12"/>
        <v>[[0.00086136611818234],[0.00172273223636468],[0.00168637599790637],[0.00144244445286524],[0.00111756497654559],[0.00140381800610139],[0.00181999087450293]]</v>
      </c>
    </row>
    <row r="117" spans="1:19" x14ac:dyDescent="0.2">
      <c r="A117" s="1" t="d">
        <v>2025-12-09</v>
      </c>
      <c r="B117">
        <f>daily_original_wrong!B117*total_from_MA_dashboard!B$24</f>
        <v>8.6136611818234002E-4</v>
      </c>
      <c r="C117">
        <f>daily_original_wrong!C117*total_from_MA_dashboard!C$24</f>
        <v>1.72273223636468E-3</v>
      </c>
      <c r="D117">
        <f>daily_original_wrong!D117*total_from_MA_dashboard!D$24</f>
        <v>1.6863759979063738E-3</v>
      </c>
      <c r="E117">
        <f>daily_original_wrong!E117*total_from_MA_dashboard!E$24</f>
        <v>1.4424444528652375E-3</v>
      </c>
      <c r="F117">
        <f>daily_original_wrong!F117*total_from_MA_dashboard!F$24</f>
        <v>1.1175649765455885E-3</v>
      </c>
      <c r="G117">
        <f>daily_original_wrong!G117*total_from_MA_dashboard!G$24</f>
        <v>1.4038180061013874E-3</v>
      </c>
      <c r="H117">
        <f>daily_original_wrong!H117*total_from_MA_dashboard!H$24</f>
        <v>1.8199908745029298E-3</v>
      </c>
      <c r="J117" t="str">
        <f t="shared" si="8"/>
        <v>[</v>
      </c>
      <c r="K117" t="str">
        <f t="shared" si="9"/>
        <v>[0.00086136611818234],</v>
      </c>
      <c r="L117" t="str">
        <f t="shared" si="13"/>
        <v>[0.00172273223636468],</v>
      </c>
      <c r="M117" t="str">
        <f t="shared" si="13"/>
        <v>[0.00168637599790637],</v>
      </c>
      <c r="N117" t="str">
        <f t="shared" si="13"/>
        <v>[0.00144244445286524],</v>
      </c>
      <c r="O117" t="str">
        <f t="shared" si="13"/>
        <v>[0.00111756497654559],</v>
      </c>
      <c r="P117" t="str">
        <f t="shared" si="13"/>
        <v>[0.00140381800610139],</v>
      </c>
      <c r="Q117" t="str">
        <f t="shared" si="10"/>
        <v>[0.00181999087450293]</v>
      </c>
      <c r="R117" t="str">
        <f t="shared" si="11"/>
        <v>]</v>
      </c>
      <c r="S117" t="str">
        <f t="shared" si="12"/>
        <v>[[0.00086136611818234],[0.00172273223636468],[0.00168637599790637],[0.00144244445286524],[0.00111756497654559],[0.00140381800610139],[0.00181999087450293]]</v>
      </c>
    </row>
    <row r="118" spans="1:19" x14ac:dyDescent="0.2">
      <c r="A118" s="1" t="d">
        <v>2025-12-10</v>
      </c>
      <c r="B118">
        <f>daily_original_wrong!B118*total_from_MA_dashboard!B$24</f>
        <v>8.6136611818234002E-4</v>
      </c>
      <c r="C118">
        <f>daily_original_wrong!C118*total_from_MA_dashboard!C$24</f>
        <v>1.72273223636468E-3</v>
      </c>
      <c r="D118">
        <f>daily_original_wrong!D118*total_from_MA_dashboard!D$24</f>
        <v>1.6863759979063738E-3</v>
      </c>
      <c r="E118">
        <f>daily_original_wrong!E118*total_from_MA_dashboard!E$24</f>
        <v>1.4424444528652375E-3</v>
      </c>
      <c r="F118">
        <f>daily_original_wrong!F118*total_from_MA_dashboard!F$24</f>
        <v>1.1175649765455885E-3</v>
      </c>
      <c r="G118">
        <f>daily_original_wrong!G118*total_from_MA_dashboard!G$24</f>
        <v>1.4038180061013874E-3</v>
      </c>
      <c r="H118">
        <f>daily_original_wrong!H118*total_from_MA_dashboard!H$24</f>
        <v>1.8199908745029298E-3</v>
      </c>
      <c r="J118" t="str">
        <f t="shared" si="8"/>
        <v>[</v>
      </c>
      <c r="K118" t="str">
        <f t="shared" si="9"/>
        <v>[0.00086136611818234],</v>
      </c>
      <c r="L118" t="str">
        <f t="shared" si="13"/>
        <v>[0.00172273223636468],</v>
      </c>
      <c r="M118" t="str">
        <f t="shared" si="13"/>
        <v>[0.00168637599790637],</v>
      </c>
      <c r="N118" t="str">
        <f t="shared" si="13"/>
        <v>[0.00144244445286524],</v>
      </c>
      <c r="O118" t="str">
        <f t="shared" si="13"/>
        <v>[0.00111756497654559],</v>
      </c>
      <c r="P118" t="str">
        <f t="shared" si="13"/>
        <v>[0.00140381800610139],</v>
      </c>
      <c r="Q118" t="str">
        <f t="shared" si="10"/>
        <v>[0.00181999087450293]</v>
      </c>
      <c r="R118" t="str">
        <f t="shared" si="11"/>
        <v>]</v>
      </c>
      <c r="S118" t="str">
        <f t="shared" si="12"/>
        <v>[[0.00086136611818234],[0.00172273223636468],[0.00168637599790637],[0.00144244445286524],[0.00111756497654559],[0.00140381800610139],[0.00181999087450293]]</v>
      </c>
    </row>
    <row r="119" spans="1:19" x14ac:dyDescent="0.2">
      <c r="A119" s="1" t="d">
        <v>2025-12-11</v>
      </c>
      <c r="B119">
        <f>daily_original_wrong!B119*total_from_MA_dashboard!B$24</f>
        <v>8.6136611818234002E-4</v>
      </c>
      <c r="C119">
        <f>daily_original_wrong!C119*total_from_MA_dashboard!C$24</f>
        <v>1.72273223636468E-3</v>
      </c>
      <c r="D119">
        <f>daily_original_wrong!D119*total_from_MA_dashboard!D$24</f>
        <v>1.6863759979063738E-3</v>
      </c>
      <c r="E119">
        <f>daily_original_wrong!E119*total_from_MA_dashboard!E$24</f>
        <v>1.4424444528652375E-3</v>
      </c>
      <c r="F119">
        <f>daily_original_wrong!F119*total_from_MA_dashboard!F$24</f>
        <v>1.1175649765455885E-3</v>
      </c>
      <c r="G119">
        <f>daily_original_wrong!G119*total_from_MA_dashboard!G$24</f>
        <v>1.4038180061013874E-3</v>
      </c>
      <c r="H119">
        <f>daily_original_wrong!H119*total_from_MA_dashboard!H$24</f>
        <v>1.8199908745029298E-3</v>
      </c>
      <c r="J119" t="str">
        <f t="shared" si="8"/>
        <v>[</v>
      </c>
      <c r="K119" t="str">
        <f t="shared" si="9"/>
        <v>[0.00086136611818234],</v>
      </c>
      <c r="L119" t="str">
        <f t="shared" si="13"/>
        <v>[0.00172273223636468],</v>
      </c>
      <c r="M119" t="str">
        <f t="shared" si="13"/>
        <v>[0.00168637599790637],</v>
      </c>
      <c r="N119" t="str">
        <f t="shared" si="13"/>
        <v>[0.00144244445286524],</v>
      </c>
      <c r="O119" t="str">
        <f t="shared" si="13"/>
        <v>[0.00111756497654559],</v>
      </c>
      <c r="P119" t="str">
        <f t="shared" si="13"/>
        <v>[0.00140381800610139],</v>
      </c>
      <c r="Q119" t="str">
        <f t="shared" si="10"/>
        <v>[0.00181999087450293]</v>
      </c>
      <c r="R119" t="str">
        <f t="shared" si="11"/>
        <v>]</v>
      </c>
      <c r="S119" t="str">
        <f t="shared" si="12"/>
        <v>[[0.00086136611818234],[0.00172273223636468],[0.00168637599790637],[0.00144244445286524],[0.00111756497654559],[0.00140381800610139],[0.00181999087450293]]</v>
      </c>
    </row>
    <row r="120" spans="1:19" x14ac:dyDescent="0.2">
      <c r="A120" s="1" t="d">
        <v>2025-12-12</v>
      </c>
      <c r="B120">
        <f>daily_original_wrong!B120*total_from_MA_dashboard!B$24</f>
        <v>8.6136611818234002E-4</v>
      </c>
      <c r="C120">
        <f>daily_original_wrong!C120*total_from_MA_dashboard!C$24</f>
        <v>1.72273223636468E-3</v>
      </c>
      <c r="D120">
        <f>daily_original_wrong!D120*total_from_MA_dashboard!D$24</f>
        <v>1.6863759979063738E-3</v>
      </c>
      <c r="E120">
        <f>daily_original_wrong!E120*total_from_MA_dashboard!E$24</f>
        <v>1.4424444528652375E-3</v>
      </c>
      <c r="F120">
        <f>daily_original_wrong!F120*total_from_MA_dashboard!F$24</f>
        <v>1.1175649765455885E-3</v>
      </c>
      <c r="G120">
        <f>daily_original_wrong!G120*total_from_MA_dashboard!G$24</f>
        <v>1.4038180061013874E-3</v>
      </c>
      <c r="H120">
        <f>daily_original_wrong!H120*total_from_MA_dashboard!H$24</f>
        <v>1.8199908745029298E-3</v>
      </c>
      <c r="J120" t="str">
        <f t="shared" si="8"/>
        <v>[</v>
      </c>
      <c r="K120" t="str">
        <f t="shared" si="9"/>
        <v>[0.00086136611818234],</v>
      </c>
      <c r="L120" t="str">
        <f t="shared" si="13"/>
        <v>[0.00172273223636468],</v>
      </c>
      <c r="M120" t="str">
        <f t="shared" si="13"/>
        <v>[0.00168637599790637],</v>
      </c>
      <c r="N120" t="str">
        <f t="shared" si="13"/>
        <v>[0.00144244445286524],</v>
      </c>
      <c r="O120" t="str">
        <f t="shared" si="13"/>
        <v>[0.00111756497654559],</v>
      </c>
      <c r="P120" t="str">
        <f t="shared" si="13"/>
        <v>[0.00140381800610139],</v>
      </c>
      <c r="Q120" t="str">
        <f t="shared" si="10"/>
        <v>[0.00181999087450293]</v>
      </c>
      <c r="R120" t="str">
        <f t="shared" si="11"/>
        <v>]</v>
      </c>
      <c r="S120" t="str">
        <f t="shared" si="12"/>
        <v>[[0.00086136611818234],[0.00172273223636468],[0.00168637599790637],[0.00144244445286524],[0.00111756497654559],[0.00140381800610139],[0.00181999087450293]]</v>
      </c>
    </row>
    <row r="121" spans="1:19" x14ac:dyDescent="0.2">
      <c r="A121" s="1" t="d">
        <v>2025-12-13</v>
      </c>
      <c r="B121">
        <f>daily_original_wrong!B121*total_from_MA_dashboard!B$24</f>
        <v>7.8900327882523616E-4</v>
      </c>
      <c r="C121">
        <f>daily_original_wrong!C121*total_from_MA_dashboard!C$24</f>
        <v>1.5780065576504723E-3</v>
      </c>
      <c r="D121">
        <f>daily_original_wrong!D121*total_from_MA_dashboard!D$24</f>
        <v>1.3332371508731344E-3</v>
      </c>
      <c r="E121">
        <f>daily_original_wrong!E121*total_from_MA_dashboard!E$24</f>
        <v>1.123840052212157E-3</v>
      </c>
      <c r="F121">
        <f>daily_original_wrong!F121*total_from_MA_dashboard!F$24</f>
        <v>8.0630998650292184E-4</v>
      </c>
      <c r="G121">
        <f>daily_original_wrong!G121*total_from_MA_dashboard!G$24</f>
        <v>1.1291660369076657E-3</v>
      </c>
      <c r="H121">
        <f>daily_original_wrong!H121*total_from_MA_dashboard!H$24</f>
        <v>1.3476001143970262E-3</v>
      </c>
      <c r="J121" t="str">
        <f t="shared" si="8"/>
        <v>[</v>
      </c>
      <c r="K121" t="str">
        <f t="shared" si="9"/>
        <v>[0.000789003278825236],</v>
      </c>
      <c r="L121" t="str">
        <f t="shared" si="13"/>
        <v>[0.00157800655765047],</v>
      </c>
      <c r="M121" t="str">
        <f t="shared" si="13"/>
        <v>[0.00133323715087313],</v>
      </c>
      <c r="N121" t="str">
        <f t="shared" si="13"/>
        <v>[0.00112384005221216],</v>
      </c>
      <c r="O121" t="str">
        <f t="shared" si="13"/>
        <v>[0.000806309986502922],</v>
      </c>
      <c r="P121" t="str">
        <f t="shared" si="13"/>
        <v>[0.00112916603690767],</v>
      </c>
      <c r="Q121" t="str">
        <f t="shared" si="10"/>
        <v>[0.00134760011439703]</v>
      </c>
      <c r="R121" t="str">
        <f t="shared" si="11"/>
        <v>]</v>
      </c>
      <c r="S121" t="str">
        <f t="shared" si="12"/>
        <v>[[0.000789003278825236],[0.00157800655765047],[0.00133323715087313],[0.00112384005221216],[0.000806309986502922],[0.00112916603690767],[0.00134760011439703]]</v>
      </c>
    </row>
    <row r="122" spans="1:19" x14ac:dyDescent="0.2">
      <c r="A122" s="1" t="d">
        <v>2025-12-14</v>
      </c>
      <c r="B122">
        <f>daily_original_wrong!B122*total_from_MA_dashboard!B$24</f>
        <v>7.8900327882523616E-4</v>
      </c>
      <c r="C122">
        <f>daily_original_wrong!C122*total_from_MA_dashboard!C$24</f>
        <v>1.5780065576504723E-3</v>
      </c>
      <c r="D122">
        <f>daily_original_wrong!D122*total_from_MA_dashboard!D$24</f>
        <v>1.3332371508731344E-3</v>
      </c>
      <c r="E122">
        <f>daily_original_wrong!E122*total_from_MA_dashboard!E$24</f>
        <v>1.123840052212157E-3</v>
      </c>
      <c r="F122">
        <f>daily_original_wrong!F122*total_from_MA_dashboard!F$24</f>
        <v>8.0630998650292184E-4</v>
      </c>
      <c r="G122">
        <f>daily_original_wrong!G122*total_from_MA_dashboard!G$24</f>
        <v>1.1291660369076657E-3</v>
      </c>
      <c r="H122">
        <f>daily_original_wrong!H122*total_from_MA_dashboard!H$24</f>
        <v>1.3476001143970262E-3</v>
      </c>
      <c r="J122" t="str">
        <f t="shared" si="8"/>
        <v>[</v>
      </c>
      <c r="K122" t="str">
        <f t="shared" si="9"/>
        <v>[0.000789003278825236],</v>
      </c>
      <c r="L122" t="str">
        <f t="shared" si="13"/>
        <v>[0.00157800655765047],</v>
      </c>
      <c r="M122" t="str">
        <f t="shared" si="13"/>
        <v>[0.00133323715087313],</v>
      </c>
      <c r="N122" t="str">
        <f t="shared" si="13"/>
        <v>[0.00112384005221216],</v>
      </c>
      <c r="O122" t="str">
        <f t="shared" si="13"/>
        <v>[0.000806309986502922],</v>
      </c>
      <c r="P122" t="str">
        <f t="shared" si="13"/>
        <v>[0.00112916603690767],</v>
      </c>
      <c r="Q122" t="str">
        <f t="shared" si="10"/>
        <v>[0.00134760011439703]</v>
      </c>
      <c r="R122" t="str">
        <f t="shared" si="11"/>
        <v>]</v>
      </c>
      <c r="S122" t="str">
        <f t="shared" si="12"/>
        <v>[[0.000789003278825236],[0.00157800655765047],[0.00133323715087313],[0.00112384005221216],[0.000806309986502922],[0.00112916603690767],[0.00134760011439703]]</v>
      </c>
    </row>
    <row r="123" spans="1:19" x14ac:dyDescent="0.2">
      <c r="A123" s="1" t="d">
        <v>2025-12-15</v>
      </c>
      <c r="B123">
        <f>daily_original_wrong!B123*total_from_MA_dashboard!B$24</f>
        <v>7.8900327882523616E-4</v>
      </c>
      <c r="C123">
        <f>daily_original_wrong!C123*total_from_MA_dashboard!C$24</f>
        <v>1.5780065576504723E-3</v>
      </c>
      <c r="D123">
        <f>daily_original_wrong!D123*total_from_MA_dashboard!D$24</f>
        <v>1.3332371508731344E-3</v>
      </c>
      <c r="E123">
        <f>daily_original_wrong!E123*total_from_MA_dashboard!E$24</f>
        <v>1.123840052212157E-3</v>
      </c>
      <c r="F123">
        <f>daily_original_wrong!F123*total_from_MA_dashboard!F$24</f>
        <v>8.0630998650292184E-4</v>
      </c>
      <c r="G123">
        <f>daily_original_wrong!G123*total_from_MA_dashboard!G$24</f>
        <v>1.1291660369076657E-3</v>
      </c>
      <c r="H123">
        <f>daily_original_wrong!H123*total_from_MA_dashboard!H$24</f>
        <v>1.3476001143970262E-3</v>
      </c>
      <c r="J123" t="str">
        <f t="shared" si="8"/>
        <v>[</v>
      </c>
      <c r="K123" t="str">
        <f t="shared" si="9"/>
        <v>[0.000789003278825236],</v>
      </c>
      <c r="L123" t="str">
        <f t="shared" si="13"/>
        <v>[0.00157800655765047],</v>
      </c>
      <c r="M123" t="str">
        <f t="shared" si="13"/>
        <v>[0.00133323715087313],</v>
      </c>
      <c r="N123" t="str">
        <f t="shared" si="13"/>
        <v>[0.00112384005221216],</v>
      </c>
      <c r="O123" t="str">
        <f t="shared" si="13"/>
        <v>[0.000806309986502922],</v>
      </c>
      <c r="P123" t="str">
        <f t="shared" si="13"/>
        <v>[0.00112916603690767],</v>
      </c>
      <c r="Q123" t="str">
        <f t="shared" si="10"/>
        <v>[0.00134760011439703]</v>
      </c>
      <c r="R123" t="str">
        <f t="shared" si="11"/>
        <v>]</v>
      </c>
      <c r="S123" t="str">
        <f t="shared" si="12"/>
        <v>[[0.000789003278825236],[0.00157800655765047],[0.00133323715087313],[0.00112384005221216],[0.000806309986502922],[0.00112916603690767],[0.00134760011439703]]</v>
      </c>
    </row>
    <row r="124" spans="1:19" x14ac:dyDescent="0.2">
      <c r="A124" s="1" t="d">
        <v>2025-12-16</v>
      </c>
      <c r="B124">
        <f>daily_original_wrong!B124*total_from_MA_dashboard!B$24</f>
        <v>7.8900327882523616E-4</v>
      </c>
      <c r="C124">
        <f>daily_original_wrong!C124*total_from_MA_dashboard!C$24</f>
        <v>1.5780065576504723E-3</v>
      </c>
      <c r="D124">
        <f>daily_original_wrong!D124*total_from_MA_dashboard!D$24</f>
        <v>1.3332371508731344E-3</v>
      </c>
      <c r="E124">
        <f>daily_original_wrong!E124*total_from_MA_dashboard!E$24</f>
        <v>1.123840052212157E-3</v>
      </c>
      <c r="F124">
        <f>daily_original_wrong!F124*total_from_MA_dashboard!F$24</f>
        <v>8.0630998650292184E-4</v>
      </c>
      <c r="G124">
        <f>daily_original_wrong!G124*total_from_MA_dashboard!G$24</f>
        <v>1.1291660369076657E-3</v>
      </c>
      <c r="H124">
        <f>daily_original_wrong!H124*total_from_MA_dashboard!H$24</f>
        <v>1.3476001143970262E-3</v>
      </c>
      <c r="J124" t="str">
        <f t="shared" si="8"/>
        <v>[</v>
      </c>
      <c r="K124" t="str">
        <f t="shared" si="9"/>
        <v>[0.000789003278825236],</v>
      </c>
      <c r="L124" t="str">
        <f t="shared" si="13"/>
        <v>[0.00157800655765047],</v>
      </c>
      <c r="M124" t="str">
        <f t="shared" si="13"/>
        <v>[0.00133323715087313],</v>
      </c>
      <c r="N124" t="str">
        <f t="shared" si="13"/>
        <v>[0.00112384005221216],</v>
      </c>
      <c r="O124" t="str">
        <f t="shared" si="13"/>
        <v>[0.000806309986502922],</v>
      </c>
      <c r="P124" t="str">
        <f t="shared" si="13"/>
        <v>[0.00112916603690767],</v>
      </c>
      <c r="Q124" t="str">
        <f t="shared" si="10"/>
        <v>[0.00134760011439703]</v>
      </c>
      <c r="R124" t="str">
        <f t="shared" si="11"/>
        <v>]</v>
      </c>
      <c r="S124" t="str">
        <f t="shared" si="12"/>
        <v>[[0.000789003278825236],[0.00157800655765047],[0.00133323715087313],[0.00112384005221216],[0.000806309986502922],[0.00112916603690767],[0.00134760011439703]]</v>
      </c>
    </row>
    <row r="125" spans="1:19" x14ac:dyDescent="0.2">
      <c r="A125" s="1" t="d">
        <v>2025-12-17</v>
      </c>
      <c r="B125">
        <f>daily_original_wrong!B125*total_from_MA_dashboard!B$24</f>
        <v>7.8900327882523616E-4</v>
      </c>
      <c r="C125">
        <f>daily_original_wrong!C125*total_from_MA_dashboard!C$24</f>
        <v>1.5780065576504723E-3</v>
      </c>
      <c r="D125">
        <f>daily_original_wrong!D125*total_from_MA_dashboard!D$24</f>
        <v>1.3332371508731344E-3</v>
      </c>
      <c r="E125">
        <f>daily_original_wrong!E125*total_from_MA_dashboard!E$24</f>
        <v>1.123840052212157E-3</v>
      </c>
      <c r="F125">
        <f>daily_original_wrong!F125*total_from_MA_dashboard!F$24</f>
        <v>8.0630998650292184E-4</v>
      </c>
      <c r="G125">
        <f>daily_original_wrong!G125*total_from_MA_dashboard!G$24</f>
        <v>1.1291660369076657E-3</v>
      </c>
      <c r="H125">
        <f>daily_original_wrong!H125*total_from_MA_dashboard!H$24</f>
        <v>1.3476001143970262E-3</v>
      </c>
      <c r="J125" t="str">
        <f t="shared" si="8"/>
        <v>[</v>
      </c>
      <c r="K125" t="str">
        <f t="shared" si="9"/>
        <v>[0.000789003278825236],</v>
      </c>
      <c r="L125" t="str">
        <f t="shared" si="13"/>
        <v>[0.00157800655765047],</v>
      </c>
      <c r="M125" t="str">
        <f t="shared" si="13"/>
        <v>[0.00133323715087313],</v>
      </c>
      <c r="N125" t="str">
        <f t="shared" si="13"/>
        <v>[0.00112384005221216],</v>
      </c>
      <c r="O125" t="str">
        <f t="shared" si="13"/>
        <v>[0.000806309986502922],</v>
      </c>
      <c r="P125" t="str">
        <f t="shared" si="13"/>
        <v>[0.00112916603690767],</v>
      </c>
      <c r="Q125" t="str">
        <f t="shared" si="10"/>
        <v>[0.00134760011439703]</v>
      </c>
      <c r="R125" t="str">
        <f t="shared" si="11"/>
        <v>]</v>
      </c>
      <c r="S125" t="str">
        <f t="shared" si="12"/>
        <v>[[0.000789003278825236],[0.00157800655765047],[0.00133323715087313],[0.00112384005221216],[0.000806309986502922],[0.00112916603690767],[0.00134760011439703]]</v>
      </c>
    </row>
    <row r="126" spans="1:19" x14ac:dyDescent="0.2">
      <c r="A126" s="1" t="d">
        <v>2025-12-18</v>
      </c>
      <c r="B126">
        <f>daily_original_wrong!B126*total_from_MA_dashboard!B$24</f>
        <v>7.8900327882523616E-4</v>
      </c>
      <c r="C126">
        <f>daily_original_wrong!C126*total_from_MA_dashboard!C$24</f>
        <v>1.5780065576504723E-3</v>
      </c>
      <c r="D126">
        <f>daily_original_wrong!D126*total_from_MA_dashboard!D$24</f>
        <v>1.3332371508731344E-3</v>
      </c>
      <c r="E126">
        <f>daily_original_wrong!E126*total_from_MA_dashboard!E$24</f>
        <v>1.123840052212157E-3</v>
      </c>
      <c r="F126">
        <f>daily_original_wrong!F126*total_from_MA_dashboard!F$24</f>
        <v>8.0630998650292184E-4</v>
      </c>
      <c r="G126">
        <f>daily_original_wrong!G126*total_from_MA_dashboard!G$24</f>
        <v>1.1291660369076657E-3</v>
      </c>
      <c r="H126">
        <f>daily_original_wrong!H126*total_from_MA_dashboard!H$24</f>
        <v>1.3476001143970262E-3</v>
      </c>
      <c r="J126" t="str">
        <f t="shared" si="8"/>
        <v>[</v>
      </c>
      <c r="K126" t="str">
        <f t="shared" si="9"/>
        <v>[0.000789003278825236],</v>
      </c>
      <c r="L126" t="str">
        <f t="shared" si="13"/>
        <v>[0.00157800655765047],</v>
      </c>
      <c r="M126" t="str">
        <f t="shared" si="13"/>
        <v>[0.00133323715087313],</v>
      </c>
      <c r="N126" t="str">
        <f t="shared" si="13"/>
        <v>[0.00112384005221216],</v>
      </c>
      <c r="O126" t="str">
        <f t="shared" si="13"/>
        <v>[0.000806309986502922],</v>
      </c>
      <c r="P126" t="str">
        <f t="shared" si="13"/>
        <v>[0.00112916603690767],</v>
      </c>
      <c r="Q126" t="str">
        <f t="shared" si="10"/>
        <v>[0.00134760011439703]</v>
      </c>
      <c r="R126" t="str">
        <f t="shared" si="11"/>
        <v>]</v>
      </c>
      <c r="S126" t="str">
        <f t="shared" si="12"/>
        <v>[[0.000789003278825236],[0.00157800655765047],[0.00133323715087313],[0.00112384005221216],[0.000806309986502922],[0.00112916603690767],[0.00134760011439703]]</v>
      </c>
    </row>
    <row r="127" spans="1:19" x14ac:dyDescent="0.2">
      <c r="A127" s="1" t="d">
        <v>2025-12-19</v>
      </c>
      <c r="B127">
        <f>daily_original_wrong!B127*total_from_MA_dashboard!B$24</f>
        <v>7.8900327882523616E-4</v>
      </c>
      <c r="C127">
        <f>daily_original_wrong!C127*total_from_MA_dashboard!C$24</f>
        <v>1.5780065576504723E-3</v>
      </c>
      <c r="D127">
        <f>daily_original_wrong!D127*total_from_MA_dashboard!D$24</f>
        <v>1.3332371508731344E-3</v>
      </c>
      <c r="E127">
        <f>daily_original_wrong!E127*total_from_MA_dashboard!E$24</f>
        <v>1.123840052212157E-3</v>
      </c>
      <c r="F127">
        <f>daily_original_wrong!F127*total_from_MA_dashboard!F$24</f>
        <v>8.0630998650292184E-4</v>
      </c>
      <c r="G127">
        <f>daily_original_wrong!G127*total_from_MA_dashboard!G$24</f>
        <v>1.1291660369076657E-3</v>
      </c>
      <c r="H127">
        <f>daily_original_wrong!H127*total_from_MA_dashboard!H$24</f>
        <v>1.3476001143970262E-3</v>
      </c>
      <c r="J127" t="str">
        <f t="shared" si="8"/>
        <v>[</v>
      </c>
      <c r="K127" t="str">
        <f t="shared" si="9"/>
        <v>[0.000789003278825236],</v>
      </c>
      <c r="L127" t="str">
        <f t="shared" si="13"/>
        <v>[0.00157800655765047],</v>
      </c>
      <c r="M127" t="str">
        <f t="shared" si="13"/>
        <v>[0.00133323715087313],</v>
      </c>
      <c r="N127" t="str">
        <f t="shared" si="13"/>
        <v>[0.00112384005221216],</v>
      </c>
      <c r="O127" t="str">
        <f t="shared" si="13"/>
        <v>[0.000806309986502922],</v>
      </c>
      <c r="P127" t="str">
        <f t="shared" si="13"/>
        <v>[0.00112916603690767],</v>
      </c>
      <c r="Q127" t="str">
        <f t="shared" si="10"/>
        <v>[0.00134760011439703]</v>
      </c>
      <c r="R127" t="str">
        <f t="shared" si="11"/>
        <v>]</v>
      </c>
      <c r="S127" t="str">
        <f t="shared" si="12"/>
        <v>[[0.000789003278825236],[0.00157800655765047],[0.00133323715087313],[0.00112384005221216],[0.000806309986502922],[0.00112916603690767],[0.00134760011439703]]</v>
      </c>
    </row>
    <row r="128" spans="1:19" x14ac:dyDescent="0.2">
      <c r="A128" s="1" t="d">
        <v>2025-12-20</v>
      </c>
      <c r="B128">
        <f>daily_original_wrong!B128*total_from_MA_dashboard!B$24</f>
        <v>7.1956491130636751E-4</v>
      </c>
      <c r="C128">
        <f>daily_original_wrong!C128*total_from_MA_dashboard!C$24</f>
        <v>1.439129822612735E-3</v>
      </c>
      <c r="D128">
        <f>daily_original_wrong!D128*total_from_MA_dashboard!D$24</f>
        <v>1.0474438238322647E-3</v>
      </c>
      <c r="E128">
        <f>daily_original_wrong!E128*total_from_MA_dashboard!E$24</f>
        <v>8.7384225649536835E-4</v>
      </c>
      <c r="F128">
        <f>daily_original_wrong!F128*total_from_MA_dashboard!F$24</f>
        <v>5.7978644993636214E-4</v>
      </c>
      <c r="G128">
        <f>daily_original_wrong!G128*total_from_MA_dashboard!G$24</f>
        <v>9.1707134495892253E-4</v>
      </c>
      <c r="H128">
        <f>daily_original_wrong!H128*total_from_MA_dashboard!H$24</f>
        <v>1.0099391518736248E-3</v>
      </c>
      <c r="J128" t="str">
        <f t="shared" si="8"/>
        <v>[</v>
      </c>
      <c r="K128" t="str">
        <f t="shared" si="9"/>
        <v>[0.000719564911306368],</v>
      </c>
      <c r="L128" t="str">
        <f t="shared" si="13"/>
        <v>[0.00143912982261274],</v>
      </c>
      <c r="M128" t="str">
        <f t="shared" si="13"/>
        <v>[0.00104744382383226],</v>
      </c>
      <c r="N128" t="str">
        <f t="shared" si="13"/>
        <v>[0.000873842256495368],</v>
      </c>
      <c r="O128" t="str">
        <f t="shared" si="13"/>
        <v>[0.000579786449936362],</v>
      </c>
      <c r="P128" t="str">
        <f t="shared" si="13"/>
        <v>[0.000917071344958923],</v>
      </c>
      <c r="Q128" t="str">
        <f t="shared" si="10"/>
        <v>[0.00100993915187362]</v>
      </c>
      <c r="R128" t="str">
        <f t="shared" si="11"/>
        <v>]</v>
      </c>
      <c r="S128" t="str">
        <f t="shared" si="12"/>
        <v>[[0.000719564911306368],[0.00143912982261274],[0.00104744382383226],[0.000873842256495368],[0.000579786449936362],[0.000917071344958923],[0.00100993915187362]]</v>
      </c>
    </row>
    <row r="129" spans="1:19" x14ac:dyDescent="0.2">
      <c r="A129" s="1" t="d">
        <v>2025-12-21</v>
      </c>
      <c r="B129">
        <f>daily_original_wrong!B129*total_from_MA_dashboard!B$24</f>
        <v>7.1956491130636751E-4</v>
      </c>
      <c r="C129">
        <f>daily_original_wrong!C129*total_from_MA_dashboard!C$24</f>
        <v>1.439129822612735E-3</v>
      </c>
      <c r="D129">
        <f>daily_original_wrong!D129*total_from_MA_dashboard!D$24</f>
        <v>1.0474438238322647E-3</v>
      </c>
      <c r="E129">
        <f>daily_original_wrong!E129*total_from_MA_dashboard!E$24</f>
        <v>8.7384225649536835E-4</v>
      </c>
      <c r="F129">
        <f>daily_original_wrong!F129*total_from_MA_dashboard!F$24</f>
        <v>5.7978644993636214E-4</v>
      </c>
      <c r="G129">
        <f>daily_original_wrong!G129*total_from_MA_dashboard!G$24</f>
        <v>9.1707134495892253E-4</v>
      </c>
      <c r="H129">
        <f>daily_original_wrong!H129*total_from_MA_dashboard!H$24</f>
        <v>1.0099391518736248E-3</v>
      </c>
      <c r="J129" t="str">
        <f t="shared" si="8"/>
        <v>[</v>
      </c>
      <c r="K129" t="str">
        <f t="shared" si="9"/>
        <v>[0.000719564911306368],</v>
      </c>
      <c r="L129" t="str">
        <f t="shared" si="13"/>
        <v>[0.00143912982261274],</v>
      </c>
      <c r="M129" t="str">
        <f t="shared" si="13"/>
        <v>[0.00104744382383226],</v>
      </c>
      <c r="N129" t="str">
        <f t="shared" si="13"/>
        <v>[0.000873842256495368],</v>
      </c>
      <c r="O129" t="str">
        <f t="shared" si="13"/>
        <v>[0.000579786449936362],</v>
      </c>
      <c r="P129" t="str">
        <f t="shared" si="13"/>
        <v>[0.000917071344958923],</v>
      </c>
      <c r="Q129" t="str">
        <f t="shared" si="10"/>
        <v>[0.00100993915187362]</v>
      </c>
      <c r="R129" t="str">
        <f t="shared" si="11"/>
        <v>]</v>
      </c>
      <c r="S129" t="str">
        <f t="shared" si="12"/>
        <v>[[0.000719564911306368],[0.00143912982261274],[0.00104744382383226],[0.000873842256495368],[0.000579786449936362],[0.000917071344958923],[0.00100993915187362]]</v>
      </c>
    </row>
    <row r="130" spans="1:19" x14ac:dyDescent="0.2">
      <c r="A130" s="1" t="d">
        <v>2025-12-22</v>
      </c>
      <c r="B130">
        <f>daily_original_wrong!B130*total_from_MA_dashboard!B$24</f>
        <v>7.1956491130636751E-4</v>
      </c>
      <c r="C130">
        <f>daily_original_wrong!C130*total_from_MA_dashboard!C$24</f>
        <v>1.439129822612735E-3</v>
      </c>
      <c r="D130">
        <f>daily_original_wrong!D130*total_from_MA_dashboard!D$24</f>
        <v>1.0474438238322647E-3</v>
      </c>
      <c r="E130">
        <f>daily_original_wrong!E130*total_from_MA_dashboard!E$24</f>
        <v>8.7384225649536835E-4</v>
      </c>
      <c r="F130">
        <f>daily_original_wrong!F130*total_from_MA_dashboard!F$24</f>
        <v>5.7978644993636214E-4</v>
      </c>
      <c r="G130">
        <f>daily_original_wrong!G130*total_from_MA_dashboard!G$24</f>
        <v>9.1707134495892253E-4</v>
      </c>
      <c r="H130">
        <f>daily_original_wrong!H130*total_from_MA_dashboard!H$24</f>
        <v>1.0099391518736248E-3</v>
      </c>
      <c r="J130" t="str">
        <f t="shared" si="8"/>
        <v>[</v>
      </c>
      <c r="K130" t="str">
        <f t="shared" si="9"/>
        <v>[0.000719564911306368],</v>
      </c>
      <c r="L130" t="str">
        <f t="shared" si="13"/>
        <v>[0.00143912982261274],</v>
      </c>
      <c r="M130" t="str">
        <f t="shared" si="13"/>
        <v>[0.00104744382383226],</v>
      </c>
      <c r="N130" t="str">
        <f t="shared" si="13"/>
        <v>[0.000873842256495368],</v>
      </c>
      <c r="O130" t="str">
        <f t="shared" si="13"/>
        <v>[0.000579786449936362],</v>
      </c>
      <c r="P130" t="str">
        <f t="shared" si="13"/>
        <v>[0.000917071344958923],</v>
      </c>
      <c r="Q130" t="str">
        <f t="shared" si="10"/>
        <v>[0.00100993915187362]</v>
      </c>
      <c r="R130" t="str">
        <f t="shared" si="11"/>
        <v>]</v>
      </c>
      <c r="S130" t="str">
        <f t="shared" si="12"/>
        <v>[[0.000719564911306368],[0.00143912982261274],[0.00104744382383226],[0.000873842256495368],[0.000579786449936362],[0.000917071344958923],[0.00100993915187362]]</v>
      </c>
    </row>
    <row r="131" spans="1:19" x14ac:dyDescent="0.2">
      <c r="A131" s="1" t="d">
        <v>2025-12-23</v>
      </c>
      <c r="B131">
        <f>daily_original_wrong!B131*total_from_MA_dashboard!B$24</f>
        <v>7.1956491130636751E-4</v>
      </c>
      <c r="C131">
        <f>daily_original_wrong!C131*total_from_MA_dashboard!C$24</f>
        <v>1.439129822612735E-3</v>
      </c>
      <c r="D131">
        <f>daily_original_wrong!D131*total_from_MA_dashboard!D$24</f>
        <v>1.0474438238322647E-3</v>
      </c>
      <c r="E131">
        <f>daily_original_wrong!E131*total_from_MA_dashboard!E$24</f>
        <v>8.7384225649536835E-4</v>
      </c>
      <c r="F131">
        <f>daily_original_wrong!F131*total_from_MA_dashboard!F$24</f>
        <v>5.7978644993636214E-4</v>
      </c>
      <c r="G131">
        <f>daily_original_wrong!G131*total_from_MA_dashboard!G$24</f>
        <v>9.1707134495892253E-4</v>
      </c>
      <c r="H131">
        <f>daily_original_wrong!H131*total_from_MA_dashboard!H$24</f>
        <v>1.0099391518736248E-3</v>
      </c>
      <c r="J131" t="str">
        <f t="shared" ref="J131:J194" si="14">"["</f>
        <v>[</v>
      </c>
      <c r="K131" t="str">
        <f t="shared" ref="K131:K194" si="15">"["&amp;B131&amp;"],"</f>
        <v>[0.000719564911306368],</v>
      </c>
      <c r="L131" t="str">
        <f t="shared" si="13"/>
        <v>[0.00143912982261274],</v>
      </c>
      <c r="M131" t="str">
        <f t="shared" si="13"/>
        <v>[0.00104744382383226],</v>
      </c>
      <c r="N131" t="str">
        <f t="shared" si="13"/>
        <v>[0.000873842256495368],</v>
      </c>
      <c r="O131" t="str">
        <f t="shared" si="13"/>
        <v>[0.000579786449936362],</v>
      </c>
      <c r="P131" t="str">
        <f t="shared" si="13"/>
        <v>[0.000917071344958923],</v>
      </c>
      <c r="Q131" t="str">
        <f t="shared" ref="Q131:Q194" si="16">"["&amp;H131&amp;"]"</f>
        <v>[0.00100993915187362]</v>
      </c>
      <c r="R131" t="str">
        <f t="shared" ref="R131:R194" si="17">"]"</f>
        <v>]</v>
      </c>
      <c r="S131" t="str">
        <f t="shared" ref="S131:S194" si="18">J131&amp;K131&amp;L131&amp;M131&amp;N131&amp;O131&amp;P131&amp;Q131&amp;R131</f>
        <v>[[0.000719564911306368],[0.00143912982261274],[0.00104744382383226],[0.000873842256495368],[0.000579786449936362],[0.000917071344958923],[0.00100993915187362]]</v>
      </c>
    </row>
    <row r="132" spans="1:19" x14ac:dyDescent="0.2">
      <c r="A132" s="1" t="d">
        <v>2025-12-24</v>
      </c>
      <c r="B132">
        <f>daily_original_wrong!B132*total_from_MA_dashboard!B$24</f>
        <v>7.1956491130636751E-4</v>
      </c>
      <c r="C132">
        <f>daily_original_wrong!C132*total_from_MA_dashboard!C$24</f>
        <v>1.439129822612735E-3</v>
      </c>
      <c r="D132">
        <f>daily_original_wrong!D132*total_from_MA_dashboard!D$24</f>
        <v>1.0474438238322647E-3</v>
      </c>
      <c r="E132">
        <f>daily_original_wrong!E132*total_from_MA_dashboard!E$24</f>
        <v>8.7384225649536835E-4</v>
      </c>
      <c r="F132">
        <f>daily_original_wrong!F132*total_from_MA_dashboard!F$24</f>
        <v>5.7978644993636214E-4</v>
      </c>
      <c r="G132">
        <f>daily_original_wrong!G132*total_from_MA_dashboard!G$24</f>
        <v>9.1707134495892253E-4</v>
      </c>
      <c r="H132">
        <f>daily_original_wrong!H132*total_from_MA_dashboard!H$24</f>
        <v>1.0099391518736248E-3</v>
      </c>
      <c r="J132" t="str">
        <f t="shared" si="14"/>
        <v>[</v>
      </c>
      <c r="K132" t="str">
        <f t="shared" si="15"/>
        <v>[0.000719564911306368],</v>
      </c>
      <c r="L132" t="str">
        <f t="shared" si="13"/>
        <v>[0.00143912982261274],</v>
      </c>
      <c r="M132" t="str">
        <f t="shared" si="13"/>
        <v>[0.00104744382383226],</v>
      </c>
      <c r="N132" t="str">
        <f t="shared" si="13"/>
        <v>[0.000873842256495368],</v>
      </c>
      <c r="O132" t="str">
        <f t="shared" si="13"/>
        <v>[0.000579786449936362],</v>
      </c>
      <c r="P132" t="str">
        <f t="shared" si="13"/>
        <v>[0.000917071344958923],</v>
      </c>
      <c r="Q132" t="str">
        <f t="shared" si="16"/>
        <v>[0.00100993915187362]</v>
      </c>
      <c r="R132" t="str">
        <f t="shared" si="17"/>
        <v>]</v>
      </c>
      <c r="S132" t="str">
        <f t="shared" si="18"/>
        <v>[[0.000719564911306368],[0.00143912982261274],[0.00104744382383226],[0.000873842256495368],[0.000579786449936362],[0.000917071344958923],[0.00100993915187362]]</v>
      </c>
    </row>
    <row r="133" spans="1:19" x14ac:dyDescent="0.2">
      <c r="A133" s="1" t="d">
        <v>2025-12-25</v>
      </c>
      <c r="B133">
        <f>daily_original_wrong!B133*total_from_MA_dashboard!B$24</f>
        <v>7.1956491130636751E-4</v>
      </c>
      <c r="C133">
        <f>daily_original_wrong!C133*total_from_MA_dashboard!C$24</f>
        <v>1.439129822612735E-3</v>
      </c>
      <c r="D133">
        <f>daily_original_wrong!D133*total_from_MA_dashboard!D$24</f>
        <v>1.0474438238322647E-3</v>
      </c>
      <c r="E133">
        <f>daily_original_wrong!E133*total_from_MA_dashboard!E$24</f>
        <v>8.7384225649536835E-4</v>
      </c>
      <c r="F133">
        <f>daily_original_wrong!F133*total_from_MA_dashboard!F$24</f>
        <v>5.7978644993636214E-4</v>
      </c>
      <c r="G133">
        <f>daily_original_wrong!G133*total_from_MA_dashboard!G$24</f>
        <v>9.1707134495892253E-4</v>
      </c>
      <c r="H133">
        <f>daily_original_wrong!H133*total_from_MA_dashboard!H$24</f>
        <v>1.0099391518736248E-3</v>
      </c>
      <c r="J133" t="str">
        <f t="shared" si="14"/>
        <v>[</v>
      </c>
      <c r="K133" t="str">
        <f t="shared" si="15"/>
        <v>[0.000719564911306368],</v>
      </c>
      <c r="L133" t="str">
        <f t="shared" si="13"/>
        <v>[0.00143912982261274],</v>
      </c>
      <c r="M133" t="str">
        <f t="shared" si="13"/>
        <v>[0.00104744382383226],</v>
      </c>
      <c r="N133" t="str">
        <f t="shared" si="13"/>
        <v>[0.000873842256495368],</v>
      </c>
      <c r="O133" t="str">
        <f t="shared" si="13"/>
        <v>[0.000579786449936362],</v>
      </c>
      <c r="P133" t="str">
        <f t="shared" si="13"/>
        <v>[0.000917071344958923],</v>
      </c>
      <c r="Q133" t="str">
        <f t="shared" si="16"/>
        <v>[0.00100993915187362]</v>
      </c>
      <c r="R133" t="str">
        <f t="shared" si="17"/>
        <v>]</v>
      </c>
      <c r="S133" t="str">
        <f t="shared" si="18"/>
        <v>[[0.000719564911306368],[0.00143912982261274],[0.00104744382383226],[0.000873842256495368],[0.000579786449936362],[0.000917071344958923],[0.00100993915187362]]</v>
      </c>
    </row>
    <row r="134" spans="1:19" x14ac:dyDescent="0.2">
      <c r="A134" s="1" t="d">
        <v>2025-12-26</v>
      </c>
      <c r="B134">
        <f>daily_original_wrong!B134*total_from_MA_dashboard!B$24</f>
        <v>7.1956491130636751E-4</v>
      </c>
      <c r="C134">
        <f>daily_original_wrong!C134*total_from_MA_dashboard!C$24</f>
        <v>1.439129822612735E-3</v>
      </c>
      <c r="D134">
        <f>daily_original_wrong!D134*total_from_MA_dashboard!D$24</f>
        <v>1.0474438238322647E-3</v>
      </c>
      <c r="E134">
        <f>daily_original_wrong!E134*total_from_MA_dashboard!E$24</f>
        <v>8.7384225649536835E-4</v>
      </c>
      <c r="F134">
        <f>daily_original_wrong!F134*total_from_MA_dashboard!F$24</f>
        <v>5.7978644993636214E-4</v>
      </c>
      <c r="G134">
        <f>daily_original_wrong!G134*total_from_MA_dashboard!G$24</f>
        <v>9.1707134495892253E-4</v>
      </c>
      <c r="H134">
        <f>daily_original_wrong!H134*total_from_MA_dashboard!H$24</f>
        <v>1.0099391518736248E-3</v>
      </c>
      <c r="J134" t="str">
        <f t="shared" si="14"/>
        <v>[</v>
      </c>
      <c r="K134" t="str">
        <f t="shared" si="15"/>
        <v>[0.000719564911306368],</v>
      </c>
      <c r="L134" t="str">
        <f t="shared" si="13"/>
        <v>[0.00143912982261274],</v>
      </c>
      <c r="M134" t="str">
        <f t="shared" si="13"/>
        <v>[0.00104744382383226],</v>
      </c>
      <c r="N134" t="str">
        <f t="shared" si="13"/>
        <v>[0.000873842256495368],</v>
      </c>
      <c r="O134" t="str">
        <f t="shared" si="13"/>
        <v>[0.000579786449936362],</v>
      </c>
      <c r="P134" t="str">
        <f t="shared" si="13"/>
        <v>[0.000917071344958923],</v>
      </c>
      <c r="Q134" t="str">
        <f t="shared" si="16"/>
        <v>[0.00100993915187362]</v>
      </c>
      <c r="R134" t="str">
        <f t="shared" si="17"/>
        <v>]</v>
      </c>
      <c r="S134" t="str">
        <f t="shared" si="18"/>
        <v>[[0.000719564911306368],[0.00143912982261274],[0.00104744382383226],[0.000873842256495368],[0.000579786449936362],[0.000917071344958923],[0.00100993915187362]]</v>
      </c>
    </row>
    <row r="135" spans="1:19" x14ac:dyDescent="0.2">
      <c r="A135" s="1" t="d">
        <v>2025-12-27</v>
      </c>
      <c r="B135">
        <f>daily_original_wrong!B135*total_from_MA_dashboard!B$24</f>
        <v>7.7407846151240727E-4</v>
      </c>
      <c r="C135">
        <f>daily_original_wrong!C135*total_from_MA_dashboard!C$24</f>
        <v>1.5481569230248145E-3</v>
      </c>
      <c r="D135">
        <f>daily_original_wrong!D135*total_from_MA_dashboard!D$24</f>
        <v>1.1164574071456251E-3</v>
      </c>
      <c r="E135">
        <f>daily_original_wrong!E135*total_from_MA_dashboard!E$24</f>
        <v>9.1622280253147667E-4</v>
      </c>
      <c r="F135">
        <f>daily_original_wrong!F135*total_from_MA_dashboard!F$24</f>
        <v>6.6057929222252288E-4</v>
      </c>
      <c r="G135">
        <f>daily_original_wrong!G135*total_from_MA_dashboard!G$24</f>
        <v>1.0042622152565961E-3</v>
      </c>
      <c r="H135">
        <f>daily_original_wrong!H135*total_from_MA_dashboard!H$24</f>
        <v>1.1518027308630122E-3</v>
      </c>
      <c r="J135" t="str">
        <f t="shared" si="14"/>
        <v>[</v>
      </c>
      <c r="K135" t="str">
        <f t="shared" si="15"/>
        <v>[0.000774078461512407],</v>
      </c>
      <c r="L135" t="str">
        <f t="shared" si="13"/>
        <v>[0.00154815692302481],</v>
      </c>
      <c r="M135" t="str">
        <f t="shared" si="13"/>
        <v>[0.00111645740714563],</v>
      </c>
      <c r="N135" t="str">
        <f t="shared" si="13"/>
        <v>[0.000916222802531477],</v>
      </c>
      <c r="O135" t="str">
        <f t="shared" si="13"/>
        <v>[0.000660579292222523],</v>
      </c>
      <c r="P135" t="str">
        <f t="shared" si="13"/>
        <v>[0.0010042622152566],</v>
      </c>
      <c r="Q135" t="str">
        <f t="shared" si="16"/>
        <v>[0.00115180273086301]</v>
      </c>
      <c r="R135" t="str">
        <f t="shared" si="17"/>
        <v>]</v>
      </c>
      <c r="S135" t="str">
        <f t="shared" si="18"/>
        <v>[[0.000774078461512407],[0.00154815692302481],[0.00111645740714563],[0.000916222802531477],[0.000660579292222523],[0.0010042622152566],[0.00115180273086301]]</v>
      </c>
    </row>
    <row r="136" spans="1:19" x14ac:dyDescent="0.2">
      <c r="A136" s="1" t="d">
        <v>2025-12-28</v>
      </c>
      <c r="B136">
        <f>daily_original_wrong!B136*total_from_MA_dashboard!B$24</f>
        <v>7.7407846151240727E-4</v>
      </c>
      <c r="C136">
        <f>daily_original_wrong!C136*total_from_MA_dashboard!C$24</f>
        <v>1.5481569230248145E-3</v>
      </c>
      <c r="D136">
        <f>daily_original_wrong!D136*total_from_MA_dashboard!D$24</f>
        <v>1.1164574071456251E-3</v>
      </c>
      <c r="E136">
        <f>daily_original_wrong!E136*total_from_MA_dashboard!E$24</f>
        <v>9.1622280253147667E-4</v>
      </c>
      <c r="F136">
        <f>daily_original_wrong!F136*total_from_MA_dashboard!F$24</f>
        <v>6.6057929222252288E-4</v>
      </c>
      <c r="G136">
        <f>daily_original_wrong!G136*total_from_MA_dashboard!G$24</f>
        <v>1.0042622152565961E-3</v>
      </c>
      <c r="H136">
        <f>daily_original_wrong!H136*total_from_MA_dashboard!H$24</f>
        <v>1.1518027308630122E-3</v>
      </c>
      <c r="J136" t="str">
        <f t="shared" si="14"/>
        <v>[</v>
      </c>
      <c r="K136" t="str">
        <f t="shared" si="15"/>
        <v>[0.000774078461512407],</v>
      </c>
      <c r="L136" t="str">
        <f t="shared" si="13"/>
        <v>[0.00154815692302481],</v>
      </c>
      <c r="M136" t="str">
        <f t="shared" si="13"/>
        <v>[0.00111645740714563],</v>
      </c>
      <c r="N136" t="str">
        <f t="shared" si="13"/>
        <v>[0.000916222802531477],</v>
      </c>
      <c r="O136" t="str">
        <f t="shared" si="13"/>
        <v>[0.000660579292222523],</v>
      </c>
      <c r="P136" t="str">
        <f t="shared" si="13"/>
        <v>[0.0010042622152566],</v>
      </c>
      <c r="Q136" t="str">
        <f t="shared" si="16"/>
        <v>[0.00115180273086301]</v>
      </c>
      <c r="R136" t="str">
        <f t="shared" si="17"/>
        <v>]</v>
      </c>
      <c r="S136" t="str">
        <f t="shared" si="18"/>
        <v>[[0.000774078461512407],[0.00154815692302481],[0.00111645740714563],[0.000916222802531477],[0.000660579292222523],[0.0010042622152566],[0.00115180273086301]]</v>
      </c>
    </row>
    <row r="137" spans="1:19" x14ac:dyDescent="0.2">
      <c r="A137" s="1" t="d">
        <v>2025-12-29</v>
      </c>
      <c r="B137">
        <f>daily_original_wrong!B137*total_from_MA_dashboard!B$24</f>
        <v>7.7407846151240727E-4</v>
      </c>
      <c r="C137">
        <f>daily_original_wrong!C137*total_from_MA_dashboard!C$24</f>
        <v>1.5481569230248145E-3</v>
      </c>
      <c r="D137">
        <f>daily_original_wrong!D137*total_from_MA_dashboard!D$24</f>
        <v>1.1164574071456251E-3</v>
      </c>
      <c r="E137">
        <f>daily_original_wrong!E137*total_from_MA_dashboard!E$24</f>
        <v>9.1622280253147667E-4</v>
      </c>
      <c r="F137">
        <f>daily_original_wrong!F137*total_from_MA_dashboard!F$24</f>
        <v>6.6057929222252288E-4</v>
      </c>
      <c r="G137">
        <f>daily_original_wrong!G137*total_from_MA_dashboard!G$24</f>
        <v>1.0042622152565961E-3</v>
      </c>
      <c r="H137">
        <f>daily_original_wrong!H137*total_from_MA_dashboard!H$24</f>
        <v>1.1518027308630122E-3</v>
      </c>
      <c r="J137" t="str">
        <f t="shared" si="14"/>
        <v>[</v>
      </c>
      <c r="K137" t="str">
        <f t="shared" si="15"/>
        <v>[0.000774078461512407],</v>
      </c>
      <c r="L137" t="str">
        <f t="shared" si="13"/>
        <v>[0.00154815692302481],</v>
      </c>
      <c r="M137" t="str">
        <f t="shared" si="13"/>
        <v>[0.00111645740714563],</v>
      </c>
      <c r="N137" t="str">
        <f t="shared" si="13"/>
        <v>[0.000916222802531477],</v>
      </c>
      <c r="O137" t="str">
        <f t="shared" si="13"/>
        <v>[0.000660579292222523],</v>
      </c>
      <c r="P137" t="str">
        <f t="shared" si="13"/>
        <v>[0.0010042622152566],</v>
      </c>
      <c r="Q137" t="str">
        <f t="shared" si="16"/>
        <v>[0.00115180273086301]</v>
      </c>
      <c r="R137" t="str">
        <f t="shared" si="17"/>
        <v>]</v>
      </c>
      <c r="S137" t="str">
        <f t="shared" si="18"/>
        <v>[[0.000774078461512407],[0.00154815692302481],[0.00111645740714563],[0.000916222802531477],[0.000660579292222523],[0.0010042622152566],[0.00115180273086301]]</v>
      </c>
    </row>
    <row r="138" spans="1:19" x14ac:dyDescent="0.2">
      <c r="A138" s="1" t="d">
        <v>2025-12-30</v>
      </c>
      <c r="B138">
        <f>daily_original_wrong!B138*total_from_MA_dashboard!B$24</f>
        <v>7.7407846151240727E-4</v>
      </c>
      <c r="C138">
        <f>daily_original_wrong!C138*total_from_MA_dashboard!C$24</f>
        <v>1.5481569230248145E-3</v>
      </c>
      <c r="D138">
        <f>daily_original_wrong!D138*total_from_MA_dashboard!D$24</f>
        <v>1.1164574071456251E-3</v>
      </c>
      <c r="E138">
        <f>daily_original_wrong!E138*total_from_MA_dashboard!E$24</f>
        <v>9.1622280253147667E-4</v>
      </c>
      <c r="F138">
        <f>daily_original_wrong!F138*total_from_MA_dashboard!F$24</f>
        <v>6.6057929222252288E-4</v>
      </c>
      <c r="G138">
        <f>daily_original_wrong!G138*total_from_MA_dashboard!G$24</f>
        <v>1.0042622152565961E-3</v>
      </c>
      <c r="H138">
        <f>daily_original_wrong!H138*total_from_MA_dashboard!H$24</f>
        <v>1.1518027308630122E-3</v>
      </c>
      <c r="J138" t="str">
        <f t="shared" si="14"/>
        <v>[</v>
      </c>
      <c r="K138" t="str">
        <f t="shared" si="15"/>
        <v>[0.000774078461512407],</v>
      </c>
      <c r="L138" t="str">
        <f t="shared" si="13"/>
        <v>[0.00154815692302481],</v>
      </c>
      <c r="M138" t="str">
        <f t="shared" si="13"/>
        <v>[0.00111645740714563],</v>
      </c>
      <c r="N138" t="str">
        <f t="shared" si="13"/>
        <v>[0.000916222802531477],</v>
      </c>
      <c r="O138" t="str">
        <f t="shared" si="13"/>
        <v>[0.000660579292222523],</v>
      </c>
      <c r="P138" t="str">
        <f t="shared" si="13"/>
        <v>[0.0010042622152566],</v>
      </c>
      <c r="Q138" t="str">
        <f t="shared" si="16"/>
        <v>[0.00115180273086301]</v>
      </c>
      <c r="R138" t="str">
        <f t="shared" si="17"/>
        <v>]</v>
      </c>
      <c r="S138" t="str">
        <f t="shared" si="18"/>
        <v>[[0.000774078461512407],[0.00154815692302481],[0.00111645740714563],[0.000916222802531477],[0.000660579292222523],[0.0010042622152566],[0.00115180273086301]]</v>
      </c>
    </row>
    <row r="139" spans="1:19" x14ac:dyDescent="0.2">
      <c r="A139" s="1" t="d">
        <v>2025-12-31</v>
      </c>
      <c r="B139">
        <f>daily_original_wrong!B139*total_from_MA_dashboard!B$24</f>
        <v>7.7407846151240727E-4</v>
      </c>
      <c r="C139">
        <f>daily_original_wrong!C139*total_from_MA_dashboard!C$24</f>
        <v>1.5481569230248145E-3</v>
      </c>
      <c r="D139">
        <f>daily_original_wrong!D139*total_from_MA_dashboard!D$24</f>
        <v>1.1164574071456251E-3</v>
      </c>
      <c r="E139">
        <f>daily_original_wrong!E139*total_from_MA_dashboard!E$24</f>
        <v>9.1622280253147667E-4</v>
      </c>
      <c r="F139">
        <f>daily_original_wrong!F139*total_from_MA_dashboard!F$24</f>
        <v>6.6057929222252288E-4</v>
      </c>
      <c r="G139">
        <f>daily_original_wrong!G139*total_from_MA_dashboard!G$24</f>
        <v>1.0042622152565961E-3</v>
      </c>
      <c r="H139">
        <f>daily_original_wrong!H139*total_from_MA_dashboard!H$24</f>
        <v>1.1518027308630122E-3</v>
      </c>
      <c r="J139" t="str">
        <f t="shared" si="14"/>
        <v>[</v>
      </c>
      <c r="K139" t="str">
        <f t="shared" si="15"/>
        <v>[0.000774078461512407],</v>
      </c>
      <c r="L139" t="str">
        <f t="shared" si="13"/>
        <v>[0.00154815692302481],</v>
      </c>
      <c r="M139" t="str">
        <f t="shared" si="13"/>
        <v>[0.00111645740714563],</v>
      </c>
      <c r="N139" t="str">
        <f t="shared" si="13"/>
        <v>[0.000916222802531477],</v>
      </c>
      <c r="O139" t="str">
        <f t="shared" si="13"/>
        <v>[0.000660579292222523],</v>
      </c>
      <c r="P139" t="str">
        <f t="shared" si="13"/>
        <v>[0.0010042622152566],</v>
      </c>
      <c r="Q139" t="str">
        <f t="shared" si="16"/>
        <v>[0.00115180273086301]</v>
      </c>
      <c r="R139" t="str">
        <f t="shared" si="17"/>
        <v>]</v>
      </c>
      <c r="S139" t="str">
        <f t="shared" si="18"/>
        <v>[[0.000774078461512407],[0.00154815692302481],[0.00111645740714563],[0.000916222802531477],[0.000660579292222523],[0.0010042622152566],[0.00115180273086301]]</v>
      </c>
    </row>
    <row r="140" spans="1:19" x14ac:dyDescent="0.2">
      <c r="A140" s="1" t="d">
        <v>2026-01-01</v>
      </c>
      <c r="B140">
        <f>daily_original_wrong!B140*total_from_MA_dashboard!B$24</f>
        <v>7.7407846151240727E-4</v>
      </c>
      <c r="C140">
        <f>daily_original_wrong!C140*total_from_MA_dashboard!C$24</f>
        <v>1.5481569230248145E-3</v>
      </c>
      <c r="D140">
        <f>daily_original_wrong!D140*total_from_MA_dashboard!D$24</f>
        <v>1.1164574071456251E-3</v>
      </c>
      <c r="E140">
        <f>daily_original_wrong!E140*total_from_MA_dashboard!E$24</f>
        <v>9.1622280253147667E-4</v>
      </c>
      <c r="F140">
        <f>daily_original_wrong!F140*total_from_MA_dashboard!F$24</f>
        <v>6.6057929222252288E-4</v>
      </c>
      <c r="G140">
        <f>daily_original_wrong!G140*total_from_MA_dashboard!G$24</f>
        <v>1.0042622152565961E-3</v>
      </c>
      <c r="H140">
        <f>daily_original_wrong!H140*total_from_MA_dashboard!H$24</f>
        <v>1.1518027308630122E-3</v>
      </c>
      <c r="J140" t="str">
        <f t="shared" si="14"/>
        <v>[</v>
      </c>
      <c r="K140" t="str">
        <f t="shared" si="15"/>
        <v>[0.000774078461512407],</v>
      </c>
      <c r="L140" t="str">
        <f t="shared" si="13"/>
        <v>[0.00154815692302481],</v>
      </c>
      <c r="M140" t="str">
        <f t="shared" si="13"/>
        <v>[0.00111645740714563],</v>
      </c>
      <c r="N140" t="str">
        <f t="shared" si="13"/>
        <v>[0.000916222802531477],</v>
      </c>
      <c r="O140" t="str">
        <f t="shared" si="13"/>
        <v>[0.000660579292222523],</v>
      </c>
      <c r="P140" t="str">
        <f t="shared" si="13"/>
        <v>[0.0010042622152566],</v>
      </c>
      <c r="Q140" t="str">
        <f t="shared" si="16"/>
        <v>[0.00115180273086301]</v>
      </c>
      <c r="R140" t="str">
        <f t="shared" si="17"/>
        <v>]</v>
      </c>
      <c r="S140" t="str">
        <f t="shared" si="18"/>
        <v>[[0.000774078461512407],[0.00154815692302481],[0.00111645740714563],[0.000916222802531477],[0.000660579292222523],[0.0010042622152566],[0.00115180273086301]]</v>
      </c>
    </row>
    <row r="141" spans="1:19" x14ac:dyDescent="0.2">
      <c r="A141" s="1" t="d">
        <v>2026-01-02</v>
      </c>
      <c r="B141">
        <f>daily_original_wrong!B141*total_from_MA_dashboard!B$24</f>
        <v>7.7407846151240727E-4</v>
      </c>
      <c r="C141">
        <f>daily_original_wrong!C141*total_from_MA_dashboard!C$24</f>
        <v>1.5481569230248145E-3</v>
      </c>
      <c r="D141">
        <f>daily_original_wrong!D141*total_from_MA_dashboard!D$24</f>
        <v>1.1164574071456251E-3</v>
      </c>
      <c r="E141">
        <f>daily_original_wrong!E141*total_from_MA_dashboard!E$24</f>
        <v>9.1622280253147667E-4</v>
      </c>
      <c r="F141">
        <f>daily_original_wrong!F141*total_from_MA_dashboard!F$24</f>
        <v>6.6057929222252288E-4</v>
      </c>
      <c r="G141">
        <f>daily_original_wrong!G141*total_from_MA_dashboard!G$24</f>
        <v>1.0042622152565961E-3</v>
      </c>
      <c r="H141">
        <f>daily_original_wrong!H141*total_from_MA_dashboard!H$24</f>
        <v>1.1518027308630122E-3</v>
      </c>
      <c r="J141" t="str">
        <f t="shared" si="14"/>
        <v>[</v>
      </c>
      <c r="K141" t="str">
        <f t="shared" si="15"/>
        <v>[0.000774078461512407],</v>
      </c>
      <c r="L141" t="str">
        <f t="shared" si="13"/>
        <v>[0.00154815692302481],</v>
      </c>
      <c r="M141" t="str">
        <f t="shared" si="13"/>
        <v>[0.00111645740714563],</v>
      </c>
      <c r="N141" t="str">
        <f t="shared" si="13"/>
        <v>[0.000916222802531477],</v>
      </c>
      <c r="O141" t="str">
        <f t="shared" si="13"/>
        <v>[0.000660579292222523],</v>
      </c>
      <c r="P141" t="str">
        <f t="shared" si="13"/>
        <v>[0.0010042622152566],</v>
      </c>
      <c r="Q141" t="str">
        <f t="shared" si="16"/>
        <v>[0.00115180273086301]</v>
      </c>
      <c r="R141" t="str">
        <f t="shared" si="17"/>
        <v>]</v>
      </c>
      <c r="S141" t="str">
        <f t="shared" si="18"/>
        <v>[[0.000774078461512407],[0.00154815692302481],[0.00111645740714563],[0.000916222802531477],[0.000660579292222523],[0.0010042622152566],[0.00115180273086301]]</v>
      </c>
    </row>
    <row r="142" spans="1:19" x14ac:dyDescent="0.2">
      <c r="A142" s="1" t="d">
        <v>2026-01-03</v>
      </c>
      <c r="B142">
        <f>daily_original_wrong!B142*total_from_MA_dashboard!B$24</f>
        <v>1.1949867450575895E-3</v>
      </c>
      <c r="C142">
        <f>daily_original_wrong!C142*total_from_MA_dashboard!C$24</f>
        <v>2.389973490115179E-3</v>
      </c>
      <c r="D142">
        <f>daily_original_wrong!D142*total_from_MA_dashboard!D$24</f>
        <v>1.68519597500959E-3</v>
      </c>
      <c r="E142">
        <f>daily_original_wrong!E142*total_from_MA_dashboard!E$24</f>
        <v>1.3654034260185675E-3</v>
      </c>
      <c r="F142">
        <f>daily_original_wrong!F142*total_from_MA_dashboard!F$24</f>
        <v>1.0313586241256407E-3</v>
      </c>
      <c r="G142">
        <f>daily_original_wrong!G142*total_from_MA_dashboard!G$24</f>
        <v>1.543873075886548E-3</v>
      </c>
      <c r="H142">
        <f>daily_original_wrong!H142*total_from_MA_dashboard!H$24</f>
        <v>1.8055950062681727E-3</v>
      </c>
      <c r="J142" t="str">
        <f t="shared" si="14"/>
        <v>[</v>
      </c>
      <c r="K142" t="str">
        <f t="shared" si="15"/>
        <v>[0.00119498674505759],</v>
      </c>
      <c r="L142" t="str">
        <f t="shared" si="13"/>
        <v>[0.00238997349011518],</v>
      </c>
      <c r="M142" t="str">
        <f t="shared" si="13"/>
        <v>[0.00168519597500959],</v>
      </c>
      <c r="N142" t="str">
        <f t="shared" si="13"/>
        <v>[0.00136540342601857],</v>
      </c>
      <c r="O142" t="str">
        <f t="shared" si="13"/>
        <v>[0.00103135862412564],</v>
      </c>
      <c r="P142" t="str">
        <f t="shared" si="13"/>
        <v>[0.00154387307588655],</v>
      </c>
      <c r="Q142" t="str">
        <f t="shared" si="16"/>
        <v>[0.00180559500626817]</v>
      </c>
      <c r="R142" t="str">
        <f t="shared" si="17"/>
        <v>]</v>
      </c>
      <c r="S142" t="str">
        <f t="shared" si="18"/>
        <v>[[0.00119498674505759],[0.00238997349011518],[0.00168519597500959],[0.00136540342601857],[0.00103135862412564],[0.00154387307588655],[0.00180559500626817]]</v>
      </c>
    </row>
    <row r="143" spans="1:19" x14ac:dyDescent="0.2">
      <c r="A143" s="1" t="d">
        <v>2026-01-04</v>
      </c>
      <c r="B143">
        <f>daily_original_wrong!B143*total_from_MA_dashboard!B$24</f>
        <v>1.1949867450575895E-3</v>
      </c>
      <c r="C143">
        <f>daily_original_wrong!C143*total_from_MA_dashboard!C$24</f>
        <v>2.389973490115179E-3</v>
      </c>
      <c r="D143">
        <f>daily_original_wrong!D143*total_from_MA_dashboard!D$24</f>
        <v>1.68519597500959E-3</v>
      </c>
      <c r="E143">
        <f>daily_original_wrong!E143*total_from_MA_dashboard!E$24</f>
        <v>1.3654034260185675E-3</v>
      </c>
      <c r="F143">
        <f>daily_original_wrong!F143*total_from_MA_dashboard!F$24</f>
        <v>1.0313586241256407E-3</v>
      </c>
      <c r="G143">
        <f>daily_original_wrong!G143*total_from_MA_dashboard!G$24</f>
        <v>1.543873075886548E-3</v>
      </c>
      <c r="H143">
        <f>daily_original_wrong!H143*total_from_MA_dashboard!H$24</f>
        <v>1.8055950062681727E-3</v>
      </c>
      <c r="J143" t="str">
        <f t="shared" si="14"/>
        <v>[</v>
      </c>
      <c r="K143" t="str">
        <f t="shared" si="15"/>
        <v>[0.00119498674505759],</v>
      </c>
      <c r="L143" t="str">
        <f t="shared" si="13"/>
        <v>[0.00238997349011518],</v>
      </c>
      <c r="M143" t="str">
        <f t="shared" si="13"/>
        <v>[0.00168519597500959],</v>
      </c>
      <c r="N143" t="str">
        <f t="shared" si="13"/>
        <v>[0.00136540342601857],</v>
      </c>
      <c r="O143" t="str">
        <f t="shared" si="13"/>
        <v>[0.00103135862412564],</v>
      </c>
      <c r="P143" t="str">
        <f t="shared" si="13"/>
        <v>[0.00154387307588655],</v>
      </c>
      <c r="Q143" t="str">
        <f t="shared" si="16"/>
        <v>[0.00180559500626817]</v>
      </c>
      <c r="R143" t="str">
        <f t="shared" si="17"/>
        <v>]</v>
      </c>
      <c r="S143" t="str">
        <f t="shared" si="18"/>
        <v>[[0.00119498674505759],[0.00238997349011518],[0.00168519597500959],[0.00136540342601857],[0.00103135862412564],[0.00154387307588655],[0.00180559500626817]]</v>
      </c>
    </row>
    <row r="144" spans="1:19" x14ac:dyDescent="0.2">
      <c r="A144" s="1" t="d">
        <v>2026-01-05</v>
      </c>
      <c r="B144">
        <f>daily_original_wrong!B144*total_from_MA_dashboard!B$24</f>
        <v>1.1949867450575895E-3</v>
      </c>
      <c r="C144">
        <f>daily_original_wrong!C144*total_from_MA_dashboard!C$24</f>
        <v>2.389973490115179E-3</v>
      </c>
      <c r="D144">
        <f>daily_original_wrong!D144*total_from_MA_dashboard!D$24</f>
        <v>1.68519597500959E-3</v>
      </c>
      <c r="E144">
        <f>daily_original_wrong!E144*total_from_MA_dashboard!E$24</f>
        <v>1.3654034260185675E-3</v>
      </c>
      <c r="F144">
        <f>daily_original_wrong!F144*total_from_MA_dashboard!F$24</f>
        <v>1.0313586241256407E-3</v>
      </c>
      <c r="G144">
        <f>daily_original_wrong!G144*total_from_MA_dashboard!G$24</f>
        <v>1.543873075886548E-3</v>
      </c>
      <c r="H144">
        <f>daily_original_wrong!H144*total_from_MA_dashboard!H$24</f>
        <v>1.8055950062681727E-3</v>
      </c>
      <c r="J144" t="str">
        <f t="shared" si="14"/>
        <v>[</v>
      </c>
      <c r="K144" t="str">
        <f t="shared" si="15"/>
        <v>[0.00119498674505759],</v>
      </c>
      <c r="L144" t="str">
        <f t="shared" si="13"/>
        <v>[0.00238997349011518],</v>
      </c>
      <c r="M144" t="str">
        <f t="shared" si="13"/>
        <v>[0.00168519597500959],</v>
      </c>
      <c r="N144" t="str">
        <f t="shared" si="13"/>
        <v>[0.00136540342601857],</v>
      </c>
      <c r="O144" t="str">
        <f t="shared" si="13"/>
        <v>[0.00103135862412564],</v>
      </c>
      <c r="P144" t="str">
        <f t="shared" si="13"/>
        <v>[0.00154387307588655],</v>
      </c>
      <c r="Q144" t="str">
        <f t="shared" si="16"/>
        <v>[0.00180559500626817]</v>
      </c>
      <c r="R144" t="str">
        <f t="shared" si="17"/>
        <v>]</v>
      </c>
      <c r="S144" t="str">
        <f t="shared" si="18"/>
        <v>[[0.00119498674505759],[0.00238997349011518],[0.00168519597500959],[0.00136540342601857],[0.00103135862412564],[0.00154387307588655],[0.00180559500626817]]</v>
      </c>
    </row>
    <row r="145" spans="1:19" x14ac:dyDescent="0.2">
      <c r="A145" s="1" t="d">
        <v>2026-01-06</v>
      </c>
      <c r="B145">
        <f>daily_original_wrong!B145*total_from_MA_dashboard!B$24</f>
        <v>1.1949867450575895E-3</v>
      </c>
      <c r="C145">
        <f>daily_original_wrong!C145*total_from_MA_dashboard!C$24</f>
        <v>2.389973490115179E-3</v>
      </c>
      <c r="D145">
        <f>daily_original_wrong!D145*total_from_MA_dashboard!D$24</f>
        <v>1.68519597500959E-3</v>
      </c>
      <c r="E145">
        <f>daily_original_wrong!E145*total_from_MA_dashboard!E$24</f>
        <v>1.3654034260185675E-3</v>
      </c>
      <c r="F145">
        <f>daily_original_wrong!F145*total_from_MA_dashboard!F$24</f>
        <v>1.0313586241256407E-3</v>
      </c>
      <c r="G145">
        <f>daily_original_wrong!G145*total_from_MA_dashboard!G$24</f>
        <v>1.543873075886548E-3</v>
      </c>
      <c r="H145">
        <f>daily_original_wrong!H145*total_from_MA_dashboard!H$24</f>
        <v>1.8055950062681727E-3</v>
      </c>
      <c r="J145" t="str">
        <f t="shared" si="14"/>
        <v>[</v>
      </c>
      <c r="K145" t="str">
        <f t="shared" si="15"/>
        <v>[0.00119498674505759],</v>
      </c>
      <c r="L145" t="str">
        <f t="shared" si="13"/>
        <v>[0.00238997349011518],</v>
      </c>
      <c r="M145" t="str">
        <f t="shared" si="13"/>
        <v>[0.00168519597500959],</v>
      </c>
      <c r="N145" t="str">
        <f t="shared" si="13"/>
        <v>[0.00136540342601857],</v>
      </c>
      <c r="O145" t="str">
        <f t="shared" si="13"/>
        <v>[0.00103135862412564],</v>
      </c>
      <c r="P145" t="str">
        <f t="shared" si="13"/>
        <v>[0.00154387307588655],</v>
      </c>
      <c r="Q145" t="str">
        <f t="shared" si="16"/>
        <v>[0.00180559500626817]</v>
      </c>
      <c r="R145" t="str">
        <f t="shared" si="17"/>
        <v>]</v>
      </c>
      <c r="S145" t="str">
        <f t="shared" si="18"/>
        <v>[[0.00119498674505759],[0.00238997349011518],[0.00168519597500959],[0.00136540342601857],[0.00103135862412564],[0.00154387307588655],[0.00180559500626817]]</v>
      </c>
    </row>
    <row r="146" spans="1:19" x14ac:dyDescent="0.2">
      <c r="A146" s="1" t="d">
        <v>2026-01-07</v>
      </c>
      <c r="B146">
        <f>daily_original_wrong!B146*total_from_MA_dashboard!B$24</f>
        <v>1.1949867450575895E-3</v>
      </c>
      <c r="C146">
        <f>daily_original_wrong!C146*total_from_MA_dashboard!C$24</f>
        <v>2.389973490115179E-3</v>
      </c>
      <c r="D146">
        <f>daily_original_wrong!D146*total_from_MA_dashboard!D$24</f>
        <v>1.68519597500959E-3</v>
      </c>
      <c r="E146">
        <f>daily_original_wrong!E146*total_from_MA_dashboard!E$24</f>
        <v>1.3654034260185675E-3</v>
      </c>
      <c r="F146">
        <f>daily_original_wrong!F146*total_from_MA_dashboard!F$24</f>
        <v>1.0313586241256407E-3</v>
      </c>
      <c r="G146">
        <f>daily_original_wrong!G146*total_from_MA_dashboard!G$24</f>
        <v>1.543873075886548E-3</v>
      </c>
      <c r="H146">
        <f>daily_original_wrong!H146*total_from_MA_dashboard!H$24</f>
        <v>1.8055950062681727E-3</v>
      </c>
      <c r="J146" t="str">
        <f t="shared" si="14"/>
        <v>[</v>
      </c>
      <c r="K146" t="str">
        <f t="shared" si="15"/>
        <v>[0.00119498674505759],</v>
      </c>
      <c r="L146" t="str">
        <f t="shared" si="13"/>
        <v>[0.00238997349011518],</v>
      </c>
      <c r="M146" t="str">
        <f t="shared" si="13"/>
        <v>[0.00168519597500959],</v>
      </c>
      <c r="N146" t="str">
        <f t="shared" si="13"/>
        <v>[0.00136540342601857],</v>
      </c>
      <c r="O146" t="str">
        <f t="shared" si="13"/>
        <v>[0.00103135862412564],</v>
      </c>
      <c r="P146" t="str">
        <f t="shared" si="13"/>
        <v>[0.00154387307588655],</v>
      </c>
      <c r="Q146" t="str">
        <f t="shared" si="16"/>
        <v>[0.00180559500626817]</v>
      </c>
      <c r="R146" t="str">
        <f t="shared" si="17"/>
        <v>]</v>
      </c>
      <c r="S146" t="str">
        <f t="shared" si="18"/>
        <v>[[0.00119498674505759],[0.00238997349011518],[0.00168519597500959],[0.00136540342601857],[0.00103135862412564],[0.00154387307588655],[0.00180559500626817]]</v>
      </c>
    </row>
    <row r="147" spans="1:19" x14ac:dyDescent="0.2">
      <c r="A147" s="1" t="d">
        <v>2026-01-08</v>
      </c>
      <c r="B147">
        <f>daily_original_wrong!B147*total_from_MA_dashboard!B$24</f>
        <v>1.1949867450575895E-3</v>
      </c>
      <c r="C147">
        <f>daily_original_wrong!C147*total_from_MA_dashboard!C$24</f>
        <v>2.389973490115179E-3</v>
      </c>
      <c r="D147">
        <f>daily_original_wrong!D147*total_from_MA_dashboard!D$24</f>
        <v>1.68519597500959E-3</v>
      </c>
      <c r="E147">
        <f>daily_original_wrong!E147*total_from_MA_dashboard!E$24</f>
        <v>1.3654034260185675E-3</v>
      </c>
      <c r="F147">
        <f>daily_original_wrong!F147*total_from_MA_dashboard!F$24</f>
        <v>1.0313586241256407E-3</v>
      </c>
      <c r="G147">
        <f>daily_original_wrong!G147*total_from_MA_dashboard!G$24</f>
        <v>1.543873075886548E-3</v>
      </c>
      <c r="H147">
        <f>daily_original_wrong!H147*total_from_MA_dashboard!H$24</f>
        <v>1.8055950062681727E-3</v>
      </c>
      <c r="J147" t="str">
        <f t="shared" si="14"/>
        <v>[</v>
      </c>
      <c r="K147" t="str">
        <f t="shared" si="15"/>
        <v>[0.00119498674505759],</v>
      </c>
      <c r="L147" t="str">
        <f t="shared" si="13"/>
        <v>[0.00238997349011518],</v>
      </c>
      <c r="M147" t="str">
        <f t="shared" si="13"/>
        <v>[0.00168519597500959],</v>
      </c>
      <c r="N147" t="str">
        <f t="shared" si="13"/>
        <v>[0.00136540342601857],</v>
      </c>
      <c r="O147" t="str">
        <f t="shared" si="13"/>
        <v>[0.00103135862412564],</v>
      </c>
      <c r="P147" t="str">
        <f t="shared" si="13"/>
        <v>[0.00154387307588655],</v>
      </c>
      <c r="Q147" t="str">
        <f t="shared" si="16"/>
        <v>[0.00180559500626817]</v>
      </c>
      <c r="R147" t="str">
        <f t="shared" si="17"/>
        <v>]</v>
      </c>
      <c r="S147" t="str">
        <f t="shared" si="18"/>
        <v>[[0.00119498674505759],[0.00238997349011518],[0.00168519597500959],[0.00136540342601857],[0.00103135862412564],[0.00154387307588655],[0.00180559500626817]]</v>
      </c>
    </row>
    <row r="148" spans="1:19" x14ac:dyDescent="0.2">
      <c r="A148" s="1" t="d">
        <v>2026-01-09</v>
      </c>
      <c r="B148">
        <f>daily_original_wrong!B148*total_from_MA_dashboard!B$24</f>
        <v>1.1949867450575895E-3</v>
      </c>
      <c r="C148">
        <f>daily_original_wrong!C148*total_from_MA_dashboard!C$24</f>
        <v>2.389973490115179E-3</v>
      </c>
      <c r="D148">
        <f>daily_original_wrong!D148*total_from_MA_dashboard!D$24</f>
        <v>1.68519597500959E-3</v>
      </c>
      <c r="E148">
        <f>daily_original_wrong!E148*total_from_MA_dashboard!E$24</f>
        <v>1.3654034260185675E-3</v>
      </c>
      <c r="F148">
        <f>daily_original_wrong!F148*total_from_MA_dashboard!F$24</f>
        <v>1.0313586241256407E-3</v>
      </c>
      <c r="G148">
        <f>daily_original_wrong!G148*total_from_MA_dashboard!G$24</f>
        <v>1.543873075886548E-3</v>
      </c>
      <c r="H148">
        <f>daily_original_wrong!H148*total_from_MA_dashboard!H$24</f>
        <v>1.8055950062681727E-3</v>
      </c>
      <c r="J148" t="str">
        <f t="shared" si="14"/>
        <v>[</v>
      </c>
      <c r="K148" t="str">
        <f t="shared" si="15"/>
        <v>[0.00119498674505759],</v>
      </c>
      <c r="L148" t="str">
        <f t="shared" si="13"/>
        <v>[0.00238997349011518],</v>
      </c>
      <c r="M148" t="str">
        <f t="shared" si="13"/>
        <v>[0.00168519597500959],</v>
      </c>
      <c r="N148" t="str">
        <f t="shared" si="13"/>
        <v>[0.00136540342601857],</v>
      </c>
      <c r="O148" t="str">
        <f t="shared" si="13"/>
        <v>[0.00103135862412564],</v>
      </c>
      <c r="P148" t="str">
        <f t="shared" si="13"/>
        <v>[0.00154387307588655],</v>
      </c>
      <c r="Q148" t="str">
        <f t="shared" si="16"/>
        <v>[0.00180559500626817]</v>
      </c>
      <c r="R148" t="str">
        <f t="shared" si="17"/>
        <v>]</v>
      </c>
      <c r="S148" t="str">
        <f t="shared" si="18"/>
        <v>[[0.00119498674505759],[0.00238997349011518],[0.00168519597500959],[0.00136540342601857],[0.00103135862412564],[0.00154387307588655],[0.00180559500626817]]</v>
      </c>
    </row>
    <row r="149" spans="1:19" x14ac:dyDescent="0.2">
      <c r="A149" s="1" t="d">
        <v>2026-01-10</v>
      </c>
      <c r="B149">
        <f>daily_original_wrong!B149*total_from_MA_dashboard!B$24</f>
        <v>4.0849152565662291E-4</v>
      </c>
      <c r="C149">
        <f>daily_original_wrong!C149*total_from_MA_dashboard!C$24</f>
        <v>8.1698305131324583E-4</v>
      </c>
      <c r="D149">
        <f>daily_original_wrong!D149*total_from_MA_dashboard!D$24</f>
        <v>6.3460931289461891E-4</v>
      </c>
      <c r="E149">
        <f>daily_original_wrong!E149*total_from_MA_dashboard!E$24</f>
        <v>4.9456173144314208E-4</v>
      </c>
      <c r="F149">
        <f>daily_original_wrong!F149*total_from_MA_dashboard!F$24</f>
        <v>5.0630846846758571E-4</v>
      </c>
      <c r="G149">
        <f>daily_original_wrong!G149*total_from_MA_dashboard!G$24</f>
        <v>6.1270288132527764E-4</v>
      </c>
      <c r="H149">
        <f>daily_original_wrong!H149*total_from_MA_dashboard!H$24</f>
        <v>8.760884533691118E-4</v>
      </c>
      <c r="J149" t="str">
        <f t="shared" si="14"/>
        <v>[</v>
      </c>
      <c r="K149" t="str">
        <f t="shared" si="15"/>
        <v>[0.000408491525656623],</v>
      </c>
      <c r="L149" t="str">
        <f t="shared" si="13"/>
        <v>[0.000816983051313246],</v>
      </c>
      <c r="M149" t="str">
        <f t="shared" si="13"/>
        <v>[0.000634609312894619],</v>
      </c>
      <c r="N149" t="str">
        <f t="shared" si="13"/>
        <v>[0.000494561731443142],</v>
      </c>
      <c r="O149" t="str">
        <f t="shared" si="13"/>
        <v>[0.000506308468467586],</v>
      </c>
      <c r="P149" t="str">
        <f t="shared" si="13"/>
        <v>[0.000612702881325278],</v>
      </c>
      <c r="Q149" t="str">
        <f t="shared" si="16"/>
        <v>[0.000876088453369112]</v>
      </c>
      <c r="R149" t="str">
        <f t="shared" si="17"/>
        <v>]</v>
      </c>
      <c r="S149" t="str">
        <f t="shared" si="18"/>
        <v>[[0.000408491525656623],[0.000816983051313246],[0.000634609312894619],[0.000494561731443142],[0.000506308468467586],[0.000612702881325278],[0.000876088453369112]]</v>
      </c>
    </row>
    <row r="150" spans="1:19" x14ac:dyDescent="0.2">
      <c r="A150" s="1" t="d">
        <v>2026-01-11</v>
      </c>
      <c r="B150">
        <f>daily_original_wrong!B150*total_from_MA_dashboard!B$24</f>
        <v>4.0849152565662291E-4</v>
      </c>
      <c r="C150">
        <f>daily_original_wrong!C150*total_from_MA_dashboard!C$24</f>
        <v>8.1698305131324583E-4</v>
      </c>
      <c r="D150">
        <f>daily_original_wrong!D150*total_from_MA_dashboard!D$24</f>
        <v>6.3460931289461891E-4</v>
      </c>
      <c r="E150">
        <f>daily_original_wrong!E150*total_from_MA_dashboard!E$24</f>
        <v>4.9456173144314208E-4</v>
      </c>
      <c r="F150">
        <f>daily_original_wrong!F150*total_from_MA_dashboard!F$24</f>
        <v>5.0630846846758571E-4</v>
      </c>
      <c r="G150">
        <f>daily_original_wrong!G150*total_from_MA_dashboard!G$24</f>
        <v>6.1270288132527764E-4</v>
      </c>
      <c r="H150">
        <f>daily_original_wrong!H150*total_from_MA_dashboard!H$24</f>
        <v>8.760884533691118E-4</v>
      </c>
      <c r="J150" t="str">
        <f t="shared" si="14"/>
        <v>[</v>
      </c>
      <c r="K150" t="str">
        <f t="shared" si="15"/>
        <v>[0.000408491525656623],</v>
      </c>
      <c r="L150" t="str">
        <f t="shared" si="13"/>
        <v>[0.000816983051313246],</v>
      </c>
      <c r="M150" t="str">
        <f t="shared" si="13"/>
        <v>[0.000634609312894619],</v>
      </c>
      <c r="N150" t="str">
        <f t="shared" si="13"/>
        <v>[0.000494561731443142],</v>
      </c>
      <c r="O150" t="str">
        <f t="shared" si="13"/>
        <v>[0.000506308468467586],</v>
      </c>
      <c r="P150" t="str">
        <f t="shared" si="13"/>
        <v>[0.000612702881325278],</v>
      </c>
      <c r="Q150" t="str">
        <f t="shared" si="16"/>
        <v>[0.000876088453369112]</v>
      </c>
      <c r="R150" t="str">
        <f t="shared" si="17"/>
        <v>]</v>
      </c>
      <c r="S150" t="str">
        <f t="shared" si="18"/>
        <v>[[0.000408491525656623],[0.000816983051313246],[0.000634609312894619],[0.000494561731443142],[0.000506308468467586],[0.000612702881325278],[0.000876088453369112]]</v>
      </c>
    </row>
    <row r="151" spans="1:19" x14ac:dyDescent="0.2">
      <c r="A151" s="1" t="d">
        <v>2026-01-12</v>
      </c>
      <c r="B151">
        <f>daily_original_wrong!B151*total_from_MA_dashboard!B$24</f>
        <v>4.0849152565662291E-4</v>
      </c>
      <c r="C151">
        <f>daily_original_wrong!C151*total_from_MA_dashboard!C$24</f>
        <v>8.1698305131324583E-4</v>
      </c>
      <c r="D151">
        <f>daily_original_wrong!D151*total_from_MA_dashboard!D$24</f>
        <v>6.3460931289461891E-4</v>
      </c>
      <c r="E151">
        <f>daily_original_wrong!E151*total_from_MA_dashboard!E$24</f>
        <v>4.9456173144314208E-4</v>
      </c>
      <c r="F151">
        <f>daily_original_wrong!F151*total_from_MA_dashboard!F$24</f>
        <v>5.0630846846758571E-4</v>
      </c>
      <c r="G151">
        <f>daily_original_wrong!G151*total_from_MA_dashboard!G$24</f>
        <v>6.1270288132527764E-4</v>
      </c>
      <c r="H151">
        <f>daily_original_wrong!H151*total_from_MA_dashboard!H$24</f>
        <v>8.760884533691118E-4</v>
      </c>
      <c r="J151" t="str">
        <f t="shared" si="14"/>
        <v>[</v>
      </c>
      <c r="K151" t="str">
        <f t="shared" si="15"/>
        <v>[0.000408491525656623],</v>
      </c>
      <c r="L151" t="str">
        <f t="shared" si="13"/>
        <v>[0.000816983051313246],</v>
      </c>
      <c r="M151" t="str">
        <f t="shared" si="13"/>
        <v>[0.000634609312894619],</v>
      </c>
      <c r="N151" t="str">
        <f t="shared" si="13"/>
        <v>[0.000494561731443142],</v>
      </c>
      <c r="O151" t="str">
        <f t="shared" si="13"/>
        <v>[0.000506308468467586],</v>
      </c>
      <c r="P151" t="str">
        <f t="shared" si="13"/>
        <v>[0.000612702881325278],</v>
      </c>
      <c r="Q151" t="str">
        <f t="shared" si="16"/>
        <v>[0.000876088453369112]</v>
      </c>
      <c r="R151" t="str">
        <f t="shared" si="17"/>
        <v>]</v>
      </c>
      <c r="S151" t="str">
        <f t="shared" si="18"/>
        <v>[[0.000408491525656623],[0.000816983051313246],[0.000634609312894619],[0.000494561731443142],[0.000506308468467586],[0.000612702881325278],[0.000876088453369112]]</v>
      </c>
    </row>
    <row r="152" spans="1:19" x14ac:dyDescent="0.2">
      <c r="A152" s="1" t="d">
        <v>2026-01-13</v>
      </c>
      <c r="B152">
        <f>daily_original_wrong!B152*total_from_MA_dashboard!B$24</f>
        <v>4.0849152565662291E-4</v>
      </c>
      <c r="C152">
        <f>daily_original_wrong!C152*total_from_MA_dashboard!C$24</f>
        <v>8.1698305131324583E-4</v>
      </c>
      <c r="D152">
        <f>daily_original_wrong!D152*total_from_MA_dashboard!D$24</f>
        <v>6.3460931289461891E-4</v>
      </c>
      <c r="E152">
        <f>daily_original_wrong!E152*total_from_MA_dashboard!E$24</f>
        <v>4.9456173144314208E-4</v>
      </c>
      <c r="F152">
        <f>daily_original_wrong!F152*total_from_MA_dashboard!F$24</f>
        <v>5.0630846846758571E-4</v>
      </c>
      <c r="G152">
        <f>daily_original_wrong!G152*total_from_MA_dashboard!G$24</f>
        <v>6.1270288132527764E-4</v>
      </c>
      <c r="H152">
        <f>daily_original_wrong!H152*total_from_MA_dashboard!H$24</f>
        <v>8.760884533691118E-4</v>
      </c>
      <c r="J152" t="str">
        <f t="shared" si="14"/>
        <v>[</v>
      </c>
      <c r="K152" t="str">
        <f t="shared" si="15"/>
        <v>[0.000408491525656623],</v>
      </c>
      <c r="L152" t="str">
        <f t="shared" si="13"/>
        <v>[0.000816983051313246],</v>
      </c>
      <c r="M152" t="str">
        <f t="shared" si="13"/>
        <v>[0.000634609312894619],</v>
      </c>
      <c r="N152" t="str">
        <f t="shared" si="13"/>
        <v>[0.000494561731443142],</v>
      </c>
      <c r="O152" t="str">
        <f t="shared" si="13"/>
        <v>[0.000506308468467586],</v>
      </c>
      <c r="P152" t="str">
        <f t="shared" si="13"/>
        <v>[0.000612702881325278],</v>
      </c>
      <c r="Q152" t="str">
        <f t="shared" si="16"/>
        <v>[0.000876088453369112]</v>
      </c>
      <c r="R152" t="str">
        <f t="shared" si="17"/>
        <v>]</v>
      </c>
      <c r="S152" t="str">
        <f t="shared" si="18"/>
        <v>[[0.000408491525656623],[0.000816983051313246],[0.000634609312894619],[0.000494561731443142],[0.000506308468467586],[0.000612702881325278],[0.000876088453369112]]</v>
      </c>
    </row>
    <row r="153" spans="1:19" x14ac:dyDescent="0.2">
      <c r="A153" s="1" t="d">
        <v>2026-01-14</v>
      </c>
      <c r="B153">
        <f>daily_original_wrong!B153*total_from_MA_dashboard!B$24</f>
        <v>4.0849152565662291E-4</v>
      </c>
      <c r="C153">
        <f>daily_original_wrong!C153*total_from_MA_dashboard!C$24</f>
        <v>8.1698305131324583E-4</v>
      </c>
      <c r="D153">
        <f>daily_original_wrong!D153*total_from_MA_dashboard!D$24</f>
        <v>6.3460931289461891E-4</v>
      </c>
      <c r="E153">
        <f>daily_original_wrong!E153*total_from_MA_dashboard!E$24</f>
        <v>4.9456173144314208E-4</v>
      </c>
      <c r="F153">
        <f>daily_original_wrong!F153*total_from_MA_dashboard!F$24</f>
        <v>5.0630846846758571E-4</v>
      </c>
      <c r="G153">
        <f>daily_original_wrong!G153*total_from_MA_dashboard!G$24</f>
        <v>6.1270288132527764E-4</v>
      </c>
      <c r="H153">
        <f>daily_original_wrong!H153*total_from_MA_dashboard!H$24</f>
        <v>8.760884533691118E-4</v>
      </c>
      <c r="J153" t="str">
        <f t="shared" si="14"/>
        <v>[</v>
      </c>
      <c r="K153" t="str">
        <f t="shared" si="15"/>
        <v>[0.000408491525656623],</v>
      </c>
      <c r="L153" t="str">
        <f t="shared" si="13"/>
        <v>[0.000816983051313246],</v>
      </c>
      <c r="M153" t="str">
        <f t="shared" si="13"/>
        <v>[0.000634609312894619],</v>
      </c>
      <c r="N153" t="str">
        <f t="shared" si="13"/>
        <v>[0.000494561731443142],</v>
      </c>
      <c r="O153" t="str">
        <f t="shared" si="13"/>
        <v>[0.000506308468467586],</v>
      </c>
      <c r="P153" t="str">
        <f t="shared" si="13"/>
        <v>[0.000612702881325278],</v>
      </c>
      <c r="Q153" t="str">
        <f t="shared" si="16"/>
        <v>[0.000876088453369112]</v>
      </c>
      <c r="R153" t="str">
        <f t="shared" si="17"/>
        <v>]</v>
      </c>
      <c r="S153" t="str">
        <f t="shared" si="18"/>
        <v>[[0.000408491525656623],[0.000816983051313246],[0.000634609312894619],[0.000494561731443142],[0.000506308468467586],[0.000612702881325278],[0.000876088453369112]]</v>
      </c>
    </row>
    <row r="154" spans="1:19" x14ac:dyDescent="0.2">
      <c r="A154" s="1" t="d">
        <v>2026-01-15</v>
      </c>
      <c r="B154">
        <f>daily_original_wrong!B154*total_from_MA_dashboard!B$24</f>
        <v>4.0849152565662291E-4</v>
      </c>
      <c r="C154">
        <f>daily_original_wrong!C154*total_from_MA_dashboard!C$24</f>
        <v>8.1698305131324583E-4</v>
      </c>
      <c r="D154">
        <f>daily_original_wrong!D154*total_from_MA_dashboard!D$24</f>
        <v>6.3460931289461891E-4</v>
      </c>
      <c r="E154">
        <f>daily_original_wrong!E154*total_from_MA_dashboard!E$24</f>
        <v>4.9456173144314208E-4</v>
      </c>
      <c r="F154">
        <f>daily_original_wrong!F154*total_from_MA_dashboard!F$24</f>
        <v>5.0630846846758571E-4</v>
      </c>
      <c r="G154">
        <f>daily_original_wrong!G154*total_from_MA_dashboard!G$24</f>
        <v>6.1270288132527764E-4</v>
      </c>
      <c r="H154">
        <f>daily_original_wrong!H154*total_from_MA_dashboard!H$24</f>
        <v>8.760884533691118E-4</v>
      </c>
      <c r="J154" t="str">
        <f t="shared" si="14"/>
        <v>[</v>
      </c>
      <c r="K154" t="str">
        <f t="shared" si="15"/>
        <v>[0.000408491525656623],</v>
      </c>
      <c r="L154" t="str">
        <f t="shared" si="13"/>
        <v>[0.000816983051313246],</v>
      </c>
      <c r="M154" t="str">
        <f t="shared" si="13"/>
        <v>[0.000634609312894619],</v>
      </c>
      <c r="N154" t="str">
        <f t="shared" si="13"/>
        <v>[0.000494561731443142],</v>
      </c>
      <c r="O154" t="str">
        <f t="shared" si="13"/>
        <v>[0.000506308468467586],</v>
      </c>
      <c r="P154" t="str">
        <f t="shared" si="13"/>
        <v>[0.000612702881325278],</v>
      </c>
      <c r="Q154" t="str">
        <f t="shared" si="16"/>
        <v>[0.000876088453369112]</v>
      </c>
      <c r="R154" t="str">
        <f t="shared" si="17"/>
        <v>]</v>
      </c>
      <c r="S154" t="str">
        <f t="shared" si="18"/>
        <v>[[0.000408491525656623],[0.000816983051313246],[0.000634609312894619],[0.000494561731443142],[0.000506308468467586],[0.000612702881325278],[0.000876088453369112]]</v>
      </c>
    </row>
    <row r="155" spans="1:19" x14ac:dyDescent="0.2">
      <c r="A155" s="1" t="d">
        <v>2026-01-16</v>
      </c>
      <c r="B155">
        <f>daily_original_wrong!B155*total_from_MA_dashboard!B$24</f>
        <v>4.0849152565662291E-4</v>
      </c>
      <c r="C155">
        <f>daily_original_wrong!C155*total_from_MA_dashboard!C$24</f>
        <v>8.1698305131324583E-4</v>
      </c>
      <c r="D155">
        <f>daily_original_wrong!D155*total_from_MA_dashboard!D$24</f>
        <v>6.3460931289461891E-4</v>
      </c>
      <c r="E155">
        <f>daily_original_wrong!E155*total_from_MA_dashboard!E$24</f>
        <v>4.9456173144314208E-4</v>
      </c>
      <c r="F155">
        <f>daily_original_wrong!F155*total_from_MA_dashboard!F$24</f>
        <v>5.0630846846758571E-4</v>
      </c>
      <c r="G155">
        <f>daily_original_wrong!G155*total_from_MA_dashboard!G$24</f>
        <v>6.1270288132527764E-4</v>
      </c>
      <c r="H155">
        <f>daily_original_wrong!H155*total_from_MA_dashboard!H$24</f>
        <v>8.760884533691118E-4</v>
      </c>
      <c r="J155" t="str">
        <f t="shared" si="14"/>
        <v>[</v>
      </c>
      <c r="K155" t="str">
        <f t="shared" si="15"/>
        <v>[0.000408491525656623],</v>
      </c>
      <c r="L155" t="str">
        <f t="shared" si="13"/>
        <v>[0.000816983051313246],</v>
      </c>
      <c r="M155" t="str">
        <f t="shared" si="13"/>
        <v>[0.000634609312894619],</v>
      </c>
      <c r="N155" t="str">
        <f t="shared" si="13"/>
        <v>[0.000494561731443142],</v>
      </c>
      <c r="O155" t="str">
        <f t="shared" si="13"/>
        <v>[0.000506308468467586],</v>
      </c>
      <c r="P155" t="str">
        <f t="shared" si="13"/>
        <v>[0.000612702881325278],</v>
      </c>
      <c r="Q155" t="str">
        <f t="shared" si="16"/>
        <v>[0.000876088453369112]</v>
      </c>
      <c r="R155" t="str">
        <f t="shared" si="17"/>
        <v>]</v>
      </c>
      <c r="S155" t="str">
        <f t="shared" si="18"/>
        <v>[[0.000408491525656623],[0.000816983051313246],[0.000634609312894619],[0.000494561731443142],[0.000506308468467586],[0.000612702881325278],[0.000876088453369112]]</v>
      </c>
    </row>
    <row r="156" spans="1:19" x14ac:dyDescent="0.2">
      <c r="A156" s="1" t="d">
        <v>2026-01-17</v>
      </c>
      <c r="B156">
        <f>daily_original_wrong!B156*total_from_MA_dashboard!B$24</f>
        <v>3.1481310992504064E-4</v>
      </c>
      <c r="C156">
        <f>daily_original_wrong!C156*total_from_MA_dashboard!C$24</f>
        <v>6.2962621985008127E-4</v>
      </c>
      <c r="D156">
        <f>daily_original_wrong!D156*total_from_MA_dashboard!D$24</f>
        <v>5.5118686874099532E-4</v>
      </c>
      <c r="E156">
        <f>daily_original_wrong!E156*total_from_MA_dashboard!E$24</f>
        <v>4.1702731696927563E-4</v>
      </c>
      <c r="F156">
        <f>daily_original_wrong!F156*total_from_MA_dashboard!F$24</f>
        <v>5.4194596556196876E-4</v>
      </c>
      <c r="G156">
        <f>daily_original_wrong!G156*total_from_MA_dashboard!G$24</f>
        <v>5.571421874639138E-4</v>
      </c>
      <c r="H156">
        <f>daily_original_wrong!H156*total_from_MA_dashboard!H$24</f>
        <v>9.2211284954256314E-4</v>
      </c>
      <c r="J156" t="str">
        <f t="shared" si="14"/>
        <v>[</v>
      </c>
      <c r="K156" t="str">
        <f t="shared" si="15"/>
        <v>[0.000314813109925041],</v>
      </c>
      <c r="L156" t="str">
        <f t="shared" ref="L156:P206" si="19">"["&amp;C156&amp;"],"</f>
        <v>[0.000629626219850081],</v>
      </c>
      <c r="M156" t="str">
        <f t="shared" si="19"/>
        <v>[0.000551186868740995],</v>
      </c>
      <c r="N156" t="str">
        <f t="shared" si="19"/>
        <v>[0.000417027316969276],</v>
      </c>
      <c r="O156" t="str">
        <f t="shared" si="19"/>
        <v>[0.000541945965561969],</v>
      </c>
      <c r="P156" t="str">
        <f t="shared" si="19"/>
        <v>[0.000557142187463914],</v>
      </c>
      <c r="Q156" t="str">
        <f t="shared" si="16"/>
        <v>[0.000922112849542563]</v>
      </c>
      <c r="R156" t="str">
        <f t="shared" si="17"/>
        <v>]</v>
      </c>
      <c r="S156" t="str">
        <f t="shared" si="18"/>
        <v>[[0.000314813109925041],[0.000629626219850081],[0.000551186868740995],[0.000417027316969276],[0.000541945965561969],[0.000557142187463914],[0.000922112849542563]]</v>
      </c>
    </row>
    <row r="157" spans="1:19" x14ac:dyDescent="0.2">
      <c r="A157" s="1" t="d">
        <v>2026-01-18</v>
      </c>
      <c r="B157">
        <f>daily_original_wrong!B157*total_from_MA_dashboard!B$24</f>
        <v>3.1481310992504064E-4</v>
      </c>
      <c r="C157">
        <f>daily_original_wrong!C157*total_from_MA_dashboard!C$24</f>
        <v>6.2962621985008127E-4</v>
      </c>
      <c r="D157">
        <f>daily_original_wrong!D157*total_from_MA_dashboard!D$24</f>
        <v>5.5118686874099532E-4</v>
      </c>
      <c r="E157">
        <f>daily_original_wrong!E157*total_from_MA_dashboard!E$24</f>
        <v>4.1702731696927563E-4</v>
      </c>
      <c r="F157">
        <f>daily_original_wrong!F157*total_from_MA_dashboard!F$24</f>
        <v>5.4194596556196876E-4</v>
      </c>
      <c r="G157">
        <f>daily_original_wrong!G157*total_from_MA_dashboard!G$24</f>
        <v>5.571421874639138E-4</v>
      </c>
      <c r="H157">
        <f>daily_original_wrong!H157*total_from_MA_dashboard!H$24</f>
        <v>9.2211284954256314E-4</v>
      </c>
      <c r="J157" t="str">
        <f t="shared" si="14"/>
        <v>[</v>
      </c>
      <c r="K157" t="str">
        <f t="shared" si="15"/>
        <v>[0.000314813109925041],</v>
      </c>
      <c r="L157" t="str">
        <f t="shared" si="19"/>
        <v>[0.000629626219850081],</v>
      </c>
      <c r="M157" t="str">
        <f t="shared" si="19"/>
        <v>[0.000551186868740995],</v>
      </c>
      <c r="N157" t="str">
        <f t="shared" si="19"/>
        <v>[0.000417027316969276],</v>
      </c>
      <c r="O157" t="str">
        <f t="shared" si="19"/>
        <v>[0.000541945965561969],</v>
      </c>
      <c r="P157" t="str">
        <f t="shared" si="19"/>
        <v>[0.000557142187463914],</v>
      </c>
      <c r="Q157" t="str">
        <f t="shared" si="16"/>
        <v>[0.000922112849542563]</v>
      </c>
      <c r="R157" t="str">
        <f t="shared" si="17"/>
        <v>]</v>
      </c>
      <c r="S157" t="str">
        <f t="shared" si="18"/>
        <v>[[0.000314813109925041],[0.000629626219850081],[0.000551186868740995],[0.000417027316969276],[0.000541945965561969],[0.000557142187463914],[0.000922112849542563]]</v>
      </c>
    </row>
    <row r="158" spans="1:19" x14ac:dyDescent="0.2">
      <c r="A158" s="1" t="d">
        <v>2026-01-19</v>
      </c>
      <c r="B158">
        <f>daily_original_wrong!B158*total_from_MA_dashboard!B$24</f>
        <v>3.1481310992504064E-4</v>
      </c>
      <c r="C158">
        <f>daily_original_wrong!C158*total_from_MA_dashboard!C$24</f>
        <v>6.2962621985008127E-4</v>
      </c>
      <c r="D158">
        <f>daily_original_wrong!D158*total_from_MA_dashboard!D$24</f>
        <v>5.5118686874099532E-4</v>
      </c>
      <c r="E158">
        <f>daily_original_wrong!E158*total_from_MA_dashboard!E$24</f>
        <v>4.1702731696927563E-4</v>
      </c>
      <c r="F158">
        <f>daily_original_wrong!F158*total_from_MA_dashboard!F$24</f>
        <v>5.4194596556196876E-4</v>
      </c>
      <c r="G158">
        <f>daily_original_wrong!G158*total_from_MA_dashboard!G$24</f>
        <v>5.571421874639138E-4</v>
      </c>
      <c r="H158">
        <f>daily_original_wrong!H158*total_from_MA_dashboard!H$24</f>
        <v>9.2211284954256314E-4</v>
      </c>
      <c r="J158" t="str">
        <f t="shared" si="14"/>
        <v>[</v>
      </c>
      <c r="K158" t="str">
        <f t="shared" si="15"/>
        <v>[0.000314813109925041],</v>
      </c>
      <c r="L158" t="str">
        <f t="shared" si="19"/>
        <v>[0.000629626219850081],</v>
      </c>
      <c r="M158" t="str">
        <f t="shared" si="19"/>
        <v>[0.000551186868740995],</v>
      </c>
      <c r="N158" t="str">
        <f t="shared" si="19"/>
        <v>[0.000417027316969276],</v>
      </c>
      <c r="O158" t="str">
        <f t="shared" si="19"/>
        <v>[0.000541945965561969],</v>
      </c>
      <c r="P158" t="str">
        <f t="shared" si="19"/>
        <v>[0.000557142187463914],</v>
      </c>
      <c r="Q158" t="str">
        <f t="shared" si="16"/>
        <v>[0.000922112849542563]</v>
      </c>
      <c r="R158" t="str">
        <f t="shared" si="17"/>
        <v>]</v>
      </c>
      <c r="S158" t="str">
        <f t="shared" si="18"/>
        <v>[[0.000314813109925041],[0.000629626219850081],[0.000551186868740995],[0.000417027316969276],[0.000541945965561969],[0.000557142187463914],[0.000922112849542563]]</v>
      </c>
    </row>
    <row r="159" spans="1:19" x14ac:dyDescent="0.2">
      <c r="A159" s="1" t="d">
        <v>2026-01-20</v>
      </c>
      <c r="B159">
        <f>daily_original_wrong!B159*total_from_MA_dashboard!B$24</f>
        <v>3.1481310992504064E-4</v>
      </c>
      <c r="C159">
        <f>daily_original_wrong!C159*total_from_MA_dashboard!C$24</f>
        <v>6.2962621985008127E-4</v>
      </c>
      <c r="D159">
        <f>daily_original_wrong!D159*total_from_MA_dashboard!D$24</f>
        <v>5.5118686874099532E-4</v>
      </c>
      <c r="E159">
        <f>daily_original_wrong!E159*total_from_MA_dashboard!E$24</f>
        <v>4.1702731696927563E-4</v>
      </c>
      <c r="F159">
        <f>daily_original_wrong!F159*total_from_MA_dashboard!F$24</f>
        <v>5.4194596556196876E-4</v>
      </c>
      <c r="G159">
        <f>daily_original_wrong!G159*total_from_MA_dashboard!G$24</f>
        <v>5.571421874639138E-4</v>
      </c>
      <c r="H159">
        <f>daily_original_wrong!H159*total_from_MA_dashboard!H$24</f>
        <v>9.2211284954256314E-4</v>
      </c>
      <c r="J159" t="str">
        <f t="shared" si="14"/>
        <v>[</v>
      </c>
      <c r="K159" t="str">
        <f t="shared" si="15"/>
        <v>[0.000314813109925041],</v>
      </c>
      <c r="L159" t="str">
        <f t="shared" si="19"/>
        <v>[0.000629626219850081],</v>
      </c>
      <c r="M159" t="str">
        <f t="shared" si="19"/>
        <v>[0.000551186868740995],</v>
      </c>
      <c r="N159" t="str">
        <f t="shared" si="19"/>
        <v>[0.000417027316969276],</v>
      </c>
      <c r="O159" t="str">
        <f t="shared" si="19"/>
        <v>[0.000541945965561969],</v>
      </c>
      <c r="P159" t="str">
        <f t="shared" si="19"/>
        <v>[0.000557142187463914],</v>
      </c>
      <c r="Q159" t="str">
        <f t="shared" si="16"/>
        <v>[0.000922112849542563]</v>
      </c>
      <c r="R159" t="str">
        <f t="shared" si="17"/>
        <v>]</v>
      </c>
      <c r="S159" t="str">
        <f t="shared" si="18"/>
        <v>[[0.000314813109925041],[0.000629626219850081],[0.000551186868740995],[0.000417027316969276],[0.000541945965561969],[0.000557142187463914],[0.000922112849542563]]</v>
      </c>
    </row>
    <row r="160" spans="1:19" x14ac:dyDescent="0.2">
      <c r="A160" s="1" t="d">
        <v>2026-01-21</v>
      </c>
      <c r="B160">
        <f>daily_original_wrong!B160*total_from_MA_dashboard!B$24</f>
        <v>3.1481310992504064E-4</v>
      </c>
      <c r="C160">
        <f>daily_original_wrong!C160*total_from_MA_dashboard!C$24</f>
        <v>6.2962621985008127E-4</v>
      </c>
      <c r="D160">
        <f>daily_original_wrong!D160*total_from_MA_dashboard!D$24</f>
        <v>5.5118686874099532E-4</v>
      </c>
      <c r="E160">
        <f>daily_original_wrong!E160*total_from_MA_dashboard!E$24</f>
        <v>4.1702731696927563E-4</v>
      </c>
      <c r="F160">
        <f>daily_original_wrong!F160*total_from_MA_dashboard!F$24</f>
        <v>5.4194596556196876E-4</v>
      </c>
      <c r="G160">
        <f>daily_original_wrong!G160*total_from_MA_dashboard!G$24</f>
        <v>5.571421874639138E-4</v>
      </c>
      <c r="H160">
        <f>daily_original_wrong!H160*total_from_MA_dashboard!H$24</f>
        <v>9.2211284954256314E-4</v>
      </c>
      <c r="J160" t="str">
        <f t="shared" si="14"/>
        <v>[</v>
      </c>
      <c r="K160" t="str">
        <f t="shared" si="15"/>
        <v>[0.000314813109925041],</v>
      </c>
      <c r="L160" t="str">
        <f t="shared" si="19"/>
        <v>[0.000629626219850081],</v>
      </c>
      <c r="M160" t="str">
        <f t="shared" si="19"/>
        <v>[0.000551186868740995],</v>
      </c>
      <c r="N160" t="str">
        <f t="shared" si="19"/>
        <v>[0.000417027316969276],</v>
      </c>
      <c r="O160" t="str">
        <f t="shared" si="19"/>
        <v>[0.000541945965561969],</v>
      </c>
      <c r="P160" t="str">
        <f t="shared" si="19"/>
        <v>[0.000557142187463914],</v>
      </c>
      <c r="Q160" t="str">
        <f t="shared" si="16"/>
        <v>[0.000922112849542563]</v>
      </c>
      <c r="R160" t="str">
        <f t="shared" si="17"/>
        <v>]</v>
      </c>
      <c r="S160" t="str">
        <f t="shared" si="18"/>
        <v>[[0.000314813109925041],[0.000629626219850081],[0.000551186868740995],[0.000417027316969276],[0.000541945965561969],[0.000557142187463914],[0.000922112849542563]]</v>
      </c>
    </row>
    <row r="161" spans="1:19" x14ac:dyDescent="0.2">
      <c r="A161" s="1" t="d">
        <v>2026-01-22</v>
      </c>
      <c r="B161">
        <f>daily_original_wrong!B161*total_from_MA_dashboard!B$24</f>
        <v>3.1481310992504064E-4</v>
      </c>
      <c r="C161">
        <f>daily_original_wrong!C161*total_from_MA_dashboard!C$24</f>
        <v>6.2962621985008127E-4</v>
      </c>
      <c r="D161">
        <f>daily_original_wrong!D161*total_from_MA_dashboard!D$24</f>
        <v>5.5118686874099532E-4</v>
      </c>
      <c r="E161">
        <f>daily_original_wrong!E161*total_from_MA_dashboard!E$24</f>
        <v>4.1702731696927563E-4</v>
      </c>
      <c r="F161">
        <f>daily_original_wrong!F161*total_from_MA_dashboard!F$24</f>
        <v>5.4194596556196876E-4</v>
      </c>
      <c r="G161">
        <f>daily_original_wrong!G161*total_from_MA_dashboard!G$24</f>
        <v>5.571421874639138E-4</v>
      </c>
      <c r="H161">
        <f>daily_original_wrong!H161*total_from_MA_dashboard!H$24</f>
        <v>9.2211284954256314E-4</v>
      </c>
      <c r="J161" t="str">
        <f t="shared" si="14"/>
        <v>[</v>
      </c>
      <c r="K161" t="str">
        <f t="shared" si="15"/>
        <v>[0.000314813109925041],</v>
      </c>
      <c r="L161" t="str">
        <f t="shared" si="19"/>
        <v>[0.000629626219850081],</v>
      </c>
      <c r="M161" t="str">
        <f t="shared" si="19"/>
        <v>[0.000551186868740995],</v>
      </c>
      <c r="N161" t="str">
        <f t="shared" si="19"/>
        <v>[0.000417027316969276],</v>
      </c>
      <c r="O161" t="str">
        <f t="shared" si="19"/>
        <v>[0.000541945965561969],</v>
      </c>
      <c r="P161" t="str">
        <f t="shared" si="19"/>
        <v>[0.000557142187463914],</v>
      </c>
      <c r="Q161" t="str">
        <f t="shared" si="16"/>
        <v>[0.000922112849542563]</v>
      </c>
      <c r="R161" t="str">
        <f t="shared" si="17"/>
        <v>]</v>
      </c>
      <c r="S161" t="str">
        <f t="shared" si="18"/>
        <v>[[0.000314813109925041],[0.000629626219850081],[0.000551186868740995],[0.000417027316969276],[0.000541945965561969],[0.000557142187463914],[0.000922112849542563]]</v>
      </c>
    </row>
    <row r="162" spans="1:19" x14ac:dyDescent="0.2">
      <c r="A162" s="1" t="d">
        <v>2026-01-23</v>
      </c>
      <c r="B162">
        <f>daily_original_wrong!B162*total_from_MA_dashboard!B$24</f>
        <v>3.1481310992504064E-4</v>
      </c>
      <c r="C162">
        <f>daily_original_wrong!C162*total_from_MA_dashboard!C$24</f>
        <v>6.2962621985008127E-4</v>
      </c>
      <c r="D162">
        <f>daily_original_wrong!D162*total_from_MA_dashboard!D$24</f>
        <v>5.5118686874099532E-4</v>
      </c>
      <c r="E162">
        <f>daily_original_wrong!E162*total_from_MA_dashboard!E$24</f>
        <v>4.1702731696927563E-4</v>
      </c>
      <c r="F162">
        <f>daily_original_wrong!F162*total_from_MA_dashboard!F$24</f>
        <v>5.4194596556196876E-4</v>
      </c>
      <c r="G162">
        <f>daily_original_wrong!G162*total_from_MA_dashboard!G$24</f>
        <v>5.571421874639138E-4</v>
      </c>
      <c r="H162">
        <f>daily_original_wrong!H162*total_from_MA_dashboard!H$24</f>
        <v>9.2211284954256314E-4</v>
      </c>
      <c r="J162" t="str">
        <f t="shared" si="14"/>
        <v>[</v>
      </c>
      <c r="K162" t="str">
        <f t="shared" si="15"/>
        <v>[0.000314813109925041],</v>
      </c>
      <c r="L162" t="str">
        <f t="shared" si="19"/>
        <v>[0.000629626219850081],</v>
      </c>
      <c r="M162" t="str">
        <f t="shared" si="19"/>
        <v>[0.000551186868740995],</v>
      </c>
      <c r="N162" t="str">
        <f t="shared" si="19"/>
        <v>[0.000417027316969276],</v>
      </c>
      <c r="O162" t="str">
        <f t="shared" si="19"/>
        <v>[0.000541945965561969],</v>
      </c>
      <c r="P162" t="str">
        <f t="shared" si="19"/>
        <v>[0.000557142187463914],</v>
      </c>
      <c r="Q162" t="str">
        <f t="shared" si="16"/>
        <v>[0.000922112849542563]</v>
      </c>
      <c r="R162" t="str">
        <f t="shared" si="17"/>
        <v>]</v>
      </c>
      <c r="S162" t="str">
        <f t="shared" si="18"/>
        <v>[[0.000314813109925041],[0.000629626219850081],[0.000551186868740995],[0.000417027316969276],[0.000541945965561969],[0.000557142187463914],[0.000922112849542563]]</v>
      </c>
    </row>
    <row r="163" spans="1:19" x14ac:dyDescent="0.2">
      <c r="A163" s="1" t="d">
        <v>2026-01-24</v>
      </c>
      <c r="B163">
        <f>daily_original_wrong!B163*total_from_MA_dashboard!B$24</f>
        <v>2.2135488157603485E-4</v>
      </c>
      <c r="C163">
        <f>daily_original_wrong!C163*total_from_MA_dashboard!C$24</f>
        <v>4.427097631520697E-4</v>
      </c>
      <c r="D163">
        <f>daily_original_wrong!D163*total_from_MA_dashboard!D$24</f>
        <v>4.1848147347595176E-4</v>
      </c>
      <c r="E163">
        <f>daily_original_wrong!E163*total_from_MA_dashboard!E$24</f>
        <v>3.0832043474984187E-4</v>
      </c>
      <c r="F163">
        <f>daily_original_wrong!F163*total_from_MA_dashboard!F$24</f>
        <v>4.8275307724884045E-4</v>
      </c>
      <c r="G163">
        <f>daily_original_wrong!G163*total_from_MA_dashboard!G$24</f>
        <v>4.4939442365743551E-4</v>
      </c>
      <c r="H163">
        <f>daily_original_wrong!H163*total_from_MA_dashboard!H$24</f>
        <v>7.8963460515415768E-4</v>
      </c>
      <c r="J163" t="str">
        <f t="shared" si="14"/>
        <v>[</v>
      </c>
      <c r="K163" t="str">
        <f t="shared" si="15"/>
        <v>[0.000221354881576035],</v>
      </c>
      <c r="L163" t="str">
        <f t="shared" si="19"/>
        <v>[0.00044270976315207],</v>
      </c>
      <c r="M163" t="str">
        <f t="shared" si="19"/>
        <v>[0.000418481473475952],</v>
      </c>
      <c r="N163" t="str">
        <f t="shared" si="19"/>
        <v>[0.000308320434749842],</v>
      </c>
      <c r="O163" t="str">
        <f t="shared" si="19"/>
        <v>[0.00048275307724884],</v>
      </c>
      <c r="P163" t="str">
        <f t="shared" si="19"/>
        <v>[0.000449394423657436],</v>
      </c>
      <c r="Q163" t="str">
        <f t="shared" si="16"/>
        <v>[0.000789634605154158]</v>
      </c>
      <c r="R163" t="str">
        <f t="shared" si="17"/>
        <v>]</v>
      </c>
      <c r="S163" t="str">
        <f t="shared" si="18"/>
        <v>[[0.000221354881576035],[0.00044270976315207],[0.000418481473475952],[0.000308320434749842],[0.00048275307724884],[0.000449394423657436],[0.000789634605154158]]</v>
      </c>
    </row>
    <row r="164" spans="1:19" x14ac:dyDescent="0.2">
      <c r="A164" s="1" t="d">
        <v>2026-01-25</v>
      </c>
      <c r="B164">
        <f>daily_original_wrong!B164*total_from_MA_dashboard!B$24</f>
        <v>2.2135488157603485E-4</v>
      </c>
      <c r="C164">
        <f>daily_original_wrong!C164*total_from_MA_dashboard!C$24</f>
        <v>4.427097631520697E-4</v>
      </c>
      <c r="D164">
        <f>daily_original_wrong!D164*total_from_MA_dashboard!D$24</f>
        <v>4.1848147347595176E-4</v>
      </c>
      <c r="E164">
        <f>daily_original_wrong!E164*total_from_MA_dashboard!E$24</f>
        <v>3.0832043474984187E-4</v>
      </c>
      <c r="F164">
        <f>daily_original_wrong!F164*total_from_MA_dashboard!F$24</f>
        <v>4.8275307724884045E-4</v>
      </c>
      <c r="G164">
        <f>daily_original_wrong!G164*total_from_MA_dashboard!G$24</f>
        <v>4.4939442365743551E-4</v>
      </c>
      <c r="H164">
        <f>daily_original_wrong!H164*total_from_MA_dashboard!H$24</f>
        <v>7.8963460515415768E-4</v>
      </c>
      <c r="J164" t="str">
        <f t="shared" si="14"/>
        <v>[</v>
      </c>
      <c r="K164" t="str">
        <f t="shared" si="15"/>
        <v>[0.000221354881576035],</v>
      </c>
      <c r="L164" t="str">
        <f t="shared" si="19"/>
        <v>[0.00044270976315207],</v>
      </c>
      <c r="M164" t="str">
        <f t="shared" si="19"/>
        <v>[0.000418481473475952],</v>
      </c>
      <c r="N164" t="str">
        <f t="shared" si="19"/>
        <v>[0.000308320434749842],</v>
      </c>
      <c r="O164" t="str">
        <f t="shared" si="19"/>
        <v>[0.00048275307724884],</v>
      </c>
      <c r="P164" t="str">
        <f t="shared" si="19"/>
        <v>[0.000449394423657436],</v>
      </c>
      <c r="Q164" t="str">
        <f t="shared" si="16"/>
        <v>[0.000789634605154158]</v>
      </c>
      <c r="R164" t="str">
        <f t="shared" si="17"/>
        <v>]</v>
      </c>
      <c r="S164" t="str">
        <f t="shared" si="18"/>
        <v>[[0.000221354881576035],[0.00044270976315207],[0.000418481473475952],[0.000308320434749842],[0.00048275307724884],[0.000449394423657436],[0.000789634605154158]]</v>
      </c>
    </row>
    <row r="165" spans="1:19" x14ac:dyDescent="0.2">
      <c r="A165" s="1" t="d">
        <v>2026-01-26</v>
      </c>
      <c r="B165">
        <f>daily_original_wrong!B165*total_from_MA_dashboard!B$24</f>
        <v>2.2135488157603485E-4</v>
      </c>
      <c r="C165">
        <f>daily_original_wrong!C165*total_from_MA_dashboard!C$24</f>
        <v>4.427097631520697E-4</v>
      </c>
      <c r="D165">
        <f>daily_original_wrong!D165*total_from_MA_dashboard!D$24</f>
        <v>4.1848147347595176E-4</v>
      </c>
      <c r="E165">
        <f>daily_original_wrong!E165*total_from_MA_dashboard!E$24</f>
        <v>3.0832043474984187E-4</v>
      </c>
      <c r="F165">
        <f>daily_original_wrong!F165*total_from_MA_dashboard!F$24</f>
        <v>4.8275307724884045E-4</v>
      </c>
      <c r="G165">
        <f>daily_original_wrong!G165*total_from_MA_dashboard!G$24</f>
        <v>4.4939442365743551E-4</v>
      </c>
      <c r="H165">
        <f>daily_original_wrong!H165*total_from_MA_dashboard!H$24</f>
        <v>7.8963460515415768E-4</v>
      </c>
      <c r="J165" t="str">
        <f t="shared" si="14"/>
        <v>[</v>
      </c>
      <c r="K165" t="str">
        <f t="shared" si="15"/>
        <v>[0.000221354881576035],</v>
      </c>
      <c r="L165" t="str">
        <f t="shared" si="19"/>
        <v>[0.00044270976315207],</v>
      </c>
      <c r="M165" t="str">
        <f t="shared" si="19"/>
        <v>[0.000418481473475952],</v>
      </c>
      <c r="N165" t="str">
        <f t="shared" si="19"/>
        <v>[0.000308320434749842],</v>
      </c>
      <c r="O165" t="str">
        <f t="shared" si="19"/>
        <v>[0.00048275307724884],</v>
      </c>
      <c r="P165" t="str">
        <f t="shared" si="19"/>
        <v>[0.000449394423657436],</v>
      </c>
      <c r="Q165" t="str">
        <f t="shared" si="16"/>
        <v>[0.000789634605154158]</v>
      </c>
      <c r="R165" t="str">
        <f t="shared" si="17"/>
        <v>]</v>
      </c>
      <c r="S165" t="str">
        <f t="shared" si="18"/>
        <v>[[0.000221354881576035],[0.00044270976315207],[0.000418481473475952],[0.000308320434749842],[0.00048275307724884],[0.000449394423657436],[0.000789634605154158]]</v>
      </c>
    </row>
    <row r="166" spans="1:19" x14ac:dyDescent="0.2">
      <c r="A166" s="1" t="d">
        <v>2026-01-27</v>
      </c>
      <c r="B166">
        <f>daily_original_wrong!B166*total_from_MA_dashboard!B$24</f>
        <v>2.2135488157603485E-4</v>
      </c>
      <c r="C166">
        <f>daily_original_wrong!C166*total_from_MA_dashboard!C$24</f>
        <v>4.427097631520697E-4</v>
      </c>
      <c r="D166">
        <f>daily_original_wrong!D166*total_from_MA_dashboard!D$24</f>
        <v>4.1848147347595176E-4</v>
      </c>
      <c r="E166">
        <f>daily_original_wrong!E166*total_from_MA_dashboard!E$24</f>
        <v>3.0832043474984187E-4</v>
      </c>
      <c r="F166">
        <f>daily_original_wrong!F166*total_from_MA_dashboard!F$24</f>
        <v>4.8275307724884045E-4</v>
      </c>
      <c r="G166">
        <f>daily_original_wrong!G166*total_from_MA_dashboard!G$24</f>
        <v>4.4939442365743551E-4</v>
      </c>
      <c r="H166">
        <f>daily_original_wrong!H166*total_from_MA_dashboard!H$24</f>
        <v>7.8963460515415768E-4</v>
      </c>
      <c r="J166" t="str">
        <f t="shared" si="14"/>
        <v>[</v>
      </c>
      <c r="K166" t="str">
        <f t="shared" si="15"/>
        <v>[0.000221354881576035],</v>
      </c>
      <c r="L166" t="str">
        <f t="shared" si="19"/>
        <v>[0.00044270976315207],</v>
      </c>
      <c r="M166" t="str">
        <f t="shared" si="19"/>
        <v>[0.000418481473475952],</v>
      </c>
      <c r="N166" t="str">
        <f t="shared" si="19"/>
        <v>[0.000308320434749842],</v>
      </c>
      <c r="O166" t="str">
        <f t="shared" si="19"/>
        <v>[0.00048275307724884],</v>
      </c>
      <c r="P166" t="str">
        <f t="shared" si="19"/>
        <v>[0.000449394423657436],</v>
      </c>
      <c r="Q166" t="str">
        <f t="shared" si="16"/>
        <v>[0.000789634605154158]</v>
      </c>
      <c r="R166" t="str">
        <f t="shared" si="17"/>
        <v>]</v>
      </c>
      <c r="S166" t="str">
        <f t="shared" si="18"/>
        <v>[[0.000221354881576035],[0.00044270976315207],[0.000418481473475952],[0.000308320434749842],[0.00048275307724884],[0.000449394423657436],[0.000789634605154158]]</v>
      </c>
    </row>
    <row r="167" spans="1:19" x14ac:dyDescent="0.2">
      <c r="A167" s="1" t="d">
        <v>2026-01-28</v>
      </c>
      <c r="B167">
        <f>daily_original_wrong!B167*total_from_MA_dashboard!B$24</f>
        <v>2.2135488157603485E-4</v>
      </c>
      <c r="C167">
        <f>daily_original_wrong!C167*total_from_MA_dashboard!C$24</f>
        <v>4.427097631520697E-4</v>
      </c>
      <c r="D167">
        <f>daily_original_wrong!D167*total_from_MA_dashboard!D$24</f>
        <v>4.1848147347595176E-4</v>
      </c>
      <c r="E167">
        <f>daily_original_wrong!E167*total_from_MA_dashboard!E$24</f>
        <v>3.0832043474984187E-4</v>
      </c>
      <c r="F167">
        <f>daily_original_wrong!F167*total_from_MA_dashboard!F$24</f>
        <v>4.8275307724884045E-4</v>
      </c>
      <c r="G167">
        <f>daily_original_wrong!G167*total_from_MA_dashboard!G$24</f>
        <v>4.4939442365743551E-4</v>
      </c>
      <c r="H167">
        <f>daily_original_wrong!H167*total_from_MA_dashboard!H$24</f>
        <v>7.8963460515415768E-4</v>
      </c>
      <c r="J167" t="str">
        <f t="shared" si="14"/>
        <v>[</v>
      </c>
      <c r="K167" t="str">
        <f t="shared" si="15"/>
        <v>[0.000221354881576035],</v>
      </c>
      <c r="L167" t="str">
        <f t="shared" si="19"/>
        <v>[0.00044270976315207],</v>
      </c>
      <c r="M167" t="str">
        <f t="shared" si="19"/>
        <v>[0.000418481473475952],</v>
      </c>
      <c r="N167" t="str">
        <f t="shared" si="19"/>
        <v>[0.000308320434749842],</v>
      </c>
      <c r="O167" t="str">
        <f t="shared" si="19"/>
        <v>[0.00048275307724884],</v>
      </c>
      <c r="P167" t="str">
        <f t="shared" si="19"/>
        <v>[0.000449394423657436],</v>
      </c>
      <c r="Q167" t="str">
        <f t="shared" si="16"/>
        <v>[0.000789634605154158]</v>
      </c>
      <c r="R167" t="str">
        <f t="shared" si="17"/>
        <v>]</v>
      </c>
      <c r="S167" t="str">
        <f t="shared" si="18"/>
        <v>[[0.000221354881576035],[0.00044270976315207],[0.000418481473475952],[0.000308320434749842],[0.00048275307724884],[0.000449394423657436],[0.000789634605154158]]</v>
      </c>
    </row>
    <row r="168" spans="1:19" x14ac:dyDescent="0.2">
      <c r="A168" s="1" t="d">
        <v>2026-01-29</v>
      </c>
      <c r="B168">
        <f>daily_original_wrong!B168*total_from_MA_dashboard!B$24</f>
        <v>2.2135488157603485E-4</v>
      </c>
      <c r="C168">
        <f>daily_original_wrong!C168*total_from_MA_dashboard!C$24</f>
        <v>4.427097631520697E-4</v>
      </c>
      <c r="D168">
        <f>daily_original_wrong!D168*total_from_MA_dashboard!D$24</f>
        <v>4.1848147347595176E-4</v>
      </c>
      <c r="E168">
        <f>daily_original_wrong!E168*total_from_MA_dashboard!E$24</f>
        <v>3.0832043474984187E-4</v>
      </c>
      <c r="F168">
        <f>daily_original_wrong!F168*total_from_MA_dashboard!F$24</f>
        <v>4.8275307724884045E-4</v>
      </c>
      <c r="G168">
        <f>daily_original_wrong!G168*total_from_MA_dashboard!G$24</f>
        <v>4.4939442365743551E-4</v>
      </c>
      <c r="H168">
        <f>daily_original_wrong!H168*total_from_MA_dashboard!H$24</f>
        <v>7.8963460515415768E-4</v>
      </c>
      <c r="J168" t="str">
        <f t="shared" si="14"/>
        <v>[</v>
      </c>
      <c r="K168" t="str">
        <f t="shared" si="15"/>
        <v>[0.000221354881576035],</v>
      </c>
      <c r="L168" t="str">
        <f t="shared" si="19"/>
        <v>[0.00044270976315207],</v>
      </c>
      <c r="M168" t="str">
        <f t="shared" si="19"/>
        <v>[0.000418481473475952],</v>
      </c>
      <c r="N168" t="str">
        <f t="shared" si="19"/>
        <v>[0.000308320434749842],</v>
      </c>
      <c r="O168" t="str">
        <f t="shared" si="19"/>
        <v>[0.00048275307724884],</v>
      </c>
      <c r="P168" t="str">
        <f t="shared" si="19"/>
        <v>[0.000449394423657436],</v>
      </c>
      <c r="Q168" t="str">
        <f t="shared" si="16"/>
        <v>[0.000789634605154158]</v>
      </c>
      <c r="R168" t="str">
        <f t="shared" si="17"/>
        <v>]</v>
      </c>
      <c r="S168" t="str">
        <f t="shared" si="18"/>
        <v>[[0.000221354881576035],[0.00044270976315207],[0.000418481473475952],[0.000308320434749842],[0.00048275307724884],[0.000449394423657436],[0.000789634605154158]]</v>
      </c>
    </row>
    <row r="169" spans="1:19" x14ac:dyDescent="0.2">
      <c r="A169" s="1" t="d">
        <v>2026-01-30</v>
      </c>
      <c r="B169">
        <f>daily_original_wrong!B169*total_from_MA_dashboard!B$24</f>
        <v>2.2135488157603485E-4</v>
      </c>
      <c r="C169">
        <f>daily_original_wrong!C169*total_from_MA_dashboard!C$24</f>
        <v>4.427097631520697E-4</v>
      </c>
      <c r="D169">
        <f>daily_original_wrong!D169*total_from_MA_dashboard!D$24</f>
        <v>4.1848147347595176E-4</v>
      </c>
      <c r="E169">
        <f>daily_original_wrong!E169*total_from_MA_dashboard!E$24</f>
        <v>3.0832043474984187E-4</v>
      </c>
      <c r="F169">
        <f>daily_original_wrong!F169*total_from_MA_dashboard!F$24</f>
        <v>4.8275307724884045E-4</v>
      </c>
      <c r="G169">
        <f>daily_original_wrong!G169*total_from_MA_dashboard!G$24</f>
        <v>4.4939442365743551E-4</v>
      </c>
      <c r="H169">
        <f>daily_original_wrong!H169*total_from_MA_dashboard!H$24</f>
        <v>7.8963460515415768E-4</v>
      </c>
      <c r="J169" t="str">
        <f t="shared" si="14"/>
        <v>[</v>
      </c>
      <c r="K169" t="str">
        <f t="shared" si="15"/>
        <v>[0.000221354881576035],</v>
      </c>
      <c r="L169" t="str">
        <f t="shared" si="19"/>
        <v>[0.00044270976315207],</v>
      </c>
      <c r="M169" t="str">
        <f t="shared" si="19"/>
        <v>[0.000418481473475952],</v>
      </c>
      <c r="N169" t="str">
        <f t="shared" si="19"/>
        <v>[0.000308320434749842],</v>
      </c>
      <c r="O169" t="str">
        <f t="shared" si="19"/>
        <v>[0.00048275307724884],</v>
      </c>
      <c r="P169" t="str">
        <f t="shared" si="19"/>
        <v>[0.000449394423657436],</v>
      </c>
      <c r="Q169" t="str">
        <f t="shared" si="16"/>
        <v>[0.000789634605154158]</v>
      </c>
      <c r="R169" t="str">
        <f t="shared" si="17"/>
        <v>]</v>
      </c>
      <c r="S169" t="str">
        <f t="shared" si="18"/>
        <v>[[0.000221354881576035],[0.00044270976315207],[0.000418481473475952],[0.000308320434749842],[0.00048275307724884],[0.000449394423657436],[0.000789634605154158]]</v>
      </c>
    </row>
    <row r="170" spans="1:19" x14ac:dyDescent="0.2">
      <c r="A170" s="1" t="d">
        <v>2026-01-31</v>
      </c>
      <c r="B170">
        <f>daily_original_wrong!B170*total_from_MA_dashboard!B$24</f>
        <v>5.2326479788341413E-4</v>
      </c>
      <c r="C170">
        <f>daily_original_wrong!C170*total_from_MA_dashboard!C$24</f>
        <v>1.0465295957668283E-3</v>
      </c>
      <c r="D170">
        <f>daily_original_wrong!D170*total_from_MA_dashboard!D$24</f>
        <v>9.383581646069712E-4</v>
      </c>
      <c r="E170">
        <f>daily_original_wrong!E170*total_from_MA_dashboard!E$24</f>
        <v>6.871662773871984E-4</v>
      </c>
      <c r="F170">
        <f>daily_original_wrong!F170*total_from_MA_dashboard!F$24</f>
        <v>1.059102256821019E-3</v>
      </c>
      <c r="G170">
        <f>daily_original_wrong!G170*total_from_MA_dashboard!G$24</f>
        <v>1.0577187448858217E-3</v>
      </c>
      <c r="H170">
        <f>daily_original_wrong!H170*total_from_MA_dashboard!H$24</f>
        <v>1.6469316948985659E-3</v>
      </c>
      <c r="J170" t="str">
        <f t="shared" si="14"/>
        <v>[</v>
      </c>
      <c r="K170" t="str">
        <f t="shared" si="15"/>
        <v>[0.000523264797883414],</v>
      </c>
      <c r="L170" t="str">
        <f t="shared" si="19"/>
        <v>[0.00104652959576683],</v>
      </c>
      <c r="M170" t="str">
        <f t="shared" si="19"/>
        <v>[0.000938358164606971],</v>
      </c>
      <c r="N170" t="str">
        <f t="shared" si="19"/>
        <v>[0.000687166277387198],</v>
      </c>
      <c r="O170" t="str">
        <f t="shared" si="19"/>
        <v>[0.00105910225682102],</v>
      </c>
      <c r="P170" t="str">
        <f t="shared" si="19"/>
        <v>[0.00105771874488582],</v>
      </c>
      <c r="Q170" t="str">
        <f t="shared" si="16"/>
        <v>[0.00164693169489857]</v>
      </c>
      <c r="R170" t="str">
        <f t="shared" si="17"/>
        <v>]</v>
      </c>
      <c r="S170" t="str">
        <f t="shared" si="18"/>
        <v>[[0.000523264797883414],[0.00104652959576683],[0.000938358164606971],[0.000687166277387198],[0.00105910225682102],[0.00105771874488582],[0.00164693169489857]]</v>
      </c>
    </row>
    <row r="171" spans="1:19" x14ac:dyDescent="0.2">
      <c r="A171" s="1" t="d">
        <v>2026-02-01</v>
      </c>
      <c r="B171">
        <f>daily_original_wrong!B171*total_from_MA_dashboard!B$24</f>
        <v>5.2326479788341413E-4</v>
      </c>
      <c r="C171">
        <f>daily_original_wrong!C171*total_from_MA_dashboard!C$24</f>
        <v>1.0465295957668283E-3</v>
      </c>
      <c r="D171">
        <f>daily_original_wrong!D171*total_from_MA_dashboard!D$24</f>
        <v>9.383581646069712E-4</v>
      </c>
      <c r="E171">
        <f>daily_original_wrong!E171*total_from_MA_dashboard!E$24</f>
        <v>6.871662773871984E-4</v>
      </c>
      <c r="F171">
        <f>daily_original_wrong!F171*total_from_MA_dashboard!F$24</f>
        <v>1.059102256821019E-3</v>
      </c>
      <c r="G171">
        <f>daily_original_wrong!G171*total_from_MA_dashboard!G$24</f>
        <v>1.0577187448858217E-3</v>
      </c>
      <c r="H171">
        <f>daily_original_wrong!H171*total_from_MA_dashboard!H$24</f>
        <v>1.6469316948985659E-3</v>
      </c>
      <c r="J171" t="str">
        <f t="shared" si="14"/>
        <v>[</v>
      </c>
      <c r="K171" t="str">
        <f t="shared" si="15"/>
        <v>[0.000523264797883414],</v>
      </c>
      <c r="L171" t="str">
        <f t="shared" si="19"/>
        <v>[0.00104652959576683],</v>
      </c>
      <c r="M171" t="str">
        <f t="shared" si="19"/>
        <v>[0.000938358164606971],</v>
      </c>
      <c r="N171" t="str">
        <f t="shared" si="19"/>
        <v>[0.000687166277387198],</v>
      </c>
      <c r="O171" t="str">
        <f t="shared" si="19"/>
        <v>[0.00105910225682102],</v>
      </c>
      <c r="P171" t="str">
        <f t="shared" si="19"/>
        <v>[0.00105771874488582],</v>
      </c>
      <c r="Q171" t="str">
        <f t="shared" si="16"/>
        <v>[0.00164693169489857]</v>
      </c>
      <c r="R171" t="str">
        <f t="shared" si="17"/>
        <v>]</v>
      </c>
      <c r="S171" t="str">
        <f t="shared" si="18"/>
        <v>[[0.000523264797883414],[0.00104652959576683],[0.000938358164606971],[0.000687166277387198],[0.00105910225682102],[0.00105771874488582],[0.00164693169489857]]</v>
      </c>
    </row>
    <row r="172" spans="1:19" x14ac:dyDescent="0.2">
      <c r="A172" s="1" t="d">
        <v>2026-02-02</v>
      </c>
      <c r="B172">
        <f>daily_original_wrong!B172*total_from_MA_dashboard!B$24</f>
        <v>5.2326479788341413E-4</v>
      </c>
      <c r="C172">
        <f>daily_original_wrong!C172*total_from_MA_dashboard!C$24</f>
        <v>1.0465295957668283E-3</v>
      </c>
      <c r="D172">
        <f>daily_original_wrong!D172*total_from_MA_dashboard!D$24</f>
        <v>9.383581646069712E-4</v>
      </c>
      <c r="E172">
        <f>daily_original_wrong!E172*total_from_MA_dashboard!E$24</f>
        <v>6.871662773871984E-4</v>
      </c>
      <c r="F172">
        <f>daily_original_wrong!F172*total_from_MA_dashboard!F$24</f>
        <v>1.059102256821019E-3</v>
      </c>
      <c r="G172">
        <f>daily_original_wrong!G172*total_from_MA_dashboard!G$24</f>
        <v>1.0577187448858217E-3</v>
      </c>
      <c r="H172">
        <f>daily_original_wrong!H172*total_from_MA_dashboard!H$24</f>
        <v>1.6469316948985659E-3</v>
      </c>
      <c r="J172" t="str">
        <f t="shared" si="14"/>
        <v>[</v>
      </c>
      <c r="K172" t="str">
        <f t="shared" si="15"/>
        <v>[0.000523264797883414],</v>
      </c>
      <c r="L172" t="str">
        <f t="shared" si="19"/>
        <v>[0.00104652959576683],</v>
      </c>
      <c r="M172" t="str">
        <f t="shared" si="19"/>
        <v>[0.000938358164606971],</v>
      </c>
      <c r="N172" t="str">
        <f t="shared" si="19"/>
        <v>[0.000687166277387198],</v>
      </c>
      <c r="O172" t="str">
        <f t="shared" si="19"/>
        <v>[0.00105910225682102],</v>
      </c>
      <c r="P172" t="str">
        <f t="shared" si="19"/>
        <v>[0.00105771874488582],</v>
      </c>
      <c r="Q172" t="str">
        <f t="shared" si="16"/>
        <v>[0.00164693169489857]</v>
      </c>
      <c r="R172" t="str">
        <f t="shared" si="17"/>
        <v>]</v>
      </c>
      <c r="S172" t="str">
        <f t="shared" si="18"/>
        <v>[[0.000523264797883414],[0.00104652959576683],[0.000938358164606971],[0.000687166277387198],[0.00105910225682102],[0.00105771874488582],[0.00164693169489857]]</v>
      </c>
    </row>
    <row r="173" spans="1:19" x14ac:dyDescent="0.2">
      <c r="A173" s="1" t="d">
        <v>2026-02-03</v>
      </c>
      <c r="B173">
        <f>daily_original_wrong!B173*total_from_MA_dashboard!B$24</f>
        <v>5.2326479788341413E-4</v>
      </c>
      <c r="C173">
        <f>daily_original_wrong!C173*total_from_MA_dashboard!C$24</f>
        <v>1.0465295957668283E-3</v>
      </c>
      <c r="D173">
        <f>daily_original_wrong!D173*total_from_MA_dashboard!D$24</f>
        <v>9.383581646069712E-4</v>
      </c>
      <c r="E173">
        <f>daily_original_wrong!E173*total_from_MA_dashboard!E$24</f>
        <v>6.871662773871984E-4</v>
      </c>
      <c r="F173">
        <f>daily_original_wrong!F173*total_from_MA_dashboard!F$24</f>
        <v>1.059102256821019E-3</v>
      </c>
      <c r="G173">
        <f>daily_original_wrong!G173*total_from_MA_dashboard!G$24</f>
        <v>1.0577187448858217E-3</v>
      </c>
      <c r="H173">
        <f>daily_original_wrong!H173*total_from_MA_dashboard!H$24</f>
        <v>1.6469316948985659E-3</v>
      </c>
      <c r="J173" t="str">
        <f t="shared" si="14"/>
        <v>[</v>
      </c>
      <c r="K173" t="str">
        <f t="shared" si="15"/>
        <v>[0.000523264797883414],</v>
      </c>
      <c r="L173" t="str">
        <f t="shared" si="19"/>
        <v>[0.00104652959576683],</v>
      </c>
      <c r="M173" t="str">
        <f t="shared" si="19"/>
        <v>[0.000938358164606971],</v>
      </c>
      <c r="N173" t="str">
        <f t="shared" si="19"/>
        <v>[0.000687166277387198],</v>
      </c>
      <c r="O173" t="str">
        <f t="shared" si="19"/>
        <v>[0.00105910225682102],</v>
      </c>
      <c r="P173" t="str">
        <f t="shared" si="19"/>
        <v>[0.00105771874488582],</v>
      </c>
      <c r="Q173" t="str">
        <f t="shared" si="16"/>
        <v>[0.00164693169489857]</v>
      </c>
      <c r="R173" t="str">
        <f t="shared" si="17"/>
        <v>]</v>
      </c>
      <c r="S173" t="str">
        <f t="shared" si="18"/>
        <v>[[0.000523264797883414],[0.00104652959576683],[0.000938358164606971],[0.000687166277387198],[0.00105910225682102],[0.00105771874488582],[0.00164693169489857]]</v>
      </c>
    </row>
    <row r="174" spans="1:19" x14ac:dyDescent="0.2">
      <c r="A174" s="1" t="d">
        <v>2026-02-04</v>
      </c>
      <c r="B174">
        <f>daily_original_wrong!B174*total_from_MA_dashboard!B$24</f>
        <v>5.2326479788341413E-4</v>
      </c>
      <c r="C174">
        <f>daily_original_wrong!C174*total_from_MA_dashboard!C$24</f>
        <v>1.0465295957668283E-3</v>
      </c>
      <c r="D174">
        <f>daily_original_wrong!D174*total_from_MA_dashboard!D$24</f>
        <v>9.383581646069712E-4</v>
      </c>
      <c r="E174">
        <f>daily_original_wrong!E174*total_from_MA_dashboard!E$24</f>
        <v>6.871662773871984E-4</v>
      </c>
      <c r="F174">
        <f>daily_original_wrong!F174*total_from_MA_dashboard!F$24</f>
        <v>1.059102256821019E-3</v>
      </c>
      <c r="G174">
        <f>daily_original_wrong!G174*total_from_MA_dashboard!G$24</f>
        <v>1.0577187448858217E-3</v>
      </c>
      <c r="H174">
        <f>daily_original_wrong!H174*total_from_MA_dashboard!H$24</f>
        <v>1.6469316948985659E-3</v>
      </c>
      <c r="J174" t="str">
        <f t="shared" si="14"/>
        <v>[</v>
      </c>
      <c r="K174" t="str">
        <f t="shared" si="15"/>
        <v>[0.000523264797883414],</v>
      </c>
      <c r="L174" t="str">
        <f t="shared" si="19"/>
        <v>[0.00104652959576683],</v>
      </c>
      <c r="M174" t="str">
        <f t="shared" si="19"/>
        <v>[0.000938358164606971],</v>
      </c>
      <c r="N174" t="str">
        <f t="shared" si="19"/>
        <v>[0.000687166277387198],</v>
      </c>
      <c r="O174" t="str">
        <f t="shared" si="19"/>
        <v>[0.00105910225682102],</v>
      </c>
      <c r="P174" t="str">
        <f t="shared" si="19"/>
        <v>[0.00105771874488582],</v>
      </c>
      <c r="Q174" t="str">
        <f t="shared" si="16"/>
        <v>[0.00164693169489857]</v>
      </c>
      <c r="R174" t="str">
        <f t="shared" si="17"/>
        <v>]</v>
      </c>
      <c r="S174" t="str">
        <f t="shared" si="18"/>
        <v>[[0.000523264797883414],[0.00104652959576683],[0.000938358164606971],[0.000687166277387198],[0.00105910225682102],[0.00105771874488582],[0.00164693169489857]]</v>
      </c>
    </row>
    <row r="175" spans="1:19" x14ac:dyDescent="0.2">
      <c r="A175" s="1" t="d">
        <v>2026-02-05</v>
      </c>
      <c r="B175">
        <f>daily_original_wrong!B175*total_from_MA_dashboard!B$24</f>
        <v>5.2326479788341413E-4</v>
      </c>
      <c r="C175">
        <f>daily_original_wrong!C175*total_from_MA_dashboard!C$24</f>
        <v>1.0465295957668283E-3</v>
      </c>
      <c r="D175">
        <f>daily_original_wrong!D175*total_from_MA_dashboard!D$24</f>
        <v>9.383581646069712E-4</v>
      </c>
      <c r="E175">
        <f>daily_original_wrong!E175*total_from_MA_dashboard!E$24</f>
        <v>6.871662773871984E-4</v>
      </c>
      <c r="F175">
        <f>daily_original_wrong!F175*total_from_MA_dashboard!F$24</f>
        <v>1.059102256821019E-3</v>
      </c>
      <c r="G175">
        <f>daily_original_wrong!G175*total_from_MA_dashboard!G$24</f>
        <v>1.0577187448858217E-3</v>
      </c>
      <c r="H175">
        <f>daily_original_wrong!H175*total_from_MA_dashboard!H$24</f>
        <v>1.6469316948985659E-3</v>
      </c>
      <c r="J175" t="str">
        <f t="shared" si="14"/>
        <v>[</v>
      </c>
      <c r="K175" t="str">
        <f t="shared" si="15"/>
        <v>[0.000523264797883414],</v>
      </c>
      <c r="L175" t="str">
        <f t="shared" si="19"/>
        <v>[0.00104652959576683],</v>
      </c>
      <c r="M175" t="str">
        <f t="shared" si="19"/>
        <v>[0.000938358164606971],</v>
      </c>
      <c r="N175" t="str">
        <f t="shared" si="19"/>
        <v>[0.000687166277387198],</v>
      </c>
      <c r="O175" t="str">
        <f t="shared" si="19"/>
        <v>[0.00105910225682102],</v>
      </c>
      <c r="P175" t="str">
        <f t="shared" si="19"/>
        <v>[0.00105771874488582],</v>
      </c>
      <c r="Q175" t="str">
        <f t="shared" si="16"/>
        <v>[0.00164693169489857]</v>
      </c>
      <c r="R175" t="str">
        <f t="shared" si="17"/>
        <v>]</v>
      </c>
      <c r="S175" t="str">
        <f t="shared" si="18"/>
        <v>[[0.000523264797883414],[0.00104652959576683],[0.000938358164606971],[0.000687166277387198],[0.00105910225682102],[0.00105771874488582],[0.00164693169489857]]</v>
      </c>
    </row>
    <row r="176" spans="1:19" x14ac:dyDescent="0.2">
      <c r="A176" s="1" t="d">
        <v>2026-02-06</v>
      </c>
      <c r="B176">
        <f>daily_original_wrong!B176*total_from_MA_dashboard!B$24</f>
        <v>5.2326479788341413E-4</v>
      </c>
      <c r="C176">
        <f>daily_original_wrong!C176*total_from_MA_dashboard!C$24</f>
        <v>1.0465295957668283E-3</v>
      </c>
      <c r="D176">
        <f>daily_original_wrong!D176*total_from_MA_dashboard!D$24</f>
        <v>9.383581646069712E-4</v>
      </c>
      <c r="E176">
        <f>daily_original_wrong!E176*total_from_MA_dashboard!E$24</f>
        <v>6.871662773871984E-4</v>
      </c>
      <c r="F176">
        <f>daily_original_wrong!F176*total_from_MA_dashboard!F$24</f>
        <v>1.059102256821019E-3</v>
      </c>
      <c r="G176">
        <f>daily_original_wrong!G176*total_from_MA_dashboard!G$24</f>
        <v>1.0577187448858217E-3</v>
      </c>
      <c r="H176">
        <f>daily_original_wrong!H176*total_from_MA_dashboard!H$24</f>
        <v>1.6469316948985659E-3</v>
      </c>
      <c r="J176" t="str">
        <f t="shared" si="14"/>
        <v>[</v>
      </c>
      <c r="K176" t="str">
        <f t="shared" si="15"/>
        <v>[0.000523264797883414],</v>
      </c>
      <c r="L176" t="str">
        <f t="shared" si="19"/>
        <v>[0.00104652959576683],</v>
      </c>
      <c r="M176" t="str">
        <f t="shared" si="19"/>
        <v>[0.000938358164606971],</v>
      </c>
      <c r="N176" t="str">
        <f t="shared" si="19"/>
        <v>[0.000687166277387198],</v>
      </c>
      <c r="O176" t="str">
        <f t="shared" si="19"/>
        <v>[0.00105910225682102],</v>
      </c>
      <c r="P176" t="str">
        <f t="shared" si="19"/>
        <v>[0.00105771874488582],</v>
      </c>
      <c r="Q176" t="str">
        <f t="shared" si="16"/>
        <v>[0.00164693169489857]</v>
      </c>
      <c r="R176" t="str">
        <f t="shared" si="17"/>
        <v>]</v>
      </c>
      <c r="S176" t="str">
        <f t="shared" si="18"/>
        <v>[[0.000523264797883414],[0.00104652959576683],[0.000938358164606971],[0.000687166277387198],[0.00105910225682102],[0.00105771874488582],[0.00164693169489857]]</v>
      </c>
    </row>
    <row r="177" spans="1:19" x14ac:dyDescent="0.2">
      <c r="A177" s="1" t="d">
        <v>2026-02-07</v>
      </c>
      <c r="B177">
        <f>daily_original_wrong!B177*total_from_MA_dashboard!B$24</f>
        <v>3.036133732284489E-4</v>
      </c>
      <c r="C177">
        <f>daily_original_wrong!C177*total_from_MA_dashboard!C$24</f>
        <v>6.072267464568978E-4</v>
      </c>
      <c r="D177">
        <f>daily_original_wrong!D177*total_from_MA_dashboard!D$24</f>
        <v>4.6584980446163549E-4</v>
      </c>
      <c r="E177">
        <f>daily_original_wrong!E177*total_from_MA_dashboard!E$24</f>
        <v>3.3321672164945244E-4</v>
      </c>
      <c r="F177">
        <f>daily_original_wrong!F177*total_from_MA_dashboard!F$24</f>
        <v>4.7918475098414619E-4</v>
      </c>
      <c r="G177">
        <f>daily_original_wrong!G177*total_from_MA_dashboard!G$24</f>
        <v>6.0280160205429003E-4</v>
      </c>
      <c r="H177">
        <f>daily_original_wrong!H177*total_from_MA_dashboard!H$24</f>
        <v>6.3813156405254296E-4</v>
      </c>
      <c r="J177" t="str">
        <f t="shared" si="14"/>
        <v>[</v>
      </c>
      <c r="K177" t="str">
        <f t="shared" si="15"/>
        <v>[0.000303613373228449],</v>
      </c>
      <c r="L177" t="str">
        <f t="shared" si="19"/>
        <v>[0.000607226746456898],</v>
      </c>
      <c r="M177" t="str">
        <f t="shared" si="19"/>
        <v>[0.000465849804461635],</v>
      </c>
      <c r="N177" t="str">
        <f t="shared" si="19"/>
        <v>[0.000333216721649452],</v>
      </c>
      <c r="O177" t="str">
        <f t="shared" si="19"/>
        <v>[0.000479184750984146],</v>
      </c>
      <c r="P177" t="str">
        <f t="shared" si="19"/>
        <v>[0.00060280160205429],</v>
      </c>
      <c r="Q177" t="str">
        <f t="shared" si="16"/>
        <v>[0.000638131564052543]</v>
      </c>
      <c r="R177" t="str">
        <f t="shared" si="17"/>
        <v>]</v>
      </c>
      <c r="S177" t="str">
        <f t="shared" si="18"/>
        <v>[[0.000303613373228449],[0.000607226746456898],[0.000465849804461635],[0.000333216721649452],[0.000479184750984146],[0.00060280160205429],[0.000638131564052543]]</v>
      </c>
    </row>
    <row r="178" spans="1:19" x14ac:dyDescent="0.2">
      <c r="A178" s="1" t="d">
        <v>2026-02-08</v>
      </c>
      <c r="B178">
        <f>daily_original_wrong!B178*total_from_MA_dashboard!B$24</f>
        <v>3.036133732284489E-4</v>
      </c>
      <c r="C178">
        <f>daily_original_wrong!C178*total_from_MA_dashboard!C$24</f>
        <v>6.072267464568978E-4</v>
      </c>
      <c r="D178">
        <f>daily_original_wrong!D178*total_from_MA_dashboard!D$24</f>
        <v>4.6584980446163549E-4</v>
      </c>
      <c r="E178">
        <f>daily_original_wrong!E178*total_from_MA_dashboard!E$24</f>
        <v>3.3321672164945244E-4</v>
      </c>
      <c r="F178">
        <f>daily_original_wrong!F178*total_from_MA_dashboard!F$24</f>
        <v>4.7918475098414619E-4</v>
      </c>
      <c r="G178">
        <f>daily_original_wrong!G178*total_from_MA_dashboard!G$24</f>
        <v>6.0280160205429003E-4</v>
      </c>
      <c r="H178">
        <f>daily_original_wrong!H178*total_from_MA_dashboard!H$24</f>
        <v>6.3813156405254296E-4</v>
      </c>
      <c r="J178" t="str">
        <f t="shared" si="14"/>
        <v>[</v>
      </c>
      <c r="K178" t="str">
        <f t="shared" si="15"/>
        <v>[0.000303613373228449],</v>
      </c>
      <c r="L178" t="str">
        <f t="shared" si="19"/>
        <v>[0.000607226746456898],</v>
      </c>
      <c r="M178" t="str">
        <f t="shared" si="19"/>
        <v>[0.000465849804461635],</v>
      </c>
      <c r="N178" t="str">
        <f t="shared" si="19"/>
        <v>[0.000333216721649452],</v>
      </c>
      <c r="O178" t="str">
        <f t="shared" si="19"/>
        <v>[0.000479184750984146],</v>
      </c>
      <c r="P178" t="str">
        <f t="shared" si="19"/>
        <v>[0.00060280160205429],</v>
      </c>
      <c r="Q178" t="str">
        <f t="shared" si="16"/>
        <v>[0.000638131564052543]</v>
      </c>
      <c r="R178" t="str">
        <f t="shared" si="17"/>
        <v>]</v>
      </c>
      <c r="S178" t="str">
        <f t="shared" si="18"/>
        <v>[[0.000303613373228449],[0.000607226746456898],[0.000465849804461635],[0.000333216721649452],[0.000479184750984146],[0.00060280160205429],[0.000638131564052543]]</v>
      </c>
    </row>
    <row r="179" spans="1:19" x14ac:dyDescent="0.2">
      <c r="A179" s="1" t="d">
        <v>2026-02-09</v>
      </c>
      <c r="B179">
        <f>daily_original_wrong!B179*total_from_MA_dashboard!B$24</f>
        <v>3.036133732284489E-4</v>
      </c>
      <c r="C179">
        <f>daily_original_wrong!C179*total_from_MA_dashboard!C$24</f>
        <v>6.072267464568978E-4</v>
      </c>
      <c r="D179">
        <f>daily_original_wrong!D179*total_from_MA_dashboard!D$24</f>
        <v>4.6584980446163549E-4</v>
      </c>
      <c r="E179">
        <f>daily_original_wrong!E179*total_from_MA_dashboard!E$24</f>
        <v>3.3321672164945244E-4</v>
      </c>
      <c r="F179">
        <f>daily_original_wrong!F179*total_from_MA_dashboard!F$24</f>
        <v>4.7918475098414619E-4</v>
      </c>
      <c r="G179">
        <f>daily_original_wrong!G179*total_from_MA_dashboard!G$24</f>
        <v>6.0280160205429003E-4</v>
      </c>
      <c r="H179">
        <f>daily_original_wrong!H179*total_from_MA_dashboard!H$24</f>
        <v>6.3813156405254296E-4</v>
      </c>
      <c r="J179" t="str">
        <f t="shared" si="14"/>
        <v>[</v>
      </c>
      <c r="K179" t="str">
        <f t="shared" si="15"/>
        <v>[0.000303613373228449],</v>
      </c>
      <c r="L179" t="str">
        <f t="shared" si="19"/>
        <v>[0.000607226746456898],</v>
      </c>
      <c r="M179" t="str">
        <f t="shared" si="19"/>
        <v>[0.000465849804461635],</v>
      </c>
      <c r="N179" t="str">
        <f t="shared" si="19"/>
        <v>[0.000333216721649452],</v>
      </c>
      <c r="O179" t="str">
        <f t="shared" si="19"/>
        <v>[0.000479184750984146],</v>
      </c>
      <c r="P179" t="str">
        <f t="shared" si="19"/>
        <v>[0.00060280160205429],</v>
      </c>
      <c r="Q179" t="str">
        <f t="shared" si="16"/>
        <v>[0.000638131564052543]</v>
      </c>
      <c r="R179" t="str">
        <f t="shared" si="17"/>
        <v>]</v>
      </c>
      <c r="S179" t="str">
        <f t="shared" si="18"/>
        <v>[[0.000303613373228449],[0.000607226746456898],[0.000465849804461635],[0.000333216721649452],[0.000479184750984146],[0.00060280160205429],[0.000638131564052543]]</v>
      </c>
    </row>
    <row r="180" spans="1:19" x14ac:dyDescent="0.2">
      <c r="A180" s="1" t="d">
        <v>2026-02-10</v>
      </c>
      <c r="B180">
        <f>daily_original_wrong!B180*total_from_MA_dashboard!B$24</f>
        <v>3.036133732284489E-4</v>
      </c>
      <c r="C180">
        <f>daily_original_wrong!C180*total_from_MA_dashboard!C$24</f>
        <v>6.072267464568978E-4</v>
      </c>
      <c r="D180">
        <f>daily_original_wrong!D180*total_from_MA_dashboard!D$24</f>
        <v>4.6584980446163549E-4</v>
      </c>
      <c r="E180">
        <f>daily_original_wrong!E180*total_from_MA_dashboard!E$24</f>
        <v>3.3321672164945244E-4</v>
      </c>
      <c r="F180">
        <f>daily_original_wrong!F180*total_from_MA_dashboard!F$24</f>
        <v>4.7918475098414619E-4</v>
      </c>
      <c r="G180">
        <f>daily_original_wrong!G180*total_from_MA_dashboard!G$24</f>
        <v>6.0280160205429003E-4</v>
      </c>
      <c r="H180">
        <f>daily_original_wrong!H180*total_from_MA_dashboard!H$24</f>
        <v>6.3813156405254296E-4</v>
      </c>
      <c r="J180" t="str">
        <f t="shared" si="14"/>
        <v>[</v>
      </c>
      <c r="K180" t="str">
        <f t="shared" si="15"/>
        <v>[0.000303613373228449],</v>
      </c>
      <c r="L180" t="str">
        <f t="shared" si="19"/>
        <v>[0.000607226746456898],</v>
      </c>
      <c r="M180" t="str">
        <f t="shared" si="19"/>
        <v>[0.000465849804461635],</v>
      </c>
      <c r="N180" t="str">
        <f t="shared" si="19"/>
        <v>[0.000333216721649452],</v>
      </c>
      <c r="O180" t="str">
        <f t="shared" si="19"/>
        <v>[0.000479184750984146],</v>
      </c>
      <c r="P180" t="str">
        <f t="shared" si="19"/>
        <v>[0.00060280160205429],</v>
      </c>
      <c r="Q180" t="str">
        <f t="shared" si="16"/>
        <v>[0.000638131564052543]</v>
      </c>
      <c r="R180" t="str">
        <f t="shared" si="17"/>
        <v>]</v>
      </c>
      <c r="S180" t="str">
        <f t="shared" si="18"/>
        <v>[[0.000303613373228449],[0.000607226746456898],[0.000465849804461635],[0.000333216721649452],[0.000479184750984146],[0.00060280160205429],[0.000638131564052543]]</v>
      </c>
    </row>
    <row r="181" spans="1:19" x14ac:dyDescent="0.2">
      <c r="A181" s="1" t="d">
        <v>2026-02-11</v>
      </c>
      <c r="B181">
        <f>daily_original_wrong!B181*total_from_MA_dashboard!B$24</f>
        <v>3.036133732284489E-4</v>
      </c>
      <c r="C181">
        <f>daily_original_wrong!C181*total_from_MA_dashboard!C$24</f>
        <v>6.072267464568978E-4</v>
      </c>
      <c r="D181">
        <f>daily_original_wrong!D181*total_from_MA_dashboard!D$24</f>
        <v>4.6584980446163549E-4</v>
      </c>
      <c r="E181">
        <f>daily_original_wrong!E181*total_from_MA_dashboard!E$24</f>
        <v>3.3321672164945244E-4</v>
      </c>
      <c r="F181">
        <f>daily_original_wrong!F181*total_from_MA_dashboard!F$24</f>
        <v>4.7918475098414619E-4</v>
      </c>
      <c r="G181">
        <f>daily_original_wrong!G181*total_from_MA_dashboard!G$24</f>
        <v>6.0280160205429003E-4</v>
      </c>
      <c r="H181">
        <f>daily_original_wrong!H181*total_from_MA_dashboard!H$24</f>
        <v>6.3813156405254296E-4</v>
      </c>
      <c r="J181" t="str">
        <f t="shared" si="14"/>
        <v>[</v>
      </c>
      <c r="K181" t="str">
        <f t="shared" si="15"/>
        <v>[0.000303613373228449],</v>
      </c>
      <c r="L181" t="str">
        <f t="shared" si="19"/>
        <v>[0.000607226746456898],</v>
      </c>
      <c r="M181" t="str">
        <f t="shared" si="19"/>
        <v>[0.000465849804461635],</v>
      </c>
      <c r="N181" t="str">
        <f t="shared" si="19"/>
        <v>[0.000333216721649452],</v>
      </c>
      <c r="O181" t="str">
        <f t="shared" si="19"/>
        <v>[0.000479184750984146],</v>
      </c>
      <c r="P181" t="str">
        <f t="shared" si="19"/>
        <v>[0.00060280160205429],</v>
      </c>
      <c r="Q181" t="str">
        <f t="shared" si="16"/>
        <v>[0.000638131564052543]</v>
      </c>
      <c r="R181" t="str">
        <f t="shared" si="17"/>
        <v>]</v>
      </c>
      <c r="S181" t="str">
        <f t="shared" si="18"/>
        <v>[[0.000303613373228449],[0.000607226746456898],[0.000465849804461635],[0.000333216721649452],[0.000479184750984146],[0.00060280160205429],[0.000638131564052543]]</v>
      </c>
    </row>
    <row r="182" spans="1:19" x14ac:dyDescent="0.2">
      <c r="A182" s="1" t="d">
        <v>2026-02-12</v>
      </c>
      <c r="B182">
        <f>daily_original_wrong!B182*total_from_MA_dashboard!B$24</f>
        <v>3.036133732284489E-4</v>
      </c>
      <c r="C182">
        <f>daily_original_wrong!C182*total_from_MA_dashboard!C$24</f>
        <v>6.072267464568978E-4</v>
      </c>
      <c r="D182">
        <f>daily_original_wrong!D182*total_from_MA_dashboard!D$24</f>
        <v>4.6584980446163549E-4</v>
      </c>
      <c r="E182">
        <f>daily_original_wrong!E182*total_from_MA_dashboard!E$24</f>
        <v>3.3321672164945244E-4</v>
      </c>
      <c r="F182">
        <f>daily_original_wrong!F182*total_from_MA_dashboard!F$24</f>
        <v>4.7918475098414619E-4</v>
      </c>
      <c r="G182">
        <f>daily_original_wrong!G182*total_from_MA_dashboard!G$24</f>
        <v>6.0280160205429003E-4</v>
      </c>
      <c r="H182">
        <f>daily_original_wrong!H182*total_from_MA_dashboard!H$24</f>
        <v>6.3813156405254296E-4</v>
      </c>
      <c r="J182" t="str">
        <f t="shared" si="14"/>
        <v>[</v>
      </c>
      <c r="K182" t="str">
        <f t="shared" si="15"/>
        <v>[0.000303613373228449],</v>
      </c>
      <c r="L182" t="str">
        <f t="shared" si="19"/>
        <v>[0.000607226746456898],</v>
      </c>
      <c r="M182" t="str">
        <f t="shared" si="19"/>
        <v>[0.000465849804461635],</v>
      </c>
      <c r="N182" t="str">
        <f t="shared" si="19"/>
        <v>[0.000333216721649452],</v>
      </c>
      <c r="O182" t="str">
        <f t="shared" si="19"/>
        <v>[0.000479184750984146],</v>
      </c>
      <c r="P182" t="str">
        <f t="shared" si="19"/>
        <v>[0.00060280160205429],</v>
      </c>
      <c r="Q182" t="str">
        <f t="shared" si="16"/>
        <v>[0.000638131564052543]</v>
      </c>
      <c r="R182" t="str">
        <f t="shared" si="17"/>
        <v>]</v>
      </c>
      <c r="S182" t="str">
        <f t="shared" si="18"/>
        <v>[[0.000303613373228449],[0.000607226746456898],[0.000465849804461635],[0.000333216721649452],[0.000479184750984146],[0.00060280160205429],[0.000638131564052543]]</v>
      </c>
    </row>
    <row r="183" spans="1:19" x14ac:dyDescent="0.2">
      <c r="A183" s="1" t="d">
        <v>2026-02-13</v>
      </c>
      <c r="B183">
        <f>daily_original_wrong!B183*total_from_MA_dashboard!B$24</f>
        <v>3.036133732284489E-4</v>
      </c>
      <c r="C183">
        <f>daily_original_wrong!C183*total_from_MA_dashboard!C$24</f>
        <v>6.072267464568978E-4</v>
      </c>
      <c r="D183">
        <f>daily_original_wrong!D183*total_from_MA_dashboard!D$24</f>
        <v>4.6584980446163549E-4</v>
      </c>
      <c r="E183">
        <f>daily_original_wrong!E183*total_from_MA_dashboard!E$24</f>
        <v>3.3321672164945244E-4</v>
      </c>
      <c r="F183">
        <f>daily_original_wrong!F183*total_from_MA_dashboard!F$24</f>
        <v>4.7918475098414619E-4</v>
      </c>
      <c r="G183">
        <f>daily_original_wrong!G183*total_from_MA_dashboard!G$24</f>
        <v>6.0280160205429003E-4</v>
      </c>
      <c r="H183">
        <f>daily_original_wrong!H183*total_from_MA_dashboard!H$24</f>
        <v>6.3813156405254296E-4</v>
      </c>
      <c r="J183" t="str">
        <f t="shared" si="14"/>
        <v>[</v>
      </c>
      <c r="K183" t="str">
        <f t="shared" si="15"/>
        <v>[0.000303613373228449],</v>
      </c>
      <c r="L183" t="str">
        <f t="shared" si="19"/>
        <v>[0.000607226746456898],</v>
      </c>
      <c r="M183" t="str">
        <f t="shared" si="19"/>
        <v>[0.000465849804461635],</v>
      </c>
      <c r="N183" t="str">
        <f t="shared" si="19"/>
        <v>[0.000333216721649452],</v>
      </c>
      <c r="O183" t="str">
        <f t="shared" si="19"/>
        <v>[0.000479184750984146],</v>
      </c>
      <c r="P183" t="str">
        <f t="shared" si="19"/>
        <v>[0.00060280160205429],</v>
      </c>
      <c r="Q183" t="str">
        <f t="shared" si="16"/>
        <v>[0.000638131564052543]</v>
      </c>
      <c r="R183" t="str">
        <f t="shared" si="17"/>
        <v>]</v>
      </c>
      <c r="S183" t="str">
        <f t="shared" si="18"/>
        <v>[[0.000303613373228449],[0.000607226746456898],[0.000465849804461635],[0.000333216721649452],[0.000479184750984146],[0.00060280160205429],[0.000638131564052543]]</v>
      </c>
    </row>
    <row r="184" spans="1:19" x14ac:dyDescent="0.2">
      <c r="A184" s="1" t="d">
        <v>2026-02-14</v>
      </c>
      <c r="B184">
        <f>daily_original_wrong!B184*total_from_MA_dashboard!B$24</f>
        <v>3.5447239863008081E-4</v>
      </c>
      <c r="C184">
        <f>daily_original_wrong!C184*total_from_MA_dashboard!C$24</f>
        <v>7.0894479726016162E-4</v>
      </c>
      <c r="D184">
        <f>daily_original_wrong!D184*total_from_MA_dashboard!D$24</f>
        <v>4.7404350601191688E-4</v>
      </c>
      <c r="E184">
        <f>daily_original_wrong!E184*total_from_MA_dashboard!E$24</f>
        <v>3.3497655880100391E-4</v>
      </c>
      <c r="F184">
        <f>daily_original_wrong!F184*total_from_MA_dashboard!F$24</f>
        <v>4.2960054845606808E-4</v>
      </c>
      <c r="G184">
        <f>daily_original_wrong!G184*total_from_MA_dashboard!G$24</f>
        <v>6.786723851987343E-4</v>
      </c>
      <c r="H184">
        <f>daily_original_wrong!H184*total_from_MA_dashboard!H$24</f>
        <v>4.817355336383154E-4</v>
      </c>
      <c r="J184" t="str">
        <f t="shared" si="14"/>
        <v>[</v>
      </c>
      <c r="K184" t="str">
        <f t="shared" si="15"/>
        <v>[0.000354472398630081],</v>
      </c>
      <c r="L184" t="str">
        <f t="shared" si="19"/>
        <v>[0.000708944797260162],</v>
      </c>
      <c r="M184" t="str">
        <f t="shared" si="19"/>
        <v>[0.000474043506011917],</v>
      </c>
      <c r="N184" t="str">
        <f t="shared" si="19"/>
        <v>[0.000334976558801004],</v>
      </c>
      <c r="O184" t="str">
        <f t="shared" si="19"/>
        <v>[0.000429600548456068],</v>
      </c>
      <c r="P184" t="str">
        <f t="shared" si="19"/>
        <v>[0.000678672385198734],</v>
      </c>
      <c r="Q184" t="str">
        <f t="shared" si="16"/>
        <v>[0.000481735533638315]</v>
      </c>
      <c r="R184" t="str">
        <f t="shared" si="17"/>
        <v>]</v>
      </c>
      <c r="S184" t="str">
        <f t="shared" si="18"/>
        <v>[[0.000354472398630081],[0.000708944797260162],[0.000474043506011917],[0.000334976558801004],[0.000429600548456068],[0.000678672385198734],[0.000481735533638315]]</v>
      </c>
    </row>
    <row r="185" spans="1:19" x14ac:dyDescent="0.2">
      <c r="A185" s="1" t="d">
        <v>2026-02-15</v>
      </c>
      <c r="B185">
        <f>daily_original_wrong!B185*total_from_MA_dashboard!B$24</f>
        <v>3.5447239863008081E-4</v>
      </c>
      <c r="C185">
        <f>daily_original_wrong!C185*total_from_MA_dashboard!C$24</f>
        <v>7.0894479726016162E-4</v>
      </c>
      <c r="D185">
        <f>daily_original_wrong!D185*total_from_MA_dashboard!D$24</f>
        <v>4.7404350601191688E-4</v>
      </c>
      <c r="E185">
        <f>daily_original_wrong!E185*total_from_MA_dashboard!E$24</f>
        <v>3.3497655880100391E-4</v>
      </c>
      <c r="F185">
        <f>daily_original_wrong!F185*total_from_MA_dashboard!F$24</f>
        <v>4.2960054845606808E-4</v>
      </c>
      <c r="G185">
        <f>daily_original_wrong!G185*total_from_MA_dashboard!G$24</f>
        <v>6.786723851987343E-4</v>
      </c>
      <c r="H185">
        <f>daily_original_wrong!H185*total_from_MA_dashboard!H$24</f>
        <v>4.817355336383154E-4</v>
      </c>
      <c r="J185" t="str">
        <f t="shared" si="14"/>
        <v>[</v>
      </c>
      <c r="K185" t="str">
        <f t="shared" si="15"/>
        <v>[0.000354472398630081],</v>
      </c>
      <c r="L185" t="str">
        <f t="shared" si="19"/>
        <v>[0.000708944797260162],</v>
      </c>
      <c r="M185" t="str">
        <f t="shared" si="19"/>
        <v>[0.000474043506011917],</v>
      </c>
      <c r="N185" t="str">
        <f t="shared" si="19"/>
        <v>[0.000334976558801004],</v>
      </c>
      <c r="O185" t="str">
        <f t="shared" si="19"/>
        <v>[0.000429600548456068],</v>
      </c>
      <c r="P185" t="str">
        <f t="shared" si="19"/>
        <v>[0.000678672385198734],</v>
      </c>
      <c r="Q185" t="str">
        <f t="shared" si="16"/>
        <v>[0.000481735533638315]</v>
      </c>
      <c r="R185" t="str">
        <f t="shared" si="17"/>
        <v>]</v>
      </c>
      <c r="S185" t="str">
        <f t="shared" si="18"/>
        <v>[[0.000354472398630081],[0.000708944797260162],[0.000474043506011917],[0.000334976558801004],[0.000429600548456068],[0.000678672385198734],[0.000481735533638315]]</v>
      </c>
    </row>
    <row r="186" spans="1:19" x14ac:dyDescent="0.2">
      <c r="A186" s="1" t="d">
        <v>2026-02-16</v>
      </c>
      <c r="B186">
        <f>daily_original_wrong!B186*total_from_MA_dashboard!B$24</f>
        <v>3.5447239863008081E-4</v>
      </c>
      <c r="C186">
        <f>daily_original_wrong!C186*total_from_MA_dashboard!C$24</f>
        <v>7.0894479726016162E-4</v>
      </c>
      <c r="D186">
        <f>daily_original_wrong!D186*total_from_MA_dashboard!D$24</f>
        <v>4.7404350601191688E-4</v>
      </c>
      <c r="E186">
        <f>daily_original_wrong!E186*total_from_MA_dashboard!E$24</f>
        <v>3.3497655880100391E-4</v>
      </c>
      <c r="F186">
        <f>daily_original_wrong!F186*total_from_MA_dashboard!F$24</f>
        <v>4.2960054845606808E-4</v>
      </c>
      <c r="G186">
        <f>daily_original_wrong!G186*total_from_MA_dashboard!G$24</f>
        <v>6.786723851987343E-4</v>
      </c>
      <c r="H186">
        <f>daily_original_wrong!H186*total_from_MA_dashboard!H$24</f>
        <v>4.817355336383154E-4</v>
      </c>
      <c r="J186" t="str">
        <f t="shared" si="14"/>
        <v>[</v>
      </c>
      <c r="K186" t="str">
        <f t="shared" si="15"/>
        <v>[0.000354472398630081],</v>
      </c>
      <c r="L186" t="str">
        <f t="shared" si="19"/>
        <v>[0.000708944797260162],</v>
      </c>
      <c r="M186" t="str">
        <f t="shared" si="19"/>
        <v>[0.000474043506011917],</v>
      </c>
      <c r="N186" t="str">
        <f t="shared" si="19"/>
        <v>[0.000334976558801004],</v>
      </c>
      <c r="O186" t="str">
        <f t="shared" si="19"/>
        <v>[0.000429600548456068],</v>
      </c>
      <c r="P186" t="str">
        <f t="shared" si="19"/>
        <v>[0.000678672385198734],</v>
      </c>
      <c r="Q186" t="str">
        <f t="shared" si="16"/>
        <v>[0.000481735533638315]</v>
      </c>
      <c r="R186" t="str">
        <f t="shared" si="17"/>
        <v>]</v>
      </c>
      <c r="S186" t="str">
        <f t="shared" si="18"/>
        <v>[[0.000354472398630081],[0.000708944797260162],[0.000474043506011917],[0.000334976558801004],[0.000429600548456068],[0.000678672385198734],[0.000481735533638315]]</v>
      </c>
    </row>
    <row r="187" spans="1:19" x14ac:dyDescent="0.2">
      <c r="A187" s="1" t="d">
        <v>2026-02-17</v>
      </c>
      <c r="B187">
        <f>daily_original_wrong!B187*total_from_MA_dashboard!B$24</f>
        <v>3.5447239863008081E-4</v>
      </c>
      <c r="C187">
        <f>daily_original_wrong!C187*total_from_MA_dashboard!C$24</f>
        <v>7.0894479726016162E-4</v>
      </c>
      <c r="D187">
        <f>daily_original_wrong!D187*total_from_MA_dashboard!D$24</f>
        <v>4.7404350601191688E-4</v>
      </c>
      <c r="E187">
        <f>daily_original_wrong!E187*total_from_MA_dashboard!E$24</f>
        <v>3.3497655880100391E-4</v>
      </c>
      <c r="F187">
        <f>daily_original_wrong!F187*total_from_MA_dashboard!F$24</f>
        <v>4.2960054845606808E-4</v>
      </c>
      <c r="G187">
        <f>daily_original_wrong!G187*total_from_MA_dashboard!G$24</f>
        <v>6.786723851987343E-4</v>
      </c>
      <c r="H187">
        <f>daily_original_wrong!H187*total_from_MA_dashboard!H$24</f>
        <v>4.817355336383154E-4</v>
      </c>
      <c r="J187" t="str">
        <f t="shared" si="14"/>
        <v>[</v>
      </c>
      <c r="K187" t="str">
        <f t="shared" si="15"/>
        <v>[0.000354472398630081],</v>
      </c>
      <c r="L187" t="str">
        <f t="shared" si="19"/>
        <v>[0.000708944797260162],</v>
      </c>
      <c r="M187" t="str">
        <f t="shared" si="19"/>
        <v>[0.000474043506011917],</v>
      </c>
      <c r="N187" t="str">
        <f t="shared" si="19"/>
        <v>[0.000334976558801004],</v>
      </c>
      <c r="O187" t="str">
        <f t="shared" si="19"/>
        <v>[0.000429600548456068],</v>
      </c>
      <c r="P187" t="str">
        <f t="shared" si="19"/>
        <v>[0.000678672385198734],</v>
      </c>
      <c r="Q187" t="str">
        <f t="shared" si="16"/>
        <v>[0.000481735533638315]</v>
      </c>
      <c r="R187" t="str">
        <f t="shared" si="17"/>
        <v>]</v>
      </c>
      <c r="S187" t="str">
        <f t="shared" si="18"/>
        <v>[[0.000354472398630081],[0.000708944797260162],[0.000474043506011917],[0.000334976558801004],[0.000429600548456068],[0.000678672385198734],[0.000481735533638315]]</v>
      </c>
    </row>
    <row r="188" spans="1:19" x14ac:dyDescent="0.2">
      <c r="A188" s="1" t="d">
        <v>2026-02-18</v>
      </c>
      <c r="B188">
        <f>daily_original_wrong!B188*total_from_MA_dashboard!B$24</f>
        <v>3.5447239863008081E-4</v>
      </c>
      <c r="C188">
        <f>daily_original_wrong!C188*total_from_MA_dashboard!C$24</f>
        <v>7.0894479726016162E-4</v>
      </c>
      <c r="D188">
        <f>daily_original_wrong!D188*total_from_MA_dashboard!D$24</f>
        <v>4.7404350601191688E-4</v>
      </c>
      <c r="E188">
        <f>daily_original_wrong!E188*total_from_MA_dashboard!E$24</f>
        <v>3.3497655880100391E-4</v>
      </c>
      <c r="F188">
        <f>daily_original_wrong!F188*total_from_MA_dashboard!F$24</f>
        <v>4.2960054845606808E-4</v>
      </c>
      <c r="G188">
        <f>daily_original_wrong!G188*total_from_MA_dashboard!G$24</f>
        <v>6.786723851987343E-4</v>
      </c>
      <c r="H188">
        <f>daily_original_wrong!H188*total_from_MA_dashboard!H$24</f>
        <v>4.817355336383154E-4</v>
      </c>
      <c r="J188" t="str">
        <f t="shared" si="14"/>
        <v>[</v>
      </c>
      <c r="K188" t="str">
        <f t="shared" si="15"/>
        <v>[0.000354472398630081],</v>
      </c>
      <c r="L188" t="str">
        <f t="shared" si="19"/>
        <v>[0.000708944797260162],</v>
      </c>
      <c r="M188" t="str">
        <f t="shared" si="19"/>
        <v>[0.000474043506011917],</v>
      </c>
      <c r="N188" t="str">
        <f t="shared" si="19"/>
        <v>[0.000334976558801004],</v>
      </c>
      <c r="O188" t="str">
        <f t="shared" si="19"/>
        <v>[0.000429600548456068],</v>
      </c>
      <c r="P188" t="str">
        <f t="shared" si="19"/>
        <v>[0.000678672385198734],</v>
      </c>
      <c r="Q188" t="str">
        <f t="shared" si="16"/>
        <v>[0.000481735533638315]</v>
      </c>
      <c r="R188" t="str">
        <f t="shared" si="17"/>
        <v>]</v>
      </c>
      <c r="S188" t="str">
        <f t="shared" si="18"/>
        <v>[[0.000354472398630081],[0.000708944797260162],[0.000474043506011917],[0.000334976558801004],[0.000429600548456068],[0.000678672385198734],[0.000481735533638315]]</v>
      </c>
    </row>
    <row r="189" spans="1:19" x14ac:dyDescent="0.2">
      <c r="A189" s="1" t="d">
        <v>2026-02-19</v>
      </c>
      <c r="B189">
        <f>daily_original_wrong!B189*total_from_MA_dashboard!B$24</f>
        <v>3.5447239863008081E-4</v>
      </c>
      <c r="C189">
        <f>daily_original_wrong!C189*total_from_MA_dashboard!C$24</f>
        <v>7.0894479726016162E-4</v>
      </c>
      <c r="D189">
        <f>daily_original_wrong!D189*total_from_MA_dashboard!D$24</f>
        <v>4.7404350601191688E-4</v>
      </c>
      <c r="E189">
        <f>daily_original_wrong!E189*total_from_MA_dashboard!E$24</f>
        <v>3.3497655880100391E-4</v>
      </c>
      <c r="F189">
        <f>daily_original_wrong!F189*total_from_MA_dashboard!F$24</f>
        <v>4.2960054845606808E-4</v>
      </c>
      <c r="G189">
        <f>daily_original_wrong!G189*total_from_MA_dashboard!G$24</f>
        <v>6.786723851987343E-4</v>
      </c>
      <c r="H189">
        <f>daily_original_wrong!H189*total_from_MA_dashboard!H$24</f>
        <v>4.817355336383154E-4</v>
      </c>
      <c r="J189" t="str">
        <f t="shared" si="14"/>
        <v>[</v>
      </c>
      <c r="K189" t="str">
        <f t="shared" si="15"/>
        <v>[0.000354472398630081],</v>
      </c>
      <c r="L189" t="str">
        <f t="shared" si="19"/>
        <v>[0.000708944797260162],</v>
      </c>
      <c r="M189" t="str">
        <f t="shared" si="19"/>
        <v>[0.000474043506011917],</v>
      </c>
      <c r="N189" t="str">
        <f t="shared" si="19"/>
        <v>[0.000334976558801004],</v>
      </c>
      <c r="O189" t="str">
        <f t="shared" si="19"/>
        <v>[0.000429600548456068],</v>
      </c>
      <c r="P189" t="str">
        <f t="shared" si="19"/>
        <v>[0.000678672385198734],</v>
      </c>
      <c r="Q189" t="str">
        <f t="shared" si="16"/>
        <v>[0.000481735533638315]</v>
      </c>
      <c r="R189" t="str">
        <f t="shared" si="17"/>
        <v>]</v>
      </c>
      <c r="S189" t="str">
        <f t="shared" si="18"/>
        <v>[[0.000354472398630081],[0.000708944797260162],[0.000474043506011917],[0.000334976558801004],[0.000429600548456068],[0.000678672385198734],[0.000481735533638315]]</v>
      </c>
    </row>
    <row r="190" spans="1:19" x14ac:dyDescent="0.2">
      <c r="A190" s="1" t="d">
        <v>2026-02-20</v>
      </c>
      <c r="B190">
        <f>daily_original_wrong!B190*total_from_MA_dashboard!B$24</f>
        <v>3.5447239863008081E-4</v>
      </c>
      <c r="C190">
        <f>daily_original_wrong!C190*total_from_MA_dashboard!C$24</f>
        <v>7.0894479726016162E-4</v>
      </c>
      <c r="D190">
        <f>daily_original_wrong!D190*total_from_MA_dashboard!D$24</f>
        <v>4.7404350601191688E-4</v>
      </c>
      <c r="E190">
        <f>daily_original_wrong!E190*total_from_MA_dashboard!E$24</f>
        <v>3.3497655880100391E-4</v>
      </c>
      <c r="F190">
        <f>daily_original_wrong!F190*total_from_MA_dashboard!F$24</f>
        <v>4.2960054845606808E-4</v>
      </c>
      <c r="G190">
        <f>daily_original_wrong!G190*total_from_MA_dashboard!G$24</f>
        <v>6.786723851987343E-4</v>
      </c>
      <c r="H190">
        <f>daily_original_wrong!H190*total_from_MA_dashboard!H$24</f>
        <v>4.817355336383154E-4</v>
      </c>
      <c r="J190" t="str">
        <f t="shared" si="14"/>
        <v>[</v>
      </c>
      <c r="K190" t="str">
        <f t="shared" si="15"/>
        <v>[0.000354472398630081],</v>
      </c>
      <c r="L190" t="str">
        <f t="shared" si="19"/>
        <v>[0.000708944797260162],</v>
      </c>
      <c r="M190" t="str">
        <f t="shared" si="19"/>
        <v>[0.000474043506011917],</v>
      </c>
      <c r="N190" t="str">
        <f t="shared" si="19"/>
        <v>[0.000334976558801004],</v>
      </c>
      <c r="O190" t="str">
        <f t="shared" si="19"/>
        <v>[0.000429600548456068],</v>
      </c>
      <c r="P190" t="str">
        <f t="shared" si="19"/>
        <v>[0.000678672385198734],</v>
      </c>
      <c r="Q190" t="str">
        <f t="shared" si="16"/>
        <v>[0.000481735533638315]</v>
      </c>
      <c r="R190" t="str">
        <f t="shared" si="17"/>
        <v>]</v>
      </c>
      <c r="S190" t="str">
        <f t="shared" si="18"/>
        <v>[[0.000354472398630081],[0.000708944797260162],[0.000474043506011917],[0.000334976558801004],[0.000429600548456068],[0.000678672385198734],[0.000481735533638315]]</v>
      </c>
    </row>
    <row r="191" spans="1:19" x14ac:dyDescent="0.2">
      <c r="A191" s="1" t="d">
        <v>2026-02-21</v>
      </c>
      <c r="B191">
        <f>daily_original_wrong!B191*total_from_MA_dashboard!B$24</f>
        <v>3.7858491388480876E-4</v>
      </c>
      <c r="C191">
        <f>daily_original_wrong!C191*total_from_MA_dashboard!C$24</f>
        <v>7.5716982776961753E-4</v>
      </c>
      <c r="D191">
        <f>daily_original_wrong!D191*total_from_MA_dashboard!D$24</f>
        <v>4.5535236947442584E-4</v>
      </c>
      <c r="E191">
        <f>daily_original_wrong!E191*total_from_MA_dashboard!E$24</f>
        <v>3.2470248703467459E-4</v>
      </c>
      <c r="F191">
        <f>daily_original_wrong!F191*total_from_MA_dashboard!F$24</f>
        <v>3.7767467515537582E-4</v>
      </c>
      <c r="G191">
        <f>daily_original_wrong!G191*total_from_MA_dashboard!G$24</f>
        <v>6.9361796314472142E-4</v>
      </c>
      <c r="H191">
        <f>daily_original_wrong!H191*total_from_MA_dashboard!H$24</f>
        <v>3.6681029861786017E-4</v>
      </c>
      <c r="J191" t="str">
        <f t="shared" si="14"/>
        <v>[</v>
      </c>
      <c r="K191" t="str">
        <f t="shared" si="15"/>
        <v>[0.000378584913884809],</v>
      </c>
      <c r="L191" t="str">
        <f t="shared" si="19"/>
        <v>[0.000757169827769618],</v>
      </c>
      <c r="M191" t="str">
        <f t="shared" si="19"/>
        <v>[0.000455352369474426],</v>
      </c>
      <c r="N191" t="str">
        <f t="shared" si="19"/>
        <v>[0.000324702487034675],</v>
      </c>
      <c r="O191" t="str">
        <f t="shared" si="19"/>
        <v>[0.000377674675155376],</v>
      </c>
      <c r="P191" t="str">
        <f t="shared" si="19"/>
        <v>[0.000693617963144721],</v>
      </c>
      <c r="Q191" t="str">
        <f t="shared" si="16"/>
        <v>[0.00036681029861786]</v>
      </c>
      <c r="R191" t="str">
        <f t="shared" si="17"/>
        <v>]</v>
      </c>
      <c r="S191" t="str">
        <f t="shared" si="18"/>
        <v>[[0.000378584913884809],[0.000757169827769618],[0.000455352369474426],[0.000324702487034675],[0.000377674675155376],[0.000693617963144721],[0.00036681029861786]]</v>
      </c>
    </row>
    <row r="192" spans="1:19" x14ac:dyDescent="0.2">
      <c r="A192" s="1" t="d">
        <v>2026-02-22</v>
      </c>
      <c r="B192">
        <f>daily_original_wrong!B192*total_from_MA_dashboard!B$24</f>
        <v>3.7858491388480876E-4</v>
      </c>
      <c r="C192">
        <f>daily_original_wrong!C192*total_from_MA_dashboard!C$24</f>
        <v>7.5716982776961753E-4</v>
      </c>
      <c r="D192">
        <f>daily_original_wrong!D192*total_from_MA_dashboard!D$24</f>
        <v>4.5535236947442584E-4</v>
      </c>
      <c r="E192">
        <f>daily_original_wrong!E192*total_from_MA_dashboard!E$24</f>
        <v>3.2470248703467459E-4</v>
      </c>
      <c r="F192">
        <f>daily_original_wrong!F192*total_from_MA_dashboard!F$24</f>
        <v>3.7767467515537582E-4</v>
      </c>
      <c r="G192">
        <f>daily_original_wrong!G192*total_from_MA_dashboard!G$24</f>
        <v>6.9361796314472142E-4</v>
      </c>
      <c r="H192">
        <f>daily_original_wrong!H192*total_from_MA_dashboard!H$24</f>
        <v>3.6681029861786017E-4</v>
      </c>
      <c r="J192" t="str">
        <f t="shared" si="14"/>
        <v>[</v>
      </c>
      <c r="K192" t="str">
        <f t="shared" si="15"/>
        <v>[0.000378584913884809],</v>
      </c>
      <c r="L192" t="str">
        <f t="shared" si="19"/>
        <v>[0.000757169827769618],</v>
      </c>
      <c r="M192" t="str">
        <f t="shared" si="19"/>
        <v>[0.000455352369474426],</v>
      </c>
      <c r="N192" t="str">
        <f t="shared" si="19"/>
        <v>[0.000324702487034675],</v>
      </c>
      <c r="O192" t="str">
        <f t="shared" si="19"/>
        <v>[0.000377674675155376],</v>
      </c>
      <c r="P192" t="str">
        <f t="shared" si="19"/>
        <v>[0.000693617963144721],</v>
      </c>
      <c r="Q192" t="str">
        <f t="shared" si="16"/>
        <v>[0.00036681029861786]</v>
      </c>
      <c r="R192" t="str">
        <f t="shared" si="17"/>
        <v>]</v>
      </c>
      <c r="S192" t="str">
        <f t="shared" si="18"/>
        <v>[[0.000378584913884809],[0.000757169827769618],[0.000455352369474426],[0.000324702487034675],[0.000377674675155376],[0.000693617963144721],[0.00036681029861786]]</v>
      </c>
    </row>
    <row r="193" spans="1:19" x14ac:dyDescent="0.2">
      <c r="A193" s="1" t="d">
        <v>2026-02-23</v>
      </c>
      <c r="B193">
        <f>daily_original_wrong!B193*total_from_MA_dashboard!B$24</f>
        <v>3.7858491388480876E-4</v>
      </c>
      <c r="C193">
        <f>daily_original_wrong!C193*total_from_MA_dashboard!C$24</f>
        <v>7.5716982776961753E-4</v>
      </c>
      <c r="D193">
        <f>daily_original_wrong!D193*total_from_MA_dashboard!D$24</f>
        <v>4.5535236947442584E-4</v>
      </c>
      <c r="E193">
        <f>daily_original_wrong!E193*total_from_MA_dashboard!E$24</f>
        <v>3.2470248703467459E-4</v>
      </c>
      <c r="F193">
        <f>daily_original_wrong!F193*total_from_MA_dashboard!F$24</f>
        <v>3.7767467515537582E-4</v>
      </c>
      <c r="G193">
        <f>daily_original_wrong!G193*total_from_MA_dashboard!G$24</f>
        <v>6.9361796314472142E-4</v>
      </c>
      <c r="H193">
        <f>daily_original_wrong!H193*total_from_MA_dashboard!H$24</f>
        <v>3.6681029861786017E-4</v>
      </c>
      <c r="J193" t="str">
        <f t="shared" si="14"/>
        <v>[</v>
      </c>
      <c r="K193" t="str">
        <f t="shared" si="15"/>
        <v>[0.000378584913884809],</v>
      </c>
      <c r="L193" t="str">
        <f t="shared" si="19"/>
        <v>[0.000757169827769618],</v>
      </c>
      <c r="M193" t="str">
        <f t="shared" si="19"/>
        <v>[0.000455352369474426],</v>
      </c>
      <c r="N193" t="str">
        <f t="shared" si="19"/>
        <v>[0.000324702487034675],</v>
      </c>
      <c r="O193" t="str">
        <f t="shared" si="19"/>
        <v>[0.000377674675155376],</v>
      </c>
      <c r="P193" t="str">
        <f t="shared" si="19"/>
        <v>[0.000693617963144721],</v>
      </c>
      <c r="Q193" t="str">
        <f t="shared" si="16"/>
        <v>[0.00036681029861786]</v>
      </c>
      <c r="R193" t="str">
        <f t="shared" si="17"/>
        <v>]</v>
      </c>
      <c r="S193" t="str">
        <f t="shared" si="18"/>
        <v>[[0.000378584913884809],[0.000757169827769618],[0.000455352369474426],[0.000324702487034675],[0.000377674675155376],[0.000693617963144721],[0.00036681029861786]]</v>
      </c>
    </row>
    <row r="194" spans="1:19" x14ac:dyDescent="0.2">
      <c r="A194" s="1" t="d">
        <v>2026-02-24</v>
      </c>
      <c r="B194">
        <f>daily_original_wrong!B194*total_from_MA_dashboard!B$24</f>
        <v>3.7858491388480876E-4</v>
      </c>
      <c r="C194">
        <f>daily_original_wrong!C194*total_from_MA_dashboard!C$24</f>
        <v>7.5716982776961753E-4</v>
      </c>
      <c r="D194">
        <f>daily_original_wrong!D194*total_from_MA_dashboard!D$24</f>
        <v>4.5535236947442584E-4</v>
      </c>
      <c r="E194">
        <f>daily_original_wrong!E194*total_from_MA_dashboard!E$24</f>
        <v>3.2470248703467459E-4</v>
      </c>
      <c r="F194">
        <f>daily_original_wrong!F194*total_from_MA_dashboard!F$24</f>
        <v>3.7767467515537582E-4</v>
      </c>
      <c r="G194">
        <f>daily_original_wrong!G194*total_from_MA_dashboard!G$24</f>
        <v>6.9361796314472142E-4</v>
      </c>
      <c r="H194">
        <f>daily_original_wrong!H194*total_from_MA_dashboard!H$24</f>
        <v>3.6681029861786017E-4</v>
      </c>
      <c r="J194" t="str">
        <f t="shared" si="14"/>
        <v>[</v>
      </c>
      <c r="K194" t="str">
        <f t="shared" si="15"/>
        <v>[0.000378584913884809],</v>
      </c>
      <c r="L194" t="str">
        <f t="shared" si="19"/>
        <v>[0.000757169827769618],</v>
      </c>
      <c r="M194" t="str">
        <f t="shared" si="19"/>
        <v>[0.000455352369474426],</v>
      </c>
      <c r="N194" t="str">
        <f t="shared" si="19"/>
        <v>[0.000324702487034675],</v>
      </c>
      <c r="O194" t="str">
        <f t="shared" si="19"/>
        <v>[0.000377674675155376],</v>
      </c>
      <c r="P194" t="str">
        <f t="shared" si="19"/>
        <v>[0.000693617963144721],</v>
      </c>
      <c r="Q194" t="str">
        <f t="shared" si="16"/>
        <v>[0.00036681029861786]</v>
      </c>
      <c r="R194" t="str">
        <f t="shared" si="17"/>
        <v>]</v>
      </c>
      <c r="S194" t="str">
        <f t="shared" si="18"/>
        <v>[[0.000378584913884809],[0.000757169827769618],[0.000455352369474426],[0.000324702487034675],[0.000377674675155376],[0.000693617963144721],[0.00036681029861786]]</v>
      </c>
    </row>
    <row r="195" spans="1:19" x14ac:dyDescent="0.2">
      <c r="A195" s="1" t="d">
        <v>2026-02-25</v>
      </c>
      <c r="B195">
        <f>daily_original_wrong!B195*total_from_MA_dashboard!B$24</f>
        <v>3.7858491388480876E-4</v>
      </c>
      <c r="C195">
        <f>daily_original_wrong!C195*total_from_MA_dashboard!C$24</f>
        <v>7.5716982776961753E-4</v>
      </c>
      <c r="D195">
        <f>daily_original_wrong!D195*total_from_MA_dashboard!D$24</f>
        <v>4.5535236947442584E-4</v>
      </c>
      <c r="E195">
        <f>daily_original_wrong!E195*total_from_MA_dashboard!E$24</f>
        <v>3.2470248703467459E-4</v>
      </c>
      <c r="F195">
        <f>daily_original_wrong!F195*total_from_MA_dashboard!F$24</f>
        <v>3.7767467515537582E-4</v>
      </c>
      <c r="G195">
        <f>daily_original_wrong!G195*total_from_MA_dashboard!G$24</f>
        <v>6.9361796314472142E-4</v>
      </c>
      <c r="H195">
        <f>daily_original_wrong!H195*total_from_MA_dashboard!H$24</f>
        <v>3.6681029861786017E-4</v>
      </c>
      <c r="J195" t="str">
        <f t="shared" ref="J195:J258" si="20">"["</f>
        <v>[</v>
      </c>
      <c r="K195" t="str">
        <f t="shared" ref="K195:K258" si="21">"["&amp;B195&amp;"],"</f>
        <v>[0.000378584913884809],</v>
      </c>
      <c r="L195" t="str">
        <f t="shared" si="19"/>
        <v>[0.000757169827769618],</v>
      </c>
      <c r="M195" t="str">
        <f t="shared" si="19"/>
        <v>[0.000455352369474426],</v>
      </c>
      <c r="N195" t="str">
        <f t="shared" si="19"/>
        <v>[0.000324702487034675],</v>
      </c>
      <c r="O195" t="str">
        <f t="shared" si="19"/>
        <v>[0.000377674675155376],</v>
      </c>
      <c r="P195" t="str">
        <f t="shared" si="19"/>
        <v>[0.000693617963144721],</v>
      </c>
      <c r="Q195" t="str">
        <f t="shared" ref="Q195:Q258" si="22">"["&amp;H195&amp;"]"</f>
        <v>[0.00036681029861786]</v>
      </c>
      <c r="R195" t="str">
        <f t="shared" ref="R195:R258" si="23">"]"</f>
        <v>]</v>
      </c>
      <c r="S195" t="str">
        <f t="shared" ref="S195:S258" si="24">J195&amp;K195&amp;L195&amp;M195&amp;N195&amp;O195&amp;P195&amp;Q195&amp;R195</f>
        <v>[[0.000378584913884809],[0.000757169827769618],[0.000455352369474426],[0.000324702487034675],[0.000377674675155376],[0.000693617963144721],[0.00036681029861786]]</v>
      </c>
    </row>
    <row r="196" spans="1:19" x14ac:dyDescent="0.2">
      <c r="A196" s="1" t="d">
        <v>2026-02-26</v>
      </c>
      <c r="B196">
        <f>daily_original_wrong!B196*total_from_MA_dashboard!B$24</f>
        <v>3.7858491388480876E-4</v>
      </c>
      <c r="C196">
        <f>daily_original_wrong!C196*total_from_MA_dashboard!C$24</f>
        <v>7.5716982776961753E-4</v>
      </c>
      <c r="D196">
        <f>daily_original_wrong!D196*total_from_MA_dashboard!D$24</f>
        <v>4.5535236947442584E-4</v>
      </c>
      <c r="E196">
        <f>daily_original_wrong!E196*total_from_MA_dashboard!E$24</f>
        <v>3.2470248703467459E-4</v>
      </c>
      <c r="F196">
        <f>daily_original_wrong!F196*total_from_MA_dashboard!F$24</f>
        <v>3.7767467515537582E-4</v>
      </c>
      <c r="G196">
        <f>daily_original_wrong!G196*total_from_MA_dashboard!G$24</f>
        <v>6.9361796314472142E-4</v>
      </c>
      <c r="H196">
        <f>daily_original_wrong!H196*total_from_MA_dashboard!H$24</f>
        <v>3.6681029861786017E-4</v>
      </c>
      <c r="J196" t="str">
        <f t="shared" si="20"/>
        <v>[</v>
      </c>
      <c r="K196" t="str">
        <f t="shared" si="21"/>
        <v>[0.000378584913884809],</v>
      </c>
      <c r="L196" t="str">
        <f t="shared" si="19"/>
        <v>[0.000757169827769618],</v>
      </c>
      <c r="M196" t="str">
        <f t="shared" si="19"/>
        <v>[0.000455352369474426],</v>
      </c>
      <c r="N196" t="str">
        <f t="shared" si="19"/>
        <v>[0.000324702487034675],</v>
      </c>
      <c r="O196" t="str">
        <f t="shared" si="19"/>
        <v>[0.000377674675155376],</v>
      </c>
      <c r="P196" t="str">
        <f t="shared" si="19"/>
        <v>[0.000693617963144721],</v>
      </c>
      <c r="Q196" t="str">
        <f t="shared" si="22"/>
        <v>[0.00036681029861786]</v>
      </c>
      <c r="R196" t="str">
        <f t="shared" si="23"/>
        <v>]</v>
      </c>
      <c r="S196" t="str">
        <f t="shared" si="24"/>
        <v>[[0.000378584913884809],[0.000757169827769618],[0.000455352369474426],[0.000324702487034675],[0.000377674675155376],[0.000693617963144721],[0.00036681029861786]]</v>
      </c>
    </row>
    <row r="197" spans="1:19" x14ac:dyDescent="0.2">
      <c r="A197" s="1" t="d">
        <v>2026-02-27</v>
      </c>
      <c r="B197">
        <f>daily_original_wrong!B197*total_from_MA_dashboard!B$24</f>
        <v>3.7858491388480876E-4</v>
      </c>
      <c r="C197">
        <f>daily_original_wrong!C197*total_from_MA_dashboard!C$24</f>
        <v>7.5716982776961753E-4</v>
      </c>
      <c r="D197">
        <f>daily_original_wrong!D197*total_from_MA_dashboard!D$24</f>
        <v>4.5535236947442584E-4</v>
      </c>
      <c r="E197">
        <f>daily_original_wrong!E197*total_from_MA_dashboard!E$24</f>
        <v>3.2470248703467459E-4</v>
      </c>
      <c r="F197">
        <f>daily_original_wrong!F197*total_from_MA_dashboard!F$24</f>
        <v>3.7767467515537582E-4</v>
      </c>
      <c r="G197">
        <f>daily_original_wrong!G197*total_from_MA_dashboard!G$24</f>
        <v>6.9361796314472142E-4</v>
      </c>
      <c r="H197">
        <f>daily_original_wrong!H197*total_from_MA_dashboard!H$24</f>
        <v>3.6681029861786017E-4</v>
      </c>
      <c r="J197" t="str">
        <f t="shared" si="20"/>
        <v>[</v>
      </c>
      <c r="K197" t="str">
        <f t="shared" si="21"/>
        <v>[0.000378584913884809],</v>
      </c>
      <c r="L197" t="str">
        <f t="shared" si="19"/>
        <v>[0.000757169827769618],</v>
      </c>
      <c r="M197" t="str">
        <f t="shared" si="19"/>
        <v>[0.000455352369474426],</v>
      </c>
      <c r="N197" t="str">
        <f t="shared" si="19"/>
        <v>[0.000324702487034675],</v>
      </c>
      <c r="O197" t="str">
        <f t="shared" si="19"/>
        <v>[0.000377674675155376],</v>
      </c>
      <c r="P197" t="str">
        <f t="shared" si="19"/>
        <v>[0.000693617963144721],</v>
      </c>
      <c r="Q197" t="str">
        <f t="shared" si="22"/>
        <v>[0.00036681029861786]</v>
      </c>
      <c r="R197" t="str">
        <f t="shared" si="23"/>
        <v>]</v>
      </c>
      <c r="S197" t="str">
        <f t="shared" si="24"/>
        <v>[[0.000378584913884809],[0.000757169827769618],[0.000455352369474426],[0.000324702487034675],[0.000377674675155376],[0.000693617963144721],[0.00036681029861786]]</v>
      </c>
    </row>
    <row r="198" spans="1:19" x14ac:dyDescent="0.2">
      <c r="A198" s="1" t="d">
        <v>2026-02-28</v>
      </c>
      <c r="B198">
        <f>daily_original_wrong!B198*total_from_MA_dashboard!B$24</f>
        <v>7.0543404656287748E-4</v>
      </c>
      <c r="C198">
        <f>daily_original_wrong!C198*total_from_MA_dashboard!C$24</f>
        <v>1.410868093125755E-3</v>
      </c>
      <c r="D198">
        <f>daily_original_wrong!D198*total_from_MA_dashboard!D$24</f>
        <v>8.0010270464252349E-4</v>
      </c>
      <c r="E198">
        <f>daily_original_wrong!E198*total_from_MA_dashboard!E$24</f>
        <v>5.928184262592659E-4</v>
      </c>
      <c r="F198">
        <f>daily_original_wrong!F198*total_from_MA_dashboard!F$24</f>
        <v>6.744850860258999E-4</v>
      </c>
      <c r="G198">
        <f>daily_original_wrong!G198*total_from_MA_dashboard!G$24</f>
        <v>1.2279016494871127E-3</v>
      </c>
      <c r="H198">
        <f>daily_original_wrong!H198*total_from_MA_dashboard!H$24</f>
        <v>6.6589768493106969E-4</v>
      </c>
      <c r="J198" t="str">
        <f t="shared" si="20"/>
        <v>[</v>
      </c>
      <c r="K198" t="str">
        <f t="shared" si="21"/>
        <v>[0.000705434046562877],</v>
      </c>
      <c r="L198" t="str">
        <f t="shared" si="19"/>
        <v>[0.00141086809312575],</v>
      </c>
      <c r="M198" t="str">
        <f t="shared" si="19"/>
        <v>[0.000800102704642523],</v>
      </c>
      <c r="N198" t="str">
        <f t="shared" si="19"/>
        <v>[0.000592818426259266],</v>
      </c>
      <c r="O198" t="str">
        <f t="shared" si="19"/>
        <v>[0.0006744850860259],</v>
      </c>
      <c r="P198" t="str">
        <f t="shared" si="19"/>
        <v>[0.00122790164948711],</v>
      </c>
      <c r="Q198" t="str">
        <f t="shared" si="22"/>
        <v>[0.00066589768493107]</v>
      </c>
      <c r="R198" t="str">
        <f t="shared" si="23"/>
        <v>]</v>
      </c>
      <c r="S198" t="str">
        <f t="shared" si="24"/>
        <v>[[0.000705434046562877],[0.00141086809312575],[0.000800102704642523],[0.000592818426259266],[0.0006744850860259],[0.00122790164948711],[0.00066589768493107]]</v>
      </c>
    </row>
    <row r="199" spans="1:19" x14ac:dyDescent="0.2">
      <c r="A199" s="1" t="d">
        <v>2026-03-01</v>
      </c>
      <c r="B199">
        <f>daily_original_wrong!B199*total_from_MA_dashboard!B$24</f>
        <v>7.0543404656287748E-4</v>
      </c>
      <c r="C199">
        <f>daily_original_wrong!C199*total_from_MA_dashboard!C$24</f>
        <v>1.410868093125755E-3</v>
      </c>
      <c r="D199">
        <f>daily_original_wrong!D199*total_from_MA_dashboard!D$24</f>
        <v>8.0010270464252349E-4</v>
      </c>
      <c r="E199">
        <f>daily_original_wrong!E199*total_from_MA_dashboard!E$24</f>
        <v>5.928184262592659E-4</v>
      </c>
      <c r="F199">
        <f>daily_original_wrong!F199*total_from_MA_dashboard!F$24</f>
        <v>6.744850860258999E-4</v>
      </c>
      <c r="G199">
        <f>daily_original_wrong!G199*total_from_MA_dashboard!G$24</f>
        <v>1.2279016494871127E-3</v>
      </c>
      <c r="H199">
        <f>daily_original_wrong!H199*total_from_MA_dashboard!H$24</f>
        <v>6.6589768493106969E-4</v>
      </c>
      <c r="J199" t="str">
        <f t="shared" si="20"/>
        <v>[</v>
      </c>
      <c r="K199" t="str">
        <f t="shared" si="21"/>
        <v>[0.000705434046562877],</v>
      </c>
      <c r="L199" t="str">
        <f t="shared" si="19"/>
        <v>[0.00141086809312575],</v>
      </c>
      <c r="M199" t="str">
        <f t="shared" si="19"/>
        <v>[0.000800102704642523],</v>
      </c>
      <c r="N199" t="str">
        <f t="shared" si="19"/>
        <v>[0.000592818426259266],</v>
      </c>
      <c r="O199" t="str">
        <f t="shared" si="19"/>
        <v>[0.0006744850860259],</v>
      </c>
      <c r="P199" t="str">
        <f t="shared" si="19"/>
        <v>[0.00122790164948711],</v>
      </c>
      <c r="Q199" t="str">
        <f t="shared" si="22"/>
        <v>[0.00066589768493107]</v>
      </c>
      <c r="R199" t="str">
        <f t="shared" si="23"/>
        <v>]</v>
      </c>
      <c r="S199" t="str">
        <f t="shared" si="24"/>
        <v>[[0.000705434046562877],[0.00141086809312575],[0.000800102704642523],[0.000592818426259266],[0.0006744850860259],[0.00122790164948711],[0.00066589768493107]]</v>
      </c>
    </row>
    <row r="200" spans="1:19" x14ac:dyDescent="0.2">
      <c r="A200" s="1" t="d">
        <v>2026-03-02</v>
      </c>
      <c r="B200">
        <f>daily_original_wrong!B200*total_from_MA_dashboard!B$24</f>
        <v>7.0543404656287748E-4</v>
      </c>
      <c r="C200">
        <f>daily_original_wrong!C200*total_from_MA_dashboard!C$24</f>
        <v>1.410868093125755E-3</v>
      </c>
      <c r="D200">
        <f>daily_original_wrong!D200*total_from_MA_dashboard!D$24</f>
        <v>8.0010270464252349E-4</v>
      </c>
      <c r="E200">
        <f>daily_original_wrong!E200*total_from_MA_dashboard!E$24</f>
        <v>5.928184262592659E-4</v>
      </c>
      <c r="F200">
        <f>daily_original_wrong!F200*total_from_MA_dashboard!F$24</f>
        <v>6.744850860258999E-4</v>
      </c>
      <c r="G200">
        <f>daily_original_wrong!G200*total_from_MA_dashboard!G$24</f>
        <v>1.2279016494871127E-3</v>
      </c>
      <c r="H200">
        <f>daily_original_wrong!H200*total_from_MA_dashboard!H$24</f>
        <v>6.6589768493106969E-4</v>
      </c>
      <c r="J200" t="str">
        <f t="shared" si="20"/>
        <v>[</v>
      </c>
      <c r="K200" t="str">
        <f t="shared" si="21"/>
        <v>[0.000705434046562877],</v>
      </c>
      <c r="L200" t="str">
        <f t="shared" si="19"/>
        <v>[0.00141086809312575],</v>
      </c>
      <c r="M200" t="str">
        <f t="shared" si="19"/>
        <v>[0.000800102704642523],</v>
      </c>
      <c r="N200" t="str">
        <f t="shared" si="19"/>
        <v>[0.000592818426259266],</v>
      </c>
      <c r="O200" t="str">
        <f t="shared" si="19"/>
        <v>[0.0006744850860259],</v>
      </c>
      <c r="P200" t="str">
        <f t="shared" si="19"/>
        <v>[0.00122790164948711],</v>
      </c>
      <c r="Q200" t="str">
        <f t="shared" si="22"/>
        <v>[0.00066589768493107]</v>
      </c>
      <c r="R200" t="str">
        <f t="shared" si="23"/>
        <v>]</v>
      </c>
      <c r="S200" t="str">
        <f t="shared" si="24"/>
        <v>[[0.000705434046562877],[0.00141086809312575],[0.000800102704642523],[0.000592818426259266],[0.0006744850860259],[0.00122790164948711],[0.00066589768493107]]</v>
      </c>
    </row>
    <row r="201" spans="1:19" x14ac:dyDescent="0.2">
      <c r="A201" s="1" t="d">
        <v>2026-03-03</v>
      </c>
      <c r="B201">
        <f>daily_original_wrong!B201*total_from_MA_dashboard!B$24</f>
        <v>7.0543404656287748E-4</v>
      </c>
      <c r="C201">
        <f>daily_original_wrong!C201*total_from_MA_dashboard!C$24</f>
        <v>1.410868093125755E-3</v>
      </c>
      <c r="D201">
        <f>daily_original_wrong!D201*total_from_MA_dashboard!D$24</f>
        <v>8.0010270464252349E-4</v>
      </c>
      <c r="E201">
        <f>daily_original_wrong!E201*total_from_MA_dashboard!E$24</f>
        <v>5.928184262592659E-4</v>
      </c>
      <c r="F201">
        <f>daily_original_wrong!F201*total_from_MA_dashboard!F$24</f>
        <v>6.744850860258999E-4</v>
      </c>
      <c r="G201">
        <f>daily_original_wrong!G201*total_from_MA_dashboard!G$24</f>
        <v>1.2279016494871127E-3</v>
      </c>
      <c r="H201">
        <f>daily_original_wrong!H201*total_from_MA_dashboard!H$24</f>
        <v>6.6589768493106969E-4</v>
      </c>
      <c r="J201" t="str">
        <f t="shared" si="20"/>
        <v>[</v>
      </c>
      <c r="K201" t="str">
        <f t="shared" si="21"/>
        <v>[0.000705434046562877],</v>
      </c>
      <c r="L201" t="str">
        <f t="shared" si="19"/>
        <v>[0.00141086809312575],</v>
      </c>
      <c r="M201" t="str">
        <f t="shared" si="19"/>
        <v>[0.000800102704642523],</v>
      </c>
      <c r="N201" t="str">
        <f t="shared" si="19"/>
        <v>[0.000592818426259266],</v>
      </c>
      <c r="O201" t="str">
        <f t="shared" si="19"/>
        <v>[0.0006744850860259],</v>
      </c>
      <c r="P201" t="str">
        <f t="shared" si="19"/>
        <v>[0.00122790164948711],</v>
      </c>
      <c r="Q201" t="str">
        <f t="shared" si="22"/>
        <v>[0.00066589768493107]</v>
      </c>
      <c r="R201" t="str">
        <f t="shared" si="23"/>
        <v>]</v>
      </c>
      <c r="S201" t="str">
        <f t="shared" si="24"/>
        <v>[[0.000705434046562877],[0.00141086809312575],[0.000800102704642523],[0.000592818426259266],[0.0006744850860259],[0.00122790164948711],[0.00066589768493107]]</v>
      </c>
    </row>
    <row r="202" spans="1:19" x14ac:dyDescent="0.2">
      <c r="A202" s="1" t="d">
        <v>2026-03-04</v>
      </c>
      <c r="B202">
        <f>daily_original_wrong!B202*total_from_MA_dashboard!B$24</f>
        <v>7.0543404656287748E-4</v>
      </c>
      <c r="C202">
        <f>daily_original_wrong!C202*total_from_MA_dashboard!C$24</f>
        <v>1.410868093125755E-3</v>
      </c>
      <c r="D202">
        <f>daily_original_wrong!D202*total_from_MA_dashboard!D$24</f>
        <v>8.0010270464252349E-4</v>
      </c>
      <c r="E202">
        <f>daily_original_wrong!E202*total_from_MA_dashboard!E$24</f>
        <v>5.928184262592659E-4</v>
      </c>
      <c r="F202">
        <f>daily_original_wrong!F202*total_from_MA_dashboard!F$24</f>
        <v>6.744850860258999E-4</v>
      </c>
      <c r="G202">
        <f>daily_original_wrong!G202*total_from_MA_dashboard!G$24</f>
        <v>1.2279016494871127E-3</v>
      </c>
      <c r="H202">
        <f>daily_original_wrong!H202*total_from_MA_dashboard!H$24</f>
        <v>6.6589768493106969E-4</v>
      </c>
      <c r="J202" t="str">
        <f t="shared" si="20"/>
        <v>[</v>
      </c>
      <c r="K202" t="str">
        <f t="shared" si="21"/>
        <v>[0.000705434046562877],</v>
      </c>
      <c r="L202" t="str">
        <f t="shared" si="19"/>
        <v>[0.00141086809312575],</v>
      </c>
      <c r="M202" t="str">
        <f t="shared" si="19"/>
        <v>[0.000800102704642523],</v>
      </c>
      <c r="N202" t="str">
        <f t="shared" si="19"/>
        <v>[0.000592818426259266],</v>
      </c>
      <c r="O202" t="str">
        <f t="shared" si="19"/>
        <v>[0.0006744850860259],</v>
      </c>
      <c r="P202" t="str">
        <f t="shared" si="19"/>
        <v>[0.00122790164948711],</v>
      </c>
      <c r="Q202" t="str">
        <f t="shared" si="22"/>
        <v>[0.00066589768493107]</v>
      </c>
      <c r="R202" t="str">
        <f t="shared" si="23"/>
        <v>]</v>
      </c>
      <c r="S202" t="str">
        <f t="shared" si="24"/>
        <v>[[0.000705434046562877],[0.00141086809312575],[0.000800102704642523],[0.000592818426259266],[0.0006744850860259],[0.00122790164948711],[0.00066589768493107]]</v>
      </c>
    </row>
    <row r="203" spans="1:19" x14ac:dyDescent="0.2">
      <c r="A203" s="1" t="d">
        <v>2026-03-05</v>
      </c>
      <c r="B203">
        <f>daily_original_wrong!B203*total_from_MA_dashboard!B$24</f>
        <v>7.0543404656287748E-4</v>
      </c>
      <c r="C203">
        <f>daily_original_wrong!C203*total_from_MA_dashboard!C$24</f>
        <v>1.410868093125755E-3</v>
      </c>
      <c r="D203">
        <f>daily_original_wrong!D203*total_from_MA_dashboard!D$24</f>
        <v>8.0010270464252349E-4</v>
      </c>
      <c r="E203">
        <f>daily_original_wrong!E203*total_from_MA_dashboard!E$24</f>
        <v>5.928184262592659E-4</v>
      </c>
      <c r="F203">
        <f>daily_original_wrong!F203*total_from_MA_dashboard!F$24</f>
        <v>6.744850860258999E-4</v>
      </c>
      <c r="G203">
        <f>daily_original_wrong!G203*total_from_MA_dashboard!G$24</f>
        <v>1.2279016494871127E-3</v>
      </c>
      <c r="H203">
        <f>daily_original_wrong!H203*total_from_MA_dashboard!H$24</f>
        <v>6.6589768493106969E-4</v>
      </c>
      <c r="J203" t="str">
        <f t="shared" si="20"/>
        <v>[</v>
      </c>
      <c r="K203" t="str">
        <f t="shared" si="21"/>
        <v>[0.000705434046562877],</v>
      </c>
      <c r="L203" t="str">
        <f t="shared" si="19"/>
        <v>[0.00141086809312575],</v>
      </c>
      <c r="M203" t="str">
        <f t="shared" si="19"/>
        <v>[0.000800102704642523],</v>
      </c>
      <c r="N203" t="str">
        <f t="shared" si="19"/>
        <v>[0.000592818426259266],</v>
      </c>
      <c r="O203" t="str">
        <f t="shared" si="19"/>
        <v>[0.0006744850860259],</v>
      </c>
      <c r="P203" t="str">
        <f t="shared" si="19"/>
        <v>[0.00122790164948711],</v>
      </c>
      <c r="Q203" t="str">
        <f t="shared" si="22"/>
        <v>[0.00066589768493107]</v>
      </c>
      <c r="R203" t="str">
        <f t="shared" si="23"/>
        <v>]</v>
      </c>
      <c r="S203" t="str">
        <f t="shared" si="24"/>
        <v>[[0.000705434046562877],[0.00141086809312575],[0.000800102704642523],[0.000592818426259266],[0.0006744850860259],[0.00122790164948711],[0.00066589768493107]]</v>
      </c>
    </row>
    <row r="204" spans="1:19" x14ac:dyDescent="0.2">
      <c r="A204" s="1" t="d">
        <v>2026-03-06</v>
      </c>
      <c r="B204">
        <f>daily_original_wrong!B204*total_from_MA_dashboard!B$24</f>
        <v>7.0543404656287748E-4</v>
      </c>
      <c r="C204">
        <f>daily_original_wrong!C204*total_from_MA_dashboard!C$24</f>
        <v>1.410868093125755E-3</v>
      </c>
      <c r="D204">
        <f>daily_original_wrong!D204*total_from_MA_dashboard!D$24</f>
        <v>8.0010270464252349E-4</v>
      </c>
      <c r="E204">
        <f>daily_original_wrong!E204*total_from_MA_dashboard!E$24</f>
        <v>5.928184262592659E-4</v>
      </c>
      <c r="F204">
        <f>daily_original_wrong!F204*total_from_MA_dashboard!F$24</f>
        <v>6.744850860258999E-4</v>
      </c>
      <c r="G204">
        <f>daily_original_wrong!G204*total_from_MA_dashboard!G$24</f>
        <v>1.2279016494871127E-3</v>
      </c>
      <c r="H204">
        <f>daily_original_wrong!H204*total_from_MA_dashboard!H$24</f>
        <v>6.6589768493106969E-4</v>
      </c>
      <c r="J204" t="str">
        <f t="shared" si="20"/>
        <v>[</v>
      </c>
      <c r="K204" t="str">
        <f t="shared" si="21"/>
        <v>[0.000705434046562877],</v>
      </c>
      <c r="L204" t="str">
        <f t="shared" si="19"/>
        <v>[0.00141086809312575],</v>
      </c>
      <c r="M204" t="str">
        <f t="shared" si="19"/>
        <v>[0.000800102704642523],</v>
      </c>
      <c r="N204" t="str">
        <f t="shared" si="19"/>
        <v>[0.000592818426259266],</v>
      </c>
      <c r="O204" t="str">
        <f t="shared" si="19"/>
        <v>[0.0006744850860259],</v>
      </c>
      <c r="P204" t="str">
        <f t="shared" si="19"/>
        <v>[0.00122790164948711],</v>
      </c>
      <c r="Q204" t="str">
        <f t="shared" si="22"/>
        <v>[0.00066589768493107]</v>
      </c>
      <c r="R204" t="str">
        <f t="shared" si="23"/>
        <v>]</v>
      </c>
      <c r="S204" t="str">
        <f t="shared" si="24"/>
        <v>[[0.000705434046562877],[0.00141086809312575],[0.000800102704642523],[0.000592818426259266],[0.0006744850860259],[0.00122790164948711],[0.00066589768493107]]</v>
      </c>
    </row>
    <row r="205" spans="1:19" x14ac:dyDescent="0.2">
      <c r="A205" s="1" t="d">
        <v>2026-03-07</v>
      </c>
      <c r="B205">
        <f>daily_original_wrong!B205*total_from_MA_dashboard!B$24</f>
        <v>2.7351453015044344E-4</v>
      </c>
      <c r="C205">
        <f>daily_original_wrong!C205*total_from_MA_dashboard!C$24</f>
        <v>5.4702906030088688E-4</v>
      </c>
      <c r="D205">
        <f>daily_original_wrong!D205*total_from_MA_dashboard!D$24</f>
        <v>2.755870928888941E-4</v>
      </c>
      <c r="E205">
        <f>daily_original_wrong!E205*total_from_MA_dashboard!E$24</f>
        <v>2.3305177762814166E-4</v>
      </c>
      <c r="F205">
        <f>daily_original_wrong!F205*total_from_MA_dashboard!F$24</f>
        <v>2.6001490661289986E-4</v>
      </c>
      <c r="G205">
        <f>daily_original_wrong!G205*total_from_MA_dashboard!G$24</f>
        <v>4.0530126665338763E-4</v>
      </c>
      <c r="H205">
        <f>daily_original_wrong!H205*total_from_MA_dashboard!H$24</f>
        <v>3.0282314350620916E-4</v>
      </c>
      <c r="J205" t="str">
        <f t="shared" si="20"/>
        <v>[</v>
      </c>
      <c r="K205" t="str">
        <f t="shared" si="21"/>
        <v>[0.000273514530150443],</v>
      </c>
      <c r="L205" t="str">
        <f t="shared" si="19"/>
        <v>[0.000547029060300887],</v>
      </c>
      <c r="M205" t="str">
        <f t="shared" si="19"/>
        <v>[0.000275587092888894],</v>
      </c>
      <c r="N205" t="str">
        <f t="shared" si="19"/>
        <v>[0.000233051777628142],</v>
      </c>
      <c r="O205" t="str">
        <f t="shared" si="19"/>
        <v>[0.0002600149066129],</v>
      </c>
      <c r="P205" t="str">
        <f t="shared" si="19"/>
        <v>[0.000405301266653388],</v>
      </c>
      <c r="Q205" t="str">
        <f t="shared" si="22"/>
        <v>[0.000302823143506209]</v>
      </c>
      <c r="R205" t="str">
        <f t="shared" si="23"/>
        <v>]</v>
      </c>
      <c r="S205" t="str">
        <f t="shared" si="24"/>
        <v>[[0.000273514530150443],[0.000547029060300887],[0.000275587092888894],[0.000233051777628142],[0.0002600149066129],[0.000405301266653388],[0.000302823143506209]]</v>
      </c>
    </row>
    <row r="206" spans="1:19" x14ac:dyDescent="0.2">
      <c r="A206" s="1" t="d">
        <v>2026-03-08</v>
      </c>
      <c r="B206">
        <f>daily_original_wrong!B206*total_from_MA_dashboard!B$24</f>
        <v>2.7351453015044344E-4</v>
      </c>
      <c r="C206">
        <f>daily_original_wrong!C206*total_from_MA_dashboard!C$24</f>
        <v>5.4702906030088688E-4</v>
      </c>
      <c r="D206">
        <f>daily_original_wrong!D206*total_from_MA_dashboard!D$24</f>
        <v>2.755870928888941E-4</v>
      </c>
      <c r="E206">
        <f>daily_original_wrong!E206*total_from_MA_dashboard!E$24</f>
        <v>2.3305177762814166E-4</v>
      </c>
      <c r="F206">
        <f>daily_original_wrong!F206*total_from_MA_dashboard!F$24</f>
        <v>2.6001490661289986E-4</v>
      </c>
      <c r="G206">
        <f>daily_original_wrong!G206*total_from_MA_dashboard!G$24</f>
        <v>4.0530126665338763E-4</v>
      </c>
      <c r="H206">
        <f>daily_original_wrong!H206*total_from_MA_dashboard!H$24</f>
        <v>3.0282314350620916E-4</v>
      </c>
      <c r="J206" t="str">
        <f t="shared" si="20"/>
        <v>[</v>
      </c>
      <c r="K206" t="str">
        <f t="shared" si="21"/>
        <v>[0.000273514530150443],</v>
      </c>
      <c r="L206" t="str">
        <f t="shared" si="19"/>
        <v>[0.000547029060300887],</v>
      </c>
      <c r="M206" t="str">
        <f t="shared" si="19"/>
        <v>[0.000275587092888894],</v>
      </c>
      <c r="N206" t="str">
        <f t="shared" si="19"/>
        <v>[0.000233051777628142],</v>
      </c>
      <c r="O206" t="str">
        <f t="shared" si="19"/>
        <v>[0.0002600149066129],</v>
      </c>
      <c r="P206" t="str">
        <f t="shared" si="19"/>
        <v>[0.000405301266653388],</v>
      </c>
      <c r="Q206" t="str">
        <f t="shared" si="22"/>
        <v>[0.000302823143506209]</v>
      </c>
      <c r="R206" t="str">
        <f t="shared" si="23"/>
        <v>]</v>
      </c>
      <c r="S206" t="str">
        <f t="shared" si="24"/>
        <v>[[0.000273514530150443],[0.000547029060300887],[0.000275587092888894],[0.000233051777628142],[0.0002600149066129],[0.000405301266653388],[0.000302823143506209]]</v>
      </c>
    </row>
    <row r="207" spans="1:19" x14ac:dyDescent="0.2">
      <c r="A207" s="1" t="d">
        <v>2026-03-09</v>
      </c>
      <c r="B207">
        <f>daily_original_wrong!B207*total_from_MA_dashboard!B$24</f>
        <v>2.7351453015044344E-4</v>
      </c>
      <c r="C207">
        <f>daily_original_wrong!C207*total_from_MA_dashboard!C$24</f>
        <v>5.4702906030088688E-4</v>
      </c>
      <c r="D207">
        <f>daily_original_wrong!D207*total_from_MA_dashboard!D$24</f>
        <v>2.755870928888941E-4</v>
      </c>
      <c r="E207">
        <f>daily_original_wrong!E207*total_from_MA_dashboard!E$24</f>
        <v>2.3305177762814166E-4</v>
      </c>
      <c r="F207">
        <f>daily_original_wrong!F207*total_from_MA_dashboard!F$24</f>
        <v>2.6001490661289986E-4</v>
      </c>
      <c r="G207">
        <f>daily_original_wrong!G207*total_from_MA_dashboard!G$24</f>
        <v>4.0530126665338763E-4</v>
      </c>
      <c r="H207">
        <f>daily_original_wrong!H207*total_from_MA_dashboard!H$24</f>
        <v>3.0282314350620916E-4</v>
      </c>
      <c r="J207" t="str">
        <f t="shared" si="20"/>
        <v>[</v>
      </c>
      <c r="K207" t="str">
        <f t="shared" si="21"/>
        <v>[0.000273514530150443],</v>
      </c>
      <c r="L207" t="str">
        <f t="shared" ref="L207:P257" si="25">"["&amp;C207&amp;"],"</f>
        <v>[0.000547029060300887],</v>
      </c>
      <c r="M207" t="str">
        <f t="shared" si="25"/>
        <v>[0.000275587092888894],</v>
      </c>
      <c r="N207" t="str">
        <f t="shared" si="25"/>
        <v>[0.000233051777628142],</v>
      </c>
      <c r="O207" t="str">
        <f t="shared" si="25"/>
        <v>[0.0002600149066129],</v>
      </c>
      <c r="P207" t="str">
        <f t="shared" si="25"/>
        <v>[0.000405301266653388],</v>
      </c>
      <c r="Q207" t="str">
        <f t="shared" si="22"/>
        <v>[0.000302823143506209]</v>
      </c>
      <c r="R207" t="str">
        <f t="shared" si="23"/>
        <v>]</v>
      </c>
      <c r="S207" t="str">
        <f t="shared" si="24"/>
        <v>[[0.000273514530150443],[0.000547029060300887],[0.000275587092888894],[0.000233051777628142],[0.0002600149066129],[0.000405301266653388],[0.000302823143506209]]</v>
      </c>
    </row>
    <row r="208" spans="1:19" x14ac:dyDescent="0.2">
      <c r="A208" s="1" t="d">
        <v>2026-03-10</v>
      </c>
      <c r="B208">
        <f>daily_original_wrong!B208*total_from_MA_dashboard!B$24</f>
        <v>2.7351453015044344E-4</v>
      </c>
      <c r="C208">
        <f>daily_original_wrong!C208*total_from_MA_dashboard!C$24</f>
        <v>5.4702906030088688E-4</v>
      </c>
      <c r="D208">
        <f>daily_original_wrong!D208*total_from_MA_dashboard!D$24</f>
        <v>2.755870928888941E-4</v>
      </c>
      <c r="E208">
        <f>daily_original_wrong!E208*total_from_MA_dashboard!E$24</f>
        <v>2.3305177762814166E-4</v>
      </c>
      <c r="F208">
        <f>daily_original_wrong!F208*total_from_MA_dashboard!F$24</f>
        <v>2.6001490661289986E-4</v>
      </c>
      <c r="G208">
        <f>daily_original_wrong!G208*total_from_MA_dashboard!G$24</f>
        <v>4.0530126665338763E-4</v>
      </c>
      <c r="H208">
        <f>daily_original_wrong!H208*total_from_MA_dashboard!H$24</f>
        <v>3.0282314350620916E-4</v>
      </c>
      <c r="J208" t="str">
        <f t="shared" si="20"/>
        <v>[</v>
      </c>
      <c r="K208" t="str">
        <f t="shared" si="21"/>
        <v>[0.000273514530150443],</v>
      </c>
      <c r="L208" t="str">
        <f t="shared" si="25"/>
        <v>[0.000547029060300887],</v>
      </c>
      <c r="M208" t="str">
        <f t="shared" si="25"/>
        <v>[0.000275587092888894],</v>
      </c>
      <c r="N208" t="str">
        <f t="shared" si="25"/>
        <v>[0.000233051777628142],</v>
      </c>
      <c r="O208" t="str">
        <f t="shared" si="25"/>
        <v>[0.0002600149066129],</v>
      </c>
      <c r="P208" t="str">
        <f t="shared" si="25"/>
        <v>[0.000405301266653388],</v>
      </c>
      <c r="Q208" t="str">
        <f t="shared" si="22"/>
        <v>[0.000302823143506209]</v>
      </c>
      <c r="R208" t="str">
        <f t="shared" si="23"/>
        <v>]</v>
      </c>
      <c r="S208" t="str">
        <f t="shared" si="24"/>
        <v>[[0.000273514530150443],[0.000547029060300887],[0.000275587092888894],[0.000233051777628142],[0.0002600149066129],[0.000405301266653388],[0.000302823143506209]]</v>
      </c>
    </row>
    <row r="209" spans="1:19" x14ac:dyDescent="0.2">
      <c r="A209" s="1" t="d">
        <v>2026-03-11</v>
      </c>
      <c r="B209">
        <f>daily_original_wrong!B209*total_from_MA_dashboard!B$24</f>
        <v>2.7351453015044344E-4</v>
      </c>
      <c r="C209">
        <f>daily_original_wrong!C209*total_from_MA_dashboard!C$24</f>
        <v>5.4702906030088688E-4</v>
      </c>
      <c r="D209">
        <f>daily_original_wrong!D209*total_from_MA_dashboard!D$24</f>
        <v>2.755870928888941E-4</v>
      </c>
      <c r="E209">
        <f>daily_original_wrong!E209*total_from_MA_dashboard!E$24</f>
        <v>2.3305177762814166E-4</v>
      </c>
      <c r="F209">
        <f>daily_original_wrong!F209*total_from_MA_dashboard!F$24</f>
        <v>2.6001490661289986E-4</v>
      </c>
      <c r="G209">
        <f>daily_original_wrong!G209*total_from_MA_dashboard!G$24</f>
        <v>4.0530126665338763E-4</v>
      </c>
      <c r="H209">
        <f>daily_original_wrong!H209*total_from_MA_dashboard!H$24</f>
        <v>3.0282314350620916E-4</v>
      </c>
      <c r="J209" t="str">
        <f t="shared" si="20"/>
        <v>[</v>
      </c>
      <c r="K209" t="str">
        <f t="shared" si="21"/>
        <v>[0.000273514530150443],</v>
      </c>
      <c r="L209" t="str">
        <f t="shared" si="25"/>
        <v>[0.000547029060300887],</v>
      </c>
      <c r="M209" t="str">
        <f t="shared" si="25"/>
        <v>[0.000275587092888894],</v>
      </c>
      <c r="N209" t="str">
        <f t="shared" si="25"/>
        <v>[0.000233051777628142],</v>
      </c>
      <c r="O209" t="str">
        <f t="shared" si="25"/>
        <v>[0.0002600149066129],</v>
      </c>
      <c r="P209" t="str">
        <f t="shared" si="25"/>
        <v>[0.000405301266653388],</v>
      </c>
      <c r="Q209" t="str">
        <f t="shared" si="22"/>
        <v>[0.000302823143506209]</v>
      </c>
      <c r="R209" t="str">
        <f t="shared" si="23"/>
        <v>]</v>
      </c>
      <c r="S209" t="str">
        <f t="shared" si="24"/>
        <v>[[0.000273514530150443],[0.000547029060300887],[0.000275587092888894],[0.000233051777628142],[0.0002600149066129],[0.000405301266653388],[0.000302823143506209]]</v>
      </c>
    </row>
    <row r="210" spans="1:19" x14ac:dyDescent="0.2">
      <c r="A210" s="1" t="d">
        <v>2026-03-12</v>
      </c>
      <c r="B210">
        <f>daily_original_wrong!B210*total_from_MA_dashboard!B$24</f>
        <v>2.7351453015044344E-4</v>
      </c>
      <c r="C210">
        <f>daily_original_wrong!C210*total_from_MA_dashboard!C$24</f>
        <v>5.4702906030088688E-4</v>
      </c>
      <c r="D210">
        <f>daily_original_wrong!D210*total_from_MA_dashboard!D$24</f>
        <v>2.755870928888941E-4</v>
      </c>
      <c r="E210">
        <f>daily_original_wrong!E210*total_from_MA_dashboard!E$24</f>
        <v>2.3305177762814166E-4</v>
      </c>
      <c r="F210">
        <f>daily_original_wrong!F210*total_from_MA_dashboard!F$24</f>
        <v>2.6001490661289986E-4</v>
      </c>
      <c r="G210">
        <f>daily_original_wrong!G210*total_from_MA_dashboard!G$24</f>
        <v>4.0530126665338763E-4</v>
      </c>
      <c r="H210">
        <f>daily_original_wrong!H210*total_from_MA_dashboard!H$24</f>
        <v>3.0282314350620916E-4</v>
      </c>
      <c r="J210" t="str">
        <f t="shared" si="20"/>
        <v>[</v>
      </c>
      <c r="K210" t="str">
        <f t="shared" si="21"/>
        <v>[0.000273514530150443],</v>
      </c>
      <c r="L210" t="str">
        <f t="shared" si="25"/>
        <v>[0.000547029060300887],</v>
      </c>
      <c r="M210" t="str">
        <f t="shared" si="25"/>
        <v>[0.000275587092888894],</v>
      </c>
      <c r="N210" t="str">
        <f t="shared" si="25"/>
        <v>[0.000233051777628142],</v>
      </c>
      <c r="O210" t="str">
        <f t="shared" si="25"/>
        <v>[0.0002600149066129],</v>
      </c>
      <c r="P210" t="str">
        <f t="shared" si="25"/>
        <v>[0.000405301266653388],</v>
      </c>
      <c r="Q210" t="str">
        <f t="shared" si="22"/>
        <v>[0.000302823143506209]</v>
      </c>
      <c r="R210" t="str">
        <f t="shared" si="23"/>
        <v>]</v>
      </c>
      <c r="S210" t="str">
        <f t="shared" si="24"/>
        <v>[[0.000273514530150443],[0.000547029060300887],[0.000275587092888894],[0.000233051777628142],[0.0002600149066129],[0.000405301266653388],[0.000302823143506209]]</v>
      </c>
    </row>
    <row r="211" spans="1:19" x14ac:dyDescent="0.2">
      <c r="A211" s="1" t="d">
        <v>2026-03-13</v>
      </c>
      <c r="B211">
        <f>daily_original_wrong!B211*total_from_MA_dashboard!B$24</f>
        <v>2.7351453015044344E-4</v>
      </c>
      <c r="C211">
        <f>daily_original_wrong!C211*total_from_MA_dashboard!C$24</f>
        <v>5.4702906030088688E-4</v>
      </c>
      <c r="D211">
        <f>daily_original_wrong!D211*total_from_MA_dashboard!D$24</f>
        <v>2.755870928888941E-4</v>
      </c>
      <c r="E211">
        <f>daily_original_wrong!E211*total_from_MA_dashboard!E$24</f>
        <v>2.3305177762814166E-4</v>
      </c>
      <c r="F211">
        <f>daily_original_wrong!F211*total_from_MA_dashboard!F$24</f>
        <v>2.6001490661289986E-4</v>
      </c>
      <c r="G211">
        <f>daily_original_wrong!G211*total_from_MA_dashboard!G$24</f>
        <v>4.0530126665338763E-4</v>
      </c>
      <c r="H211">
        <f>daily_original_wrong!H211*total_from_MA_dashboard!H$24</f>
        <v>3.0282314350620916E-4</v>
      </c>
      <c r="J211" t="str">
        <f t="shared" si="20"/>
        <v>[</v>
      </c>
      <c r="K211" t="str">
        <f t="shared" si="21"/>
        <v>[0.000273514530150443],</v>
      </c>
      <c r="L211" t="str">
        <f t="shared" si="25"/>
        <v>[0.000547029060300887],</v>
      </c>
      <c r="M211" t="str">
        <f t="shared" si="25"/>
        <v>[0.000275587092888894],</v>
      </c>
      <c r="N211" t="str">
        <f t="shared" si="25"/>
        <v>[0.000233051777628142],</v>
      </c>
      <c r="O211" t="str">
        <f t="shared" si="25"/>
        <v>[0.0002600149066129],</v>
      </c>
      <c r="P211" t="str">
        <f t="shared" si="25"/>
        <v>[0.000405301266653388],</v>
      </c>
      <c r="Q211" t="str">
        <f t="shared" si="22"/>
        <v>[0.000302823143506209]</v>
      </c>
      <c r="R211" t="str">
        <f t="shared" si="23"/>
        <v>]</v>
      </c>
      <c r="S211" t="str">
        <f t="shared" si="24"/>
        <v>[[0.000273514530150443],[0.000547029060300887],[0.000275587092888894],[0.000233051777628142],[0.0002600149066129],[0.000405301266653388],[0.000302823143506209]]</v>
      </c>
    </row>
    <row r="212" spans="1:19" x14ac:dyDescent="0.2">
      <c r="A212" s="1" t="d">
        <v>2026-03-14</v>
      </c>
      <c r="B212">
        <f>daily_original_wrong!B212*total_from_MA_dashboard!B$24</f>
        <v>1.9427582724432064E-4</v>
      </c>
      <c r="C212">
        <f>daily_original_wrong!C212*total_from_MA_dashboard!C$24</f>
        <v>3.8855165448864129E-4</v>
      </c>
      <c r="D212">
        <f>daily_original_wrong!D212*total_from_MA_dashboard!D$24</f>
        <v>1.7094960251957662E-4</v>
      </c>
      <c r="E212">
        <f>daily_original_wrong!E212*total_from_MA_dashboard!E$24</f>
        <v>1.7779434220950376E-4</v>
      </c>
      <c r="F212">
        <f>daily_original_wrong!F212*total_from_MA_dashboard!F$24</f>
        <v>1.9901289213875579E-4</v>
      </c>
      <c r="G212">
        <f>daily_original_wrong!G212*total_from_MA_dashboard!G$24</f>
        <v>2.1874068676555969E-4</v>
      </c>
      <c r="H212">
        <f>daily_original_wrong!H212*total_from_MA_dashboard!H$24</f>
        <v>2.9788214313283991E-4</v>
      </c>
      <c r="J212" t="str">
        <f t="shared" si="20"/>
        <v>[</v>
      </c>
      <c r="K212" t="str">
        <f t="shared" si="21"/>
        <v>[0.000194275827244321],</v>
      </c>
      <c r="L212" t="str">
        <f t="shared" si="25"/>
        <v>[0.000388551654488641],</v>
      </c>
      <c r="M212" t="str">
        <f t="shared" si="25"/>
        <v>[0.000170949602519577],</v>
      </c>
      <c r="N212" t="str">
        <f t="shared" si="25"/>
        <v>[0.000177794342209504],</v>
      </c>
      <c r="O212" t="str">
        <f t="shared" si="25"/>
        <v>[0.000199012892138756],</v>
      </c>
      <c r="P212" t="str">
        <f t="shared" si="25"/>
        <v>[0.00021874068676556],</v>
      </c>
      <c r="Q212" t="str">
        <f t="shared" si="22"/>
        <v>[0.00029788214313284]</v>
      </c>
      <c r="R212" t="str">
        <f t="shared" si="23"/>
        <v>]</v>
      </c>
      <c r="S212" t="str">
        <f t="shared" si="24"/>
        <v>[[0.000194275827244321],[0.000388551654488641],[0.000170949602519577],[0.000177794342209504],[0.000199012892138756],[0.00021874068676556],[0.00029788214313284]]</v>
      </c>
    </row>
    <row r="213" spans="1:19" x14ac:dyDescent="0.2">
      <c r="A213" s="1" t="d">
        <v>2026-03-15</v>
      </c>
      <c r="B213">
        <f>daily_original_wrong!B213*total_from_MA_dashboard!B$24</f>
        <v>1.9427582724432064E-4</v>
      </c>
      <c r="C213">
        <f>daily_original_wrong!C213*total_from_MA_dashboard!C$24</f>
        <v>3.8855165448864129E-4</v>
      </c>
      <c r="D213">
        <f>daily_original_wrong!D213*total_from_MA_dashboard!D$24</f>
        <v>1.7094960251957662E-4</v>
      </c>
      <c r="E213">
        <f>daily_original_wrong!E213*total_from_MA_dashboard!E$24</f>
        <v>1.7779434220950376E-4</v>
      </c>
      <c r="F213">
        <f>daily_original_wrong!F213*total_from_MA_dashboard!F$24</f>
        <v>1.9901289213875579E-4</v>
      </c>
      <c r="G213">
        <f>daily_original_wrong!G213*total_from_MA_dashboard!G$24</f>
        <v>2.1874068676555969E-4</v>
      </c>
      <c r="H213">
        <f>daily_original_wrong!H213*total_from_MA_dashboard!H$24</f>
        <v>2.9788214313283991E-4</v>
      </c>
      <c r="J213" t="str">
        <f t="shared" si="20"/>
        <v>[</v>
      </c>
      <c r="K213" t="str">
        <f t="shared" si="21"/>
        <v>[0.000194275827244321],</v>
      </c>
      <c r="L213" t="str">
        <f t="shared" si="25"/>
        <v>[0.000388551654488641],</v>
      </c>
      <c r="M213" t="str">
        <f t="shared" si="25"/>
        <v>[0.000170949602519577],</v>
      </c>
      <c r="N213" t="str">
        <f t="shared" si="25"/>
        <v>[0.000177794342209504],</v>
      </c>
      <c r="O213" t="str">
        <f t="shared" si="25"/>
        <v>[0.000199012892138756],</v>
      </c>
      <c r="P213" t="str">
        <f t="shared" si="25"/>
        <v>[0.00021874068676556],</v>
      </c>
      <c r="Q213" t="str">
        <f t="shared" si="22"/>
        <v>[0.00029788214313284]</v>
      </c>
      <c r="R213" t="str">
        <f t="shared" si="23"/>
        <v>]</v>
      </c>
      <c r="S213" t="str">
        <f t="shared" si="24"/>
        <v>[[0.000194275827244321],[0.000388551654488641],[0.000170949602519577],[0.000177794342209504],[0.000199012892138756],[0.00021874068676556],[0.00029788214313284]]</v>
      </c>
    </row>
    <row r="214" spans="1:19" x14ac:dyDescent="0.2">
      <c r="A214" s="1" t="d">
        <v>2026-03-16</v>
      </c>
      <c r="B214">
        <f>daily_original_wrong!B214*total_from_MA_dashboard!B$24</f>
        <v>1.9427582724432064E-4</v>
      </c>
      <c r="C214">
        <f>daily_original_wrong!C214*total_from_MA_dashboard!C$24</f>
        <v>3.8855165448864129E-4</v>
      </c>
      <c r="D214">
        <f>daily_original_wrong!D214*total_from_MA_dashboard!D$24</f>
        <v>1.7094960251957662E-4</v>
      </c>
      <c r="E214">
        <f>daily_original_wrong!E214*total_from_MA_dashboard!E$24</f>
        <v>1.7779434220950376E-4</v>
      </c>
      <c r="F214">
        <f>daily_original_wrong!F214*total_from_MA_dashboard!F$24</f>
        <v>1.9901289213875579E-4</v>
      </c>
      <c r="G214">
        <f>daily_original_wrong!G214*total_from_MA_dashboard!G$24</f>
        <v>2.1874068676555969E-4</v>
      </c>
      <c r="H214">
        <f>daily_original_wrong!H214*total_from_MA_dashboard!H$24</f>
        <v>2.9788214313283991E-4</v>
      </c>
      <c r="J214" t="str">
        <f t="shared" si="20"/>
        <v>[</v>
      </c>
      <c r="K214" t="str">
        <f t="shared" si="21"/>
        <v>[0.000194275827244321],</v>
      </c>
      <c r="L214" t="str">
        <f t="shared" si="25"/>
        <v>[0.000388551654488641],</v>
      </c>
      <c r="M214" t="str">
        <f t="shared" si="25"/>
        <v>[0.000170949602519577],</v>
      </c>
      <c r="N214" t="str">
        <f t="shared" si="25"/>
        <v>[0.000177794342209504],</v>
      </c>
      <c r="O214" t="str">
        <f t="shared" si="25"/>
        <v>[0.000199012892138756],</v>
      </c>
      <c r="P214" t="str">
        <f t="shared" si="25"/>
        <v>[0.00021874068676556],</v>
      </c>
      <c r="Q214" t="str">
        <f t="shared" si="22"/>
        <v>[0.00029788214313284]</v>
      </c>
      <c r="R214" t="str">
        <f t="shared" si="23"/>
        <v>]</v>
      </c>
      <c r="S214" t="str">
        <f t="shared" si="24"/>
        <v>[[0.000194275827244321],[0.000388551654488641],[0.000170949602519577],[0.000177794342209504],[0.000199012892138756],[0.00021874068676556],[0.00029788214313284]]</v>
      </c>
    </row>
    <row r="215" spans="1:19" x14ac:dyDescent="0.2">
      <c r="A215" s="1" t="d">
        <v>2026-03-17</v>
      </c>
      <c r="B215">
        <f>daily_original_wrong!B215*total_from_MA_dashboard!B$24</f>
        <v>1.9427582724432064E-4</v>
      </c>
      <c r="C215">
        <f>daily_original_wrong!C215*total_from_MA_dashboard!C$24</f>
        <v>3.8855165448864129E-4</v>
      </c>
      <c r="D215">
        <f>daily_original_wrong!D215*total_from_MA_dashboard!D$24</f>
        <v>1.7094960251957662E-4</v>
      </c>
      <c r="E215">
        <f>daily_original_wrong!E215*total_from_MA_dashboard!E$24</f>
        <v>1.7779434220950376E-4</v>
      </c>
      <c r="F215">
        <f>daily_original_wrong!F215*total_from_MA_dashboard!F$24</f>
        <v>1.9901289213875579E-4</v>
      </c>
      <c r="G215">
        <f>daily_original_wrong!G215*total_from_MA_dashboard!G$24</f>
        <v>2.1874068676555969E-4</v>
      </c>
      <c r="H215">
        <f>daily_original_wrong!H215*total_from_MA_dashboard!H$24</f>
        <v>2.9788214313283991E-4</v>
      </c>
      <c r="J215" t="str">
        <f t="shared" si="20"/>
        <v>[</v>
      </c>
      <c r="K215" t="str">
        <f t="shared" si="21"/>
        <v>[0.000194275827244321],</v>
      </c>
      <c r="L215" t="str">
        <f t="shared" si="25"/>
        <v>[0.000388551654488641],</v>
      </c>
      <c r="M215" t="str">
        <f t="shared" si="25"/>
        <v>[0.000170949602519577],</v>
      </c>
      <c r="N215" t="str">
        <f t="shared" si="25"/>
        <v>[0.000177794342209504],</v>
      </c>
      <c r="O215" t="str">
        <f t="shared" si="25"/>
        <v>[0.000199012892138756],</v>
      </c>
      <c r="P215" t="str">
        <f t="shared" si="25"/>
        <v>[0.00021874068676556],</v>
      </c>
      <c r="Q215" t="str">
        <f t="shared" si="22"/>
        <v>[0.00029788214313284]</v>
      </c>
      <c r="R215" t="str">
        <f t="shared" si="23"/>
        <v>]</v>
      </c>
      <c r="S215" t="str">
        <f t="shared" si="24"/>
        <v>[[0.000194275827244321],[0.000388551654488641],[0.000170949602519577],[0.000177794342209504],[0.000199012892138756],[0.00021874068676556],[0.00029788214313284]]</v>
      </c>
    </row>
    <row r="216" spans="1:19" x14ac:dyDescent="0.2">
      <c r="A216" s="1" t="d">
        <v>2026-03-18</v>
      </c>
      <c r="B216">
        <f>daily_original_wrong!B216*total_from_MA_dashboard!B$24</f>
        <v>1.9427582724432064E-4</v>
      </c>
      <c r="C216">
        <f>daily_original_wrong!C216*total_from_MA_dashboard!C$24</f>
        <v>3.8855165448864129E-4</v>
      </c>
      <c r="D216">
        <f>daily_original_wrong!D216*total_from_MA_dashboard!D$24</f>
        <v>1.7094960251957662E-4</v>
      </c>
      <c r="E216">
        <f>daily_original_wrong!E216*total_from_MA_dashboard!E$24</f>
        <v>1.7779434220950376E-4</v>
      </c>
      <c r="F216">
        <f>daily_original_wrong!F216*total_from_MA_dashboard!F$24</f>
        <v>1.9901289213875579E-4</v>
      </c>
      <c r="G216">
        <f>daily_original_wrong!G216*total_from_MA_dashboard!G$24</f>
        <v>2.1874068676555969E-4</v>
      </c>
      <c r="H216">
        <f>daily_original_wrong!H216*total_from_MA_dashboard!H$24</f>
        <v>2.9788214313283991E-4</v>
      </c>
      <c r="J216" t="str">
        <f t="shared" si="20"/>
        <v>[</v>
      </c>
      <c r="K216" t="str">
        <f t="shared" si="21"/>
        <v>[0.000194275827244321],</v>
      </c>
      <c r="L216" t="str">
        <f t="shared" si="25"/>
        <v>[0.000388551654488641],</v>
      </c>
      <c r="M216" t="str">
        <f t="shared" si="25"/>
        <v>[0.000170949602519577],</v>
      </c>
      <c r="N216" t="str">
        <f t="shared" si="25"/>
        <v>[0.000177794342209504],</v>
      </c>
      <c r="O216" t="str">
        <f t="shared" si="25"/>
        <v>[0.000199012892138756],</v>
      </c>
      <c r="P216" t="str">
        <f t="shared" si="25"/>
        <v>[0.00021874068676556],</v>
      </c>
      <c r="Q216" t="str">
        <f t="shared" si="22"/>
        <v>[0.00029788214313284]</v>
      </c>
      <c r="R216" t="str">
        <f t="shared" si="23"/>
        <v>]</v>
      </c>
      <c r="S216" t="str">
        <f t="shared" si="24"/>
        <v>[[0.000194275827244321],[0.000388551654488641],[0.000170949602519577],[0.000177794342209504],[0.000199012892138756],[0.00021874068676556],[0.00029788214313284]]</v>
      </c>
    </row>
    <row r="217" spans="1:19" x14ac:dyDescent="0.2">
      <c r="A217" s="1" t="d">
        <v>2026-03-19</v>
      </c>
      <c r="B217">
        <f>daily_original_wrong!B217*total_from_MA_dashboard!B$24</f>
        <v>1.9427582724432064E-4</v>
      </c>
      <c r="C217">
        <f>daily_original_wrong!C217*total_from_MA_dashboard!C$24</f>
        <v>3.8855165448864129E-4</v>
      </c>
      <c r="D217">
        <f>daily_original_wrong!D217*total_from_MA_dashboard!D$24</f>
        <v>1.7094960251957662E-4</v>
      </c>
      <c r="E217">
        <f>daily_original_wrong!E217*total_from_MA_dashboard!E$24</f>
        <v>1.7779434220950376E-4</v>
      </c>
      <c r="F217">
        <f>daily_original_wrong!F217*total_from_MA_dashboard!F$24</f>
        <v>1.9901289213875579E-4</v>
      </c>
      <c r="G217">
        <f>daily_original_wrong!G217*total_from_MA_dashboard!G$24</f>
        <v>2.1874068676555969E-4</v>
      </c>
      <c r="H217">
        <f>daily_original_wrong!H217*total_from_MA_dashboard!H$24</f>
        <v>2.9788214313283991E-4</v>
      </c>
      <c r="J217" t="str">
        <f t="shared" si="20"/>
        <v>[</v>
      </c>
      <c r="K217" t="str">
        <f t="shared" si="21"/>
        <v>[0.000194275827244321],</v>
      </c>
      <c r="L217" t="str">
        <f t="shared" si="25"/>
        <v>[0.000388551654488641],</v>
      </c>
      <c r="M217" t="str">
        <f t="shared" si="25"/>
        <v>[0.000170949602519577],</v>
      </c>
      <c r="N217" t="str">
        <f t="shared" si="25"/>
        <v>[0.000177794342209504],</v>
      </c>
      <c r="O217" t="str">
        <f t="shared" si="25"/>
        <v>[0.000199012892138756],</v>
      </c>
      <c r="P217" t="str">
        <f t="shared" si="25"/>
        <v>[0.00021874068676556],</v>
      </c>
      <c r="Q217" t="str">
        <f t="shared" si="22"/>
        <v>[0.00029788214313284]</v>
      </c>
      <c r="R217" t="str">
        <f t="shared" si="23"/>
        <v>]</v>
      </c>
      <c r="S217" t="str">
        <f t="shared" si="24"/>
        <v>[[0.000194275827244321],[0.000388551654488641],[0.000170949602519577],[0.000177794342209504],[0.000199012892138756],[0.00021874068676556],[0.00029788214313284]]</v>
      </c>
    </row>
    <row r="218" spans="1:19" x14ac:dyDescent="0.2">
      <c r="A218" s="1" t="d">
        <v>2026-03-20</v>
      </c>
      <c r="B218">
        <f>daily_original_wrong!B218*total_from_MA_dashboard!B$24</f>
        <v>1.9427582724432064E-4</v>
      </c>
      <c r="C218">
        <f>daily_original_wrong!C218*total_from_MA_dashboard!C$24</f>
        <v>3.8855165448864129E-4</v>
      </c>
      <c r="D218">
        <f>daily_original_wrong!D218*total_from_MA_dashboard!D$24</f>
        <v>1.7094960251957662E-4</v>
      </c>
      <c r="E218">
        <f>daily_original_wrong!E218*total_from_MA_dashboard!E$24</f>
        <v>1.7779434220950376E-4</v>
      </c>
      <c r="F218">
        <f>daily_original_wrong!F218*total_from_MA_dashboard!F$24</f>
        <v>1.9901289213875579E-4</v>
      </c>
      <c r="G218">
        <f>daily_original_wrong!G218*total_from_MA_dashboard!G$24</f>
        <v>2.1874068676555969E-4</v>
      </c>
      <c r="H218">
        <f>daily_original_wrong!H218*total_from_MA_dashboard!H$24</f>
        <v>2.9788214313283991E-4</v>
      </c>
      <c r="J218" t="str">
        <f t="shared" si="20"/>
        <v>[</v>
      </c>
      <c r="K218" t="str">
        <f t="shared" si="21"/>
        <v>[0.000194275827244321],</v>
      </c>
      <c r="L218" t="str">
        <f t="shared" si="25"/>
        <v>[0.000388551654488641],</v>
      </c>
      <c r="M218" t="str">
        <f t="shared" si="25"/>
        <v>[0.000170949602519577],</v>
      </c>
      <c r="N218" t="str">
        <f t="shared" si="25"/>
        <v>[0.000177794342209504],</v>
      </c>
      <c r="O218" t="str">
        <f t="shared" si="25"/>
        <v>[0.000199012892138756],</v>
      </c>
      <c r="P218" t="str">
        <f t="shared" si="25"/>
        <v>[0.00021874068676556],</v>
      </c>
      <c r="Q218" t="str">
        <f t="shared" si="22"/>
        <v>[0.00029788214313284]</v>
      </c>
      <c r="R218" t="str">
        <f t="shared" si="23"/>
        <v>]</v>
      </c>
      <c r="S218" t="str">
        <f t="shared" si="24"/>
        <v>[[0.000194275827244321],[0.000388551654488641],[0.000170949602519577],[0.000177794342209504],[0.000199012892138756],[0.00021874068676556],[0.00029788214313284]]</v>
      </c>
    </row>
    <row r="219" spans="1:19" x14ac:dyDescent="0.2">
      <c r="A219" s="1" t="d">
        <v>2026-03-21</v>
      </c>
      <c r="B219">
        <f>daily_original_wrong!B219*total_from_MA_dashboard!B$24</f>
        <v>1.2730265316593083E-4</v>
      </c>
      <c r="C219">
        <f>daily_original_wrong!C219*total_from_MA_dashboard!C$24</f>
        <v>2.5460530633186166E-4</v>
      </c>
      <c r="D219">
        <f>daily_original_wrong!D219*total_from_MA_dashboard!D$24</f>
        <v>9.60825780268993E-5</v>
      </c>
      <c r="E219">
        <f>daily_original_wrong!E219*total_from_MA_dashboard!E$24</f>
        <v>1.3347190690271788E-4</v>
      </c>
      <c r="F219">
        <f>daily_original_wrong!F219*total_from_MA_dashboard!F$24</f>
        <v>1.5534354057022715E-4</v>
      </c>
      <c r="G219">
        <f>daily_original_wrong!G219*total_from_MA_dashboard!G$24</f>
        <v>8.7467417596754561E-5</v>
      </c>
      <c r="H219">
        <f>daily_original_wrong!H219*total_from_MA_dashboard!H$24</f>
        <v>3.0321302643062812E-4</v>
      </c>
      <c r="J219" t="str">
        <f t="shared" si="20"/>
        <v>[</v>
      </c>
      <c r="K219" t="str">
        <f t="shared" si="21"/>
        <v>[0.000127302653165931],</v>
      </c>
      <c r="L219" t="str">
        <f t="shared" si="25"/>
        <v>[0.000254605306331862],</v>
      </c>
      <c r="M219" t="str">
        <f t="shared" si="25"/>
        <v>[9.60825780268993E-05],</v>
      </c>
      <c r="N219" t="str">
        <f t="shared" si="25"/>
        <v>[0.000133471906902718],</v>
      </c>
      <c r="O219" t="str">
        <f t="shared" si="25"/>
        <v>[0.000155343540570227],</v>
      </c>
      <c r="P219" t="str">
        <f t="shared" si="25"/>
        <v>[8.74674175967546E-05],</v>
      </c>
      <c r="Q219" t="str">
        <f t="shared" si="22"/>
        <v>[0.000303213026430628]</v>
      </c>
      <c r="R219" t="str">
        <f t="shared" si="23"/>
        <v>]</v>
      </c>
      <c r="S219" t="str">
        <f t="shared" si="24"/>
        <v>[[0.000127302653165931],[0.000254605306331862],[9.60825780268993E-05],[0.000133471906902718],[0.000155343540570227],[8.74674175967546E-05],[0.000303213026430628]]</v>
      </c>
    </row>
    <row r="220" spans="1:19" x14ac:dyDescent="0.2">
      <c r="A220" s="1" t="d">
        <v>2026-03-22</v>
      </c>
      <c r="B220">
        <f>daily_original_wrong!B220*total_from_MA_dashboard!B$24</f>
        <v>1.2730265316593083E-4</v>
      </c>
      <c r="C220">
        <f>daily_original_wrong!C220*total_from_MA_dashboard!C$24</f>
        <v>2.5460530633186166E-4</v>
      </c>
      <c r="D220">
        <f>daily_original_wrong!D220*total_from_MA_dashboard!D$24</f>
        <v>9.60825780268993E-5</v>
      </c>
      <c r="E220">
        <f>daily_original_wrong!E220*total_from_MA_dashboard!E$24</f>
        <v>1.3347190690271788E-4</v>
      </c>
      <c r="F220">
        <f>daily_original_wrong!F220*total_from_MA_dashboard!F$24</f>
        <v>1.5534354057022715E-4</v>
      </c>
      <c r="G220">
        <f>daily_original_wrong!G220*total_from_MA_dashboard!G$24</f>
        <v>8.7467417596754561E-5</v>
      </c>
      <c r="H220">
        <f>daily_original_wrong!H220*total_from_MA_dashboard!H$24</f>
        <v>3.0321302643062812E-4</v>
      </c>
      <c r="J220" t="str">
        <f t="shared" si="20"/>
        <v>[</v>
      </c>
      <c r="K220" t="str">
        <f t="shared" si="21"/>
        <v>[0.000127302653165931],</v>
      </c>
      <c r="L220" t="str">
        <f t="shared" si="25"/>
        <v>[0.000254605306331862],</v>
      </c>
      <c r="M220" t="str">
        <f t="shared" si="25"/>
        <v>[9.60825780268993E-05],</v>
      </c>
      <c r="N220" t="str">
        <f t="shared" si="25"/>
        <v>[0.000133471906902718],</v>
      </c>
      <c r="O220" t="str">
        <f t="shared" si="25"/>
        <v>[0.000155343540570227],</v>
      </c>
      <c r="P220" t="str">
        <f t="shared" si="25"/>
        <v>[8.74674175967546E-05],</v>
      </c>
      <c r="Q220" t="str">
        <f t="shared" si="22"/>
        <v>[0.000303213026430628]</v>
      </c>
      <c r="R220" t="str">
        <f t="shared" si="23"/>
        <v>]</v>
      </c>
      <c r="S220" t="str">
        <f t="shared" si="24"/>
        <v>[[0.000127302653165931],[0.000254605306331862],[9.60825780268993E-05],[0.000133471906902718],[0.000155343540570227],[8.74674175967546E-05],[0.000303213026430628]]</v>
      </c>
    </row>
    <row r="221" spans="1:19" x14ac:dyDescent="0.2">
      <c r="A221" s="1" t="d">
        <v>2026-03-23</v>
      </c>
      <c r="B221">
        <f>daily_original_wrong!B221*total_from_MA_dashboard!B$24</f>
        <v>1.2730265316593083E-4</v>
      </c>
      <c r="C221">
        <f>daily_original_wrong!C221*total_from_MA_dashboard!C$24</f>
        <v>2.5460530633186166E-4</v>
      </c>
      <c r="D221">
        <f>daily_original_wrong!D221*total_from_MA_dashboard!D$24</f>
        <v>9.60825780268993E-5</v>
      </c>
      <c r="E221">
        <f>daily_original_wrong!E221*total_from_MA_dashboard!E$24</f>
        <v>1.3347190690271788E-4</v>
      </c>
      <c r="F221">
        <f>daily_original_wrong!F221*total_from_MA_dashboard!F$24</f>
        <v>1.5534354057022715E-4</v>
      </c>
      <c r="G221">
        <f>daily_original_wrong!G221*total_from_MA_dashboard!G$24</f>
        <v>8.7467417596754561E-5</v>
      </c>
      <c r="H221">
        <f>daily_original_wrong!H221*total_from_MA_dashboard!H$24</f>
        <v>3.0321302643062812E-4</v>
      </c>
      <c r="J221" t="str">
        <f t="shared" si="20"/>
        <v>[</v>
      </c>
      <c r="K221" t="str">
        <f t="shared" si="21"/>
        <v>[0.000127302653165931],</v>
      </c>
      <c r="L221" t="str">
        <f t="shared" si="25"/>
        <v>[0.000254605306331862],</v>
      </c>
      <c r="M221" t="str">
        <f t="shared" si="25"/>
        <v>[9.60825780268993E-05],</v>
      </c>
      <c r="N221" t="str">
        <f t="shared" si="25"/>
        <v>[0.000133471906902718],</v>
      </c>
      <c r="O221" t="str">
        <f t="shared" si="25"/>
        <v>[0.000155343540570227],</v>
      </c>
      <c r="P221" t="str">
        <f t="shared" si="25"/>
        <v>[8.74674175967546E-05],</v>
      </c>
      <c r="Q221" t="str">
        <f t="shared" si="22"/>
        <v>[0.000303213026430628]</v>
      </c>
      <c r="R221" t="str">
        <f t="shared" si="23"/>
        <v>]</v>
      </c>
      <c r="S221" t="str">
        <f t="shared" si="24"/>
        <v>[[0.000127302653165931],[0.000254605306331862],[9.60825780268993E-05],[0.000133471906902718],[0.000155343540570227],[8.74674175967546E-05],[0.000303213026430628]]</v>
      </c>
    </row>
    <row r="222" spans="1:19" x14ac:dyDescent="0.2">
      <c r="A222" s="1" t="d">
        <v>2026-03-24</v>
      </c>
      <c r="B222">
        <f>daily_original_wrong!B222*total_from_MA_dashboard!B$24</f>
        <v>1.2730265316593083E-4</v>
      </c>
      <c r="C222">
        <f>daily_original_wrong!C222*total_from_MA_dashboard!C$24</f>
        <v>2.5460530633186166E-4</v>
      </c>
      <c r="D222">
        <f>daily_original_wrong!D222*total_from_MA_dashboard!D$24</f>
        <v>9.60825780268993E-5</v>
      </c>
      <c r="E222">
        <f>daily_original_wrong!E222*total_from_MA_dashboard!E$24</f>
        <v>1.3347190690271788E-4</v>
      </c>
      <c r="F222">
        <f>daily_original_wrong!F222*total_from_MA_dashboard!F$24</f>
        <v>1.5534354057022715E-4</v>
      </c>
      <c r="G222">
        <f>daily_original_wrong!G222*total_from_MA_dashboard!G$24</f>
        <v>8.7467417596754561E-5</v>
      </c>
      <c r="H222">
        <f>daily_original_wrong!H222*total_from_MA_dashboard!H$24</f>
        <v>3.0321302643062812E-4</v>
      </c>
      <c r="J222" t="str">
        <f t="shared" si="20"/>
        <v>[</v>
      </c>
      <c r="K222" t="str">
        <f t="shared" si="21"/>
        <v>[0.000127302653165931],</v>
      </c>
      <c r="L222" t="str">
        <f t="shared" si="25"/>
        <v>[0.000254605306331862],</v>
      </c>
      <c r="M222" t="str">
        <f t="shared" si="25"/>
        <v>[9.60825780268993E-05],</v>
      </c>
      <c r="N222" t="str">
        <f t="shared" si="25"/>
        <v>[0.000133471906902718],</v>
      </c>
      <c r="O222" t="str">
        <f t="shared" si="25"/>
        <v>[0.000155343540570227],</v>
      </c>
      <c r="P222" t="str">
        <f t="shared" si="25"/>
        <v>[8.74674175967546E-05],</v>
      </c>
      <c r="Q222" t="str">
        <f t="shared" si="22"/>
        <v>[0.000303213026430628]</v>
      </c>
      <c r="R222" t="str">
        <f t="shared" si="23"/>
        <v>]</v>
      </c>
      <c r="S222" t="str">
        <f t="shared" si="24"/>
        <v>[[0.000127302653165931],[0.000254605306331862],[9.60825780268993E-05],[0.000133471906902718],[0.000155343540570227],[8.74674175967546E-05],[0.000303213026430628]]</v>
      </c>
    </row>
    <row r="223" spans="1:19" x14ac:dyDescent="0.2">
      <c r="A223" s="1" t="d">
        <v>2026-03-25</v>
      </c>
      <c r="B223">
        <f>daily_original_wrong!B223*total_from_MA_dashboard!B$24</f>
        <v>1.2730265316593083E-4</v>
      </c>
      <c r="C223">
        <f>daily_original_wrong!C223*total_from_MA_dashboard!C$24</f>
        <v>2.5460530633186166E-4</v>
      </c>
      <c r="D223">
        <f>daily_original_wrong!D223*total_from_MA_dashboard!D$24</f>
        <v>9.60825780268993E-5</v>
      </c>
      <c r="E223">
        <f>daily_original_wrong!E223*total_from_MA_dashboard!E$24</f>
        <v>1.3347190690271788E-4</v>
      </c>
      <c r="F223">
        <f>daily_original_wrong!F223*total_from_MA_dashboard!F$24</f>
        <v>1.5534354057022715E-4</v>
      </c>
      <c r="G223">
        <f>daily_original_wrong!G223*total_from_MA_dashboard!G$24</f>
        <v>8.7467417596754561E-5</v>
      </c>
      <c r="H223">
        <f>daily_original_wrong!H223*total_from_MA_dashboard!H$24</f>
        <v>3.0321302643062812E-4</v>
      </c>
      <c r="J223" t="str">
        <f t="shared" si="20"/>
        <v>[</v>
      </c>
      <c r="K223" t="str">
        <f t="shared" si="21"/>
        <v>[0.000127302653165931],</v>
      </c>
      <c r="L223" t="str">
        <f t="shared" si="25"/>
        <v>[0.000254605306331862],</v>
      </c>
      <c r="M223" t="str">
        <f t="shared" si="25"/>
        <v>[9.60825780268993E-05],</v>
      </c>
      <c r="N223" t="str">
        <f t="shared" si="25"/>
        <v>[0.000133471906902718],</v>
      </c>
      <c r="O223" t="str">
        <f t="shared" si="25"/>
        <v>[0.000155343540570227],</v>
      </c>
      <c r="P223" t="str">
        <f t="shared" si="25"/>
        <v>[8.74674175967546E-05],</v>
      </c>
      <c r="Q223" t="str">
        <f t="shared" si="22"/>
        <v>[0.000303213026430628]</v>
      </c>
      <c r="R223" t="str">
        <f t="shared" si="23"/>
        <v>]</v>
      </c>
      <c r="S223" t="str">
        <f t="shared" si="24"/>
        <v>[[0.000127302653165931],[0.000254605306331862],[9.60825780268993E-05],[0.000133471906902718],[0.000155343540570227],[8.74674175967546E-05],[0.000303213026430628]]</v>
      </c>
    </row>
    <row r="224" spans="1:19" x14ac:dyDescent="0.2">
      <c r="A224" s="1" t="d">
        <v>2026-03-26</v>
      </c>
      <c r="B224">
        <f>daily_original_wrong!B224*total_from_MA_dashboard!B$24</f>
        <v>1.2730265316593083E-4</v>
      </c>
      <c r="C224">
        <f>daily_original_wrong!C224*total_from_MA_dashboard!C$24</f>
        <v>2.5460530633186166E-4</v>
      </c>
      <c r="D224">
        <f>daily_original_wrong!D224*total_from_MA_dashboard!D$24</f>
        <v>9.60825780268993E-5</v>
      </c>
      <c r="E224">
        <f>daily_original_wrong!E224*total_from_MA_dashboard!E$24</f>
        <v>1.3347190690271788E-4</v>
      </c>
      <c r="F224">
        <f>daily_original_wrong!F224*total_from_MA_dashboard!F$24</f>
        <v>1.5534354057022715E-4</v>
      </c>
      <c r="G224">
        <f>daily_original_wrong!G224*total_from_MA_dashboard!G$24</f>
        <v>8.7467417596754561E-5</v>
      </c>
      <c r="H224">
        <f>daily_original_wrong!H224*total_from_MA_dashboard!H$24</f>
        <v>3.0321302643062812E-4</v>
      </c>
      <c r="J224" t="str">
        <f t="shared" si="20"/>
        <v>[</v>
      </c>
      <c r="K224" t="str">
        <f t="shared" si="21"/>
        <v>[0.000127302653165931],</v>
      </c>
      <c r="L224" t="str">
        <f t="shared" si="25"/>
        <v>[0.000254605306331862],</v>
      </c>
      <c r="M224" t="str">
        <f t="shared" si="25"/>
        <v>[9.60825780268993E-05],</v>
      </c>
      <c r="N224" t="str">
        <f t="shared" si="25"/>
        <v>[0.000133471906902718],</v>
      </c>
      <c r="O224" t="str">
        <f t="shared" si="25"/>
        <v>[0.000155343540570227],</v>
      </c>
      <c r="P224" t="str">
        <f t="shared" si="25"/>
        <v>[8.74674175967546E-05],</v>
      </c>
      <c r="Q224" t="str">
        <f t="shared" si="22"/>
        <v>[0.000303213026430628]</v>
      </c>
      <c r="R224" t="str">
        <f t="shared" si="23"/>
        <v>]</v>
      </c>
      <c r="S224" t="str">
        <f t="shared" si="24"/>
        <v>[[0.000127302653165931],[0.000254605306331862],[9.60825780268993E-05],[0.000133471906902718],[0.000155343540570227],[8.74674175967546E-05],[0.000303213026430628]]</v>
      </c>
    </row>
    <row r="225" spans="1:19" x14ac:dyDescent="0.2">
      <c r="A225" s="1" t="d">
        <v>2026-03-27</v>
      </c>
      <c r="B225">
        <f>daily_original_wrong!B225*total_from_MA_dashboard!B$24</f>
        <v>1.2730265316593083E-4</v>
      </c>
      <c r="C225">
        <f>daily_original_wrong!C225*total_from_MA_dashboard!C$24</f>
        <v>2.5460530633186166E-4</v>
      </c>
      <c r="D225">
        <f>daily_original_wrong!D225*total_from_MA_dashboard!D$24</f>
        <v>9.60825780268993E-5</v>
      </c>
      <c r="E225">
        <f>daily_original_wrong!E225*total_from_MA_dashboard!E$24</f>
        <v>1.3347190690271788E-4</v>
      </c>
      <c r="F225">
        <f>daily_original_wrong!F225*total_from_MA_dashboard!F$24</f>
        <v>1.5534354057022715E-4</v>
      </c>
      <c r="G225">
        <f>daily_original_wrong!G225*total_from_MA_dashboard!G$24</f>
        <v>8.7467417596754561E-5</v>
      </c>
      <c r="H225">
        <f>daily_original_wrong!H225*total_from_MA_dashboard!H$24</f>
        <v>3.0321302643062812E-4</v>
      </c>
      <c r="J225" t="str">
        <f t="shared" si="20"/>
        <v>[</v>
      </c>
      <c r="K225" t="str">
        <f t="shared" si="21"/>
        <v>[0.000127302653165931],</v>
      </c>
      <c r="L225" t="str">
        <f t="shared" si="25"/>
        <v>[0.000254605306331862],</v>
      </c>
      <c r="M225" t="str">
        <f t="shared" si="25"/>
        <v>[9.60825780268993E-05],</v>
      </c>
      <c r="N225" t="str">
        <f t="shared" si="25"/>
        <v>[0.000133471906902718],</v>
      </c>
      <c r="O225" t="str">
        <f t="shared" si="25"/>
        <v>[0.000155343540570227],</v>
      </c>
      <c r="P225" t="str">
        <f t="shared" si="25"/>
        <v>[8.74674175967546E-05],</v>
      </c>
      <c r="Q225" t="str">
        <f t="shared" si="22"/>
        <v>[0.000303213026430628]</v>
      </c>
      <c r="R225" t="str">
        <f t="shared" si="23"/>
        <v>]</v>
      </c>
      <c r="S225" t="str">
        <f t="shared" si="24"/>
        <v>[[0.000127302653165931],[0.000254605306331862],[9.60825780268993E-05],[0.000133471906902718],[0.000155343540570227],[8.74674175967546E-05],[0.000303213026430628]]</v>
      </c>
    </row>
    <row r="226" spans="1:19" x14ac:dyDescent="0.2">
      <c r="A226" s="1" t="d">
        <v>2026-03-28</v>
      </c>
      <c r="B226">
        <f>daily_original_wrong!B226*total_from_MA_dashboard!B$24</f>
        <v>1.1114191102853101E-4</v>
      </c>
      <c r="C226">
        <f>daily_original_wrong!C226*total_from_MA_dashboard!C$24</f>
        <v>2.2228382205706203E-4</v>
      </c>
      <c r="D226">
        <f>daily_original_wrong!D226*total_from_MA_dashboard!D$24</f>
        <v>1.0955645081953904E-4</v>
      </c>
      <c r="E226">
        <f>daily_original_wrong!E226*total_from_MA_dashboard!E$24</f>
        <v>1.4341221645064944E-4</v>
      </c>
      <c r="F226">
        <f>daily_original_wrong!F226*total_from_MA_dashboard!F$24</f>
        <v>2.0543324442884593E-4</v>
      </c>
      <c r="G226">
        <f>daily_original_wrong!G226*total_from_MA_dashboard!G$24</f>
        <v>1.1979560700992095E-4</v>
      </c>
      <c r="H226">
        <f>daily_original_wrong!H226*total_from_MA_dashboard!H$24</f>
        <v>4.2735721289323674E-4</v>
      </c>
      <c r="J226" t="str">
        <f t="shared" si="20"/>
        <v>[</v>
      </c>
      <c r="K226" t="str">
        <f t="shared" si="21"/>
        <v>[0.000111141911028531],</v>
      </c>
      <c r="L226" t="str">
        <f t="shared" si="25"/>
        <v>[0.000222283822057062],</v>
      </c>
      <c r="M226" t="str">
        <f t="shared" si="25"/>
        <v>[0.000109556450819539],</v>
      </c>
      <c r="N226" t="str">
        <f t="shared" si="25"/>
        <v>[0.000143412216450649],</v>
      </c>
      <c r="O226" t="str">
        <f t="shared" si="25"/>
        <v>[0.000205433244428846],</v>
      </c>
      <c r="P226" t="str">
        <f t="shared" si="25"/>
        <v>[0.000119795607009921],</v>
      </c>
      <c r="Q226" t="str">
        <f t="shared" si="22"/>
        <v>[0.000427357212893237]</v>
      </c>
      <c r="R226" t="str">
        <f t="shared" si="23"/>
        <v>]</v>
      </c>
      <c r="S226" t="str">
        <f t="shared" si="24"/>
        <v>[[0.000111141911028531],[0.000222283822057062],[0.000109556450819539],[0.000143412216450649],[0.000205433244428846],[0.000119795607009921],[0.000427357212893237]]</v>
      </c>
    </row>
    <row r="227" spans="1:19" x14ac:dyDescent="0.2">
      <c r="A227" s="1" t="d">
        <v>2026-03-29</v>
      </c>
      <c r="B227">
        <f>daily_original_wrong!B227*total_from_MA_dashboard!B$24</f>
        <v>1.1114191102853101E-4</v>
      </c>
      <c r="C227">
        <f>daily_original_wrong!C227*total_from_MA_dashboard!C$24</f>
        <v>2.2228382205706203E-4</v>
      </c>
      <c r="D227">
        <f>daily_original_wrong!D227*total_from_MA_dashboard!D$24</f>
        <v>1.0955645081953904E-4</v>
      </c>
      <c r="E227">
        <f>daily_original_wrong!E227*total_from_MA_dashboard!E$24</f>
        <v>1.4341221645064944E-4</v>
      </c>
      <c r="F227">
        <f>daily_original_wrong!F227*total_from_MA_dashboard!F$24</f>
        <v>2.0543324442884593E-4</v>
      </c>
      <c r="G227">
        <f>daily_original_wrong!G227*total_from_MA_dashboard!G$24</f>
        <v>1.1979560700992095E-4</v>
      </c>
      <c r="H227">
        <f>daily_original_wrong!H227*total_from_MA_dashboard!H$24</f>
        <v>4.2735721289323674E-4</v>
      </c>
      <c r="J227" t="str">
        <f t="shared" si="20"/>
        <v>[</v>
      </c>
      <c r="K227" t="str">
        <f t="shared" si="21"/>
        <v>[0.000111141911028531],</v>
      </c>
      <c r="L227" t="str">
        <f t="shared" si="25"/>
        <v>[0.000222283822057062],</v>
      </c>
      <c r="M227" t="str">
        <f t="shared" si="25"/>
        <v>[0.000109556450819539],</v>
      </c>
      <c r="N227" t="str">
        <f t="shared" si="25"/>
        <v>[0.000143412216450649],</v>
      </c>
      <c r="O227" t="str">
        <f t="shared" si="25"/>
        <v>[0.000205433244428846],</v>
      </c>
      <c r="P227" t="str">
        <f t="shared" si="25"/>
        <v>[0.000119795607009921],</v>
      </c>
      <c r="Q227" t="str">
        <f t="shared" si="22"/>
        <v>[0.000427357212893237]</v>
      </c>
      <c r="R227" t="str">
        <f t="shared" si="23"/>
        <v>]</v>
      </c>
      <c r="S227" t="str">
        <f t="shared" si="24"/>
        <v>[[0.000111141911028531],[0.000222283822057062],[0.000109556450819539],[0.000143412216450649],[0.000205433244428846],[0.000119795607009921],[0.000427357212893237]]</v>
      </c>
    </row>
    <row r="228" spans="1:19" x14ac:dyDescent="0.2">
      <c r="A228" s="1" t="d">
        <v>2026-03-30</v>
      </c>
      <c r="B228">
        <f>daily_original_wrong!B228*total_from_MA_dashboard!B$24</f>
        <v>1.1114191102853101E-4</v>
      </c>
      <c r="C228">
        <f>daily_original_wrong!C228*total_from_MA_dashboard!C$24</f>
        <v>2.2228382205706203E-4</v>
      </c>
      <c r="D228">
        <f>daily_original_wrong!D228*total_from_MA_dashboard!D$24</f>
        <v>1.0955645081953904E-4</v>
      </c>
      <c r="E228">
        <f>daily_original_wrong!E228*total_from_MA_dashboard!E$24</f>
        <v>1.4341221645064944E-4</v>
      </c>
      <c r="F228">
        <f>daily_original_wrong!F228*total_from_MA_dashboard!F$24</f>
        <v>2.0543324442884593E-4</v>
      </c>
      <c r="G228">
        <f>daily_original_wrong!G228*total_from_MA_dashboard!G$24</f>
        <v>1.1979560700992095E-4</v>
      </c>
      <c r="H228">
        <f>daily_original_wrong!H228*total_from_MA_dashboard!H$24</f>
        <v>4.2735721289323674E-4</v>
      </c>
      <c r="J228" t="str">
        <f t="shared" si="20"/>
        <v>[</v>
      </c>
      <c r="K228" t="str">
        <f t="shared" si="21"/>
        <v>[0.000111141911028531],</v>
      </c>
      <c r="L228" t="str">
        <f t="shared" si="25"/>
        <v>[0.000222283822057062],</v>
      </c>
      <c r="M228" t="str">
        <f t="shared" si="25"/>
        <v>[0.000109556450819539],</v>
      </c>
      <c r="N228" t="str">
        <f t="shared" si="25"/>
        <v>[0.000143412216450649],</v>
      </c>
      <c r="O228" t="str">
        <f t="shared" si="25"/>
        <v>[0.000205433244428846],</v>
      </c>
      <c r="P228" t="str">
        <f t="shared" si="25"/>
        <v>[0.000119795607009921],</v>
      </c>
      <c r="Q228" t="str">
        <f t="shared" si="22"/>
        <v>[0.000427357212893237]</v>
      </c>
      <c r="R228" t="str">
        <f t="shared" si="23"/>
        <v>]</v>
      </c>
      <c r="S228" t="str">
        <f t="shared" si="24"/>
        <v>[[0.000111141911028531],[0.000222283822057062],[0.000109556450819539],[0.000143412216450649],[0.000205433244428846],[0.000119795607009921],[0.000427357212893237]]</v>
      </c>
    </row>
    <row r="229" spans="1:19" x14ac:dyDescent="0.2">
      <c r="A229" s="1" t="d">
        <v>2026-03-31</v>
      </c>
      <c r="B229">
        <f>daily_original_wrong!B229*total_from_MA_dashboard!B$24</f>
        <v>1.1114191102853101E-4</v>
      </c>
      <c r="C229">
        <f>daily_original_wrong!C229*total_from_MA_dashboard!C$24</f>
        <v>2.2228382205706203E-4</v>
      </c>
      <c r="D229">
        <f>daily_original_wrong!D229*total_from_MA_dashboard!D$24</f>
        <v>1.0955645081953904E-4</v>
      </c>
      <c r="E229">
        <f>daily_original_wrong!E229*total_from_MA_dashboard!E$24</f>
        <v>1.4341221645064944E-4</v>
      </c>
      <c r="F229">
        <f>daily_original_wrong!F229*total_from_MA_dashboard!F$24</f>
        <v>2.0543324442884593E-4</v>
      </c>
      <c r="G229">
        <f>daily_original_wrong!G229*total_from_MA_dashboard!G$24</f>
        <v>1.1979560700992095E-4</v>
      </c>
      <c r="H229">
        <f>daily_original_wrong!H229*total_from_MA_dashboard!H$24</f>
        <v>4.2735721289323674E-4</v>
      </c>
      <c r="J229" t="str">
        <f t="shared" si="20"/>
        <v>[</v>
      </c>
      <c r="K229" t="str">
        <f t="shared" si="21"/>
        <v>[0.000111141911028531],</v>
      </c>
      <c r="L229" t="str">
        <f t="shared" si="25"/>
        <v>[0.000222283822057062],</v>
      </c>
      <c r="M229" t="str">
        <f t="shared" si="25"/>
        <v>[0.000109556450819539],</v>
      </c>
      <c r="N229" t="str">
        <f t="shared" si="25"/>
        <v>[0.000143412216450649],</v>
      </c>
      <c r="O229" t="str">
        <f t="shared" si="25"/>
        <v>[0.000205433244428846],</v>
      </c>
      <c r="P229" t="str">
        <f t="shared" si="25"/>
        <v>[0.000119795607009921],</v>
      </c>
      <c r="Q229" t="str">
        <f t="shared" si="22"/>
        <v>[0.000427357212893237]</v>
      </c>
      <c r="R229" t="str">
        <f t="shared" si="23"/>
        <v>]</v>
      </c>
      <c r="S229" t="str">
        <f t="shared" si="24"/>
        <v>[[0.000111141911028531],[0.000222283822057062],[0.000109556450819539],[0.000143412216450649],[0.000205433244428846],[0.000119795607009921],[0.000427357212893237]]</v>
      </c>
    </row>
    <row r="230" spans="1:19" x14ac:dyDescent="0.2">
      <c r="A230" s="1" t="d">
        <v>2026-04-01</v>
      </c>
      <c r="B230">
        <f>daily_original_wrong!B230*total_from_MA_dashboard!B$24</f>
        <v>1.1114191102853101E-4</v>
      </c>
      <c r="C230">
        <f>daily_original_wrong!C230*total_from_MA_dashboard!C$24</f>
        <v>2.2228382205706203E-4</v>
      </c>
      <c r="D230">
        <f>daily_original_wrong!D230*total_from_MA_dashboard!D$24</f>
        <v>1.0955645081953904E-4</v>
      </c>
      <c r="E230">
        <f>daily_original_wrong!E230*total_from_MA_dashboard!E$24</f>
        <v>1.4341221645064944E-4</v>
      </c>
      <c r="F230">
        <f>daily_original_wrong!F230*total_from_MA_dashboard!F$24</f>
        <v>2.0543324442884593E-4</v>
      </c>
      <c r="G230">
        <f>daily_original_wrong!G230*total_from_MA_dashboard!G$24</f>
        <v>1.1979560700992095E-4</v>
      </c>
      <c r="H230">
        <f>daily_original_wrong!H230*total_from_MA_dashboard!H$24</f>
        <v>4.2735721289323674E-4</v>
      </c>
      <c r="J230" t="str">
        <f t="shared" si="20"/>
        <v>[</v>
      </c>
      <c r="K230" t="str">
        <f t="shared" si="21"/>
        <v>[0.000111141911028531],</v>
      </c>
      <c r="L230" t="str">
        <f t="shared" si="25"/>
        <v>[0.000222283822057062],</v>
      </c>
      <c r="M230" t="str">
        <f t="shared" si="25"/>
        <v>[0.000109556450819539],</v>
      </c>
      <c r="N230" t="str">
        <f t="shared" si="25"/>
        <v>[0.000143412216450649],</v>
      </c>
      <c r="O230" t="str">
        <f t="shared" si="25"/>
        <v>[0.000205433244428846],</v>
      </c>
      <c r="P230" t="str">
        <f t="shared" si="25"/>
        <v>[0.000119795607009921],</v>
      </c>
      <c r="Q230" t="str">
        <f t="shared" si="22"/>
        <v>[0.000427357212893237]</v>
      </c>
      <c r="R230" t="str">
        <f t="shared" si="23"/>
        <v>]</v>
      </c>
      <c r="S230" t="str">
        <f t="shared" si="24"/>
        <v>[[0.000111141911028531],[0.000222283822057062],[0.000109556450819539],[0.000143412216450649],[0.000205433244428846],[0.000119795607009921],[0.000427357212893237]]</v>
      </c>
    </row>
    <row r="231" spans="1:19" x14ac:dyDescent="0.2">
      <c r="A231" s="1" t="d">
        <v>2026-04-02</v>
      </c>
      <c r="B231">
        <f>daily_original_wrong!B231*total_from_MA_dashboard!B$24</f>
        <v>1.1114191102853101E-4</v>
      </c>
      <c r="C231">
        <f>daily_original_wrong!C231*total_from_MA_dashboard!C$24</f>
        <v>2.2228382205706203E-4</v>
      </c>
      <c r="D231">
        <f>daily_original_wrong!D231*total_from_MA_dashboard!D$24</f>
        <v>1.0955645081953904E-4</v>
      </c>
      <c r="E231">
        <f>daily_original_wrong!E231*total_from_MA_dashboard!E$24</f>
        <v>1.4341221645064944E-4</v>
      </c>
      <c r="F231">
        <f>daily_original_wrong!F231*total_from_MA_dashboard!F$24</f>
        <v>2.0543324442884593E-4</v>
      </c>
      <c r="G231">
        <f>daily_original_wrong!G231*total_from_MA_dashboard!G$24</f>
        <v>1.1979560700992095E-4</v>
      </c>
      <c r="H231">
        <f>daily_original_wrong!H231*total_from_MA_dashboard!H$24</f>
        <v>4.2735721289323674E-4</v>
      </c>
      <c r="J231" t="str">
        <f t="shared" si="20"/>
        <v>[</v>
      </c>
      <c r="K231" t="str">
        <f t="shared" si="21"/>
        <v>[0.000111141911028531],</v>
      </c>
      <c r="L231" t="str">
        <f t="shared" si="25"/>
        <v>[0.000222283822057062],</v>
      </c>
      <c r="M231" t="str">
        <f t="shared" si="25"/>
        <v>[0.000109556450819539],</v>
      </c>
      <c r="N231" t="str">
        <f t="shared" si="25"/>
        <v>[0.000143412216450649],</v>
      </c>
      <c r="O231" t="str">
        <f t="shared" si="25"/>
        <v>[0.000205433244428846],</v>
      </c>
      <c r="P231" t="str">
        <f t="shared" si="25"/>
        <v>[0.000119795607009921],</v>
      </c>
      <c r="Q231" t="str">
        <f t="shared" si="22"/>
        <v>[0.000427357212893237]</v>
      </c>
      <c r="R231" t="str">
        <f t="shared" si="23"/>
        <v>]</v>
      </c>
      <c r="S231" t="str">
        <f t="shared" si="24"/>
        <v>[[0.000111141911028531],[0.000222283822057062],[0.000109556450819539],[0.000143412216450649],[0.000205433244428846],[0.000119795607009921],[0.000427357212893237]]</v>
      </c>
    </row>
    <row r="232" spans="1:19" x14ac:dyDescent="0.2">
      <c r="A232" s="1" t="d">
        <v>2026-04-03</v>
      </c>
      <c r="B232">
        <f>daily_original_wrong!B232*total_from_MA_dashboard!B$24</f>
        <v>1.1114191102853101E-4</v>
      </c>
      <c r="C232">
        <f>daily_original_wrong!C232*total_from_MA_dashboard!C$24</f>
        <v>2.2228382205706203E-4</v>
      </c>
      <c r="D232">
        <f>daily_original_wrong!D232*total_from_MA_dashboard!D$24</f>
        <v>1.0955645081953904E-4</v>
      </c>
      <c r="E232">
        <f>daily_original_wrong!E232*total_from_MA_dashboard!E$24</f>
        <v>1.4341221645064944E-4</v>
      </c>
      <c r="F232">
        <f>daily_original_wrong!F232*total_from_MA_dashboard!F$24</f>
        <v>2.0543324442884593E-4</v>
      </c>
      <c r="G232">
        <f>daily_original_wrong!G232*total_from_MA_dashboard!G$24</f>
        <v>1.1979560700992095E-4</v>
      </c>
      <c r="H232">
        <f>daily_original_wrong!H232*total_from_MA_dashboard!H$24</f>
        <v>4.2735721289323674E-4</v>
      </c>
      <c r="J232" t="str">
        <f t="shared" si="20"/>
        <v>[</v>
      </c>
      <c r="K232" t="str">
        <f t="shared" si="21"/>
        <v>[0.000111141911028531],</v>
      </c>
      <c r="L232" t="str">
        <f t="shared" si="25"/>
        <v>[0.000222283822057062],</v>
      </c>
      <c r="M232" t="str">
        <f t="shared" si="25"/>
        <v>[0.000109556450819539],</v>
      </c>
      <c r="N232" t="str">
        <f t="shared" si="25"/>
        <v>[0.000143412216450649],</v>
      </c>
      <c r="O232" t="str">
        <f t="shared" si="25"/>
        <v>[0.000205433244428846],</v>
      </c>
      <c r="P232" t="str">
        <f t="shared" si="25"/>
        <v>[0.000119795607009921],</v>
      </c>
      <c r="Q232" t="str">
        <f t="shared" si="22"/>
        <v>[0.000427357212893237]</v>
      </c>
      <c r="R232" t="str">
        <f t="shared" si="23"/>
        <v>]</v>
      </c>
      <c r="S232" t="str">
        <f t="shared" si="24"/>
        <v>[[0.000111141911028531],[0.000222283822057062],[0.000109556450819539],[0.000143412216450649],[0.000205433244428846],[0.000119795607009921],[0.000427357212893237]]</v>
      </c>
    </row>
    <row r="233" spans="1:19" x14ac:dyDescent="0.2">
      <c r="A233" s="1" t="d">
        <v>2026-04-04</v>
      </c>
      <c r="B233">
        <f>daily_original_wrong!B233*total_from_MA_dashboard!B$24</f>
        <v>1.4186697021756426E-4</v>
      </c>
      <c r="C233">
        <f>daily_original_wrong!C233*total_from_MA_dashboard!C$24</f>
        <v>2.8373394043512852E-4</v>
      </c>
      <c r="D233">
        <f>daily_original_wrong!D233*total_from_MA_dashboard!D$24</f>
        <v>1.6848099056095676E-4</v>
      </c>
      <c r="E233">
        <f>daily_original_wrong!E233*total_from_MA_dashboard!E$24</f>
        <v>2.1649756736109198E-4</v>
      </c>
      <c r="F233">
        <f>daily_original_wrong!F233*total_from_MA_dashboard!F$24</f>
        <v>3.536394390522216E-4</v>
      </c>
      <c r="G233">
        <f>daily_original_wrong!G233*total_from_MA_dashboard!G$24</f>
        <v>2.1035567140440759E-4</v>
      </c>
      <c r="H233">
        <f>daily_original_wrong!H233*total_from_MA_dashboard!H$24</f>
        <v>7.7220245121500822E-4</v>
      </c>
      <c r="J233" t="str">
        <f t="shared" si="20"/>
        <v>[</v>
      </c>
      <c r="K233" t="str">
        <f t="shared" si="21"/>
        <v>[0.000141866970217564],</v>
      </c>
      <c r="L233" t="str">
        <f t="shared" si="25"/>
        <v>[0.000283733940435129],</v>
      </c>
      <c r="M233" t="str">
        <f t="shared" si="25"/>
        <v>[0.000168480990560957],</v>
      </c>
      <c r="N233" t="str">
        <f t="shared" si="25"/>
        <v>[0.000216497567361092],</v>
      </c>
      <c r="O233" t="str">
        <f t="shared" si="25"/>
        <v>[0.000353639439052222],</v>
      </c>
      <c r="P233" t="str">
        <f t="shared" si="25"/>
        <v>[0.000210355671404408],</v>
      </c>
      <c r="Q233" t="str">
        <f t="shared" si="22"/>
        <v>[0.000772202451215008]</v>
      </c>
      <c r="R233" t="str">
        <f t="shared" si="23"/>
        <v>]</v>
      </c>
      <c r="S233" t="str">
        <f t="shared" si="24"/>
        <v>[[0.000141866970217564],[0.000283733940435129],[0.000168480990560957],[0.000216497567361092],[0.000353639439052222],[0.000210355671404408],[0.000772202451215008]]</v>
      </c>
    </row>
    <row r="234" spans="1:19" x14ac:dyDescent="0.2">
      <c r="A234" s="1" t="d">
        <v>2026-04-05</v>
      </c>
      <c r="B234">
        <f>daily_original_wrong!B234*total_from_MA_dashboard!B$24</f>
        <v>1.4186697021756426E-4</v>
      </c>
      <c r="C234">
        <f>daily_original_wrong!C234*total_from_MA_dashboard!C$24</f>
        <v>2.8373394043512852E-4</v>
      </c>
      <c r="D234">
        <f>daily_original_wrong!D234*total_from_MA_dashboard!D$24</f>
        <v>1.6848099056095676E-4</v>
      </c>
      <c r="E234">
        <f>daily_original_wrong!E234*total_from_MA_dashboard!E$24</f>
        <v>2.1649756736109198E-4</v>
      </c>
      <c r="F234">
        <f>daily_original_wrong!F234*total_from_MA_dashboard!F$24</f>
        <v>3.536394390522216E-4</v>
      </c>
      <c r="G234">
        <f>daily_original_wrong!G234*total_from_MA_dashboard!G$24</f>
        <v>2.1035567140440759E-4</v>
      </c>
      <c r="H234">
        <f>daily_original_wrong!H234*total_from_MA_dashboard!H$24</f>
        <v>7.7220245121500822E-4</v>
      </c>
      <c r="J234" t="str">
        <f t="shared" si="20"/>
        <v>[</v>
      </c>
      <c r="K234" t="str">
        <f t="shared" si="21"/>
        <v>[0.000141866970217564],</v>
      </c>
      <c r="L234" t="str">
        <f t="shared" si="25"/>
        <v>[0.000283733940435129],</v>
      </c>
      <c r="M234" t="str">
        <f t="shared" si="25"/>
        <v>[0.000168480990560957],</v>
      </c>
      <c r="N234" t="str">
        <f t="shared" si="25"/>
        <v>[0.000216497567361092],</v>
      </c>
      <c r="O234" t="str">
        <f t="shared" si="25"/>
        <v>[0.000353639439052222],</v>
      </c>
      <c r="P234" t="str">
        <f t="shared" si="25"/>
        <v>[0.000210355671404408],</v>
      </c>
      <c r="Q234" t="str">
        <f t="shared" si="22"/>
        <v>[0.000772202451215008]</v>
      </c>
      <c r="R234" t="str">
        <f t="shared" si="23"/>
        <v>]</v>
      </c>
      <c r="S234" t="str">
        <f t="shared" si="24"/>
        <v>[[0.000141866970217564],[0.000283733940435129],[0.000168480990560957],[0.000216497567361092],[0.000353639439052222],[0.000210355671404408],[0.000772202451215008]]</v>
      </c>
    </row>
    <row r="235" spans="1:19" x14ac:dyDescent="0.2">
      <c r="A235" s="1" t="d">
        <v>2026-04-06</v>
      </c>
      <c r="B235">
        <f>daily_original_wrong!B235*total_from_MA_dashboard!B$24</f>
        <v>1.4186697021756426E-4</v>
      </c>
      <c r="C235">
        <f>daily_original_wrong!C235*total_from_MA_dashboard!C$24</f>
        <v>2.8373394043512852E-4</v>
      </c>
      <c r="D235">
        <f>daily_original_wrong!D235*total_from_MA_dashboard!D$24</f>
        <v>1.6848099056095676E-4</v>
      </c>
      <c r="E235">
        <f>daily_original_wrong!E235*total_from_MA_dashboard!E$24</f>
        <v>2.1649756736109198E-4</v>
      </c>
      <c r="F235">
        <f>daily_original_wrong!F235*total_from_MA_dashboard!F$24</f>
        <v>3.536394390522216E-4</v>
      </c>
      <c r="G235">
        <f>daily_original_wrong!G235*total_from_MA_dashboard!G$24</f>
        <v>2.1035567140440759E-4</v>
      </c>
      <c r="H235">
        <f>daily_original_wrong!H235*total_from_MA_dashboard!H$24</f>
        <v>7.7220245121500822E-4</v>
      </c>
      <c r="J235" t="str">
        <f t="shared" si="20"/>
        <v>[</v>
      </c>
      <c r="K235" t="str">
        <f t="shared" si="21"/>
        <v>[0.000141866970217564],</v>
      </c>
      <c r="L235" t="str">
        <f t="shared" si="25"/>
        <v>[0.000283733940435129],</v>
      </c>
      <c r="M235" t="str">
        <f t="shared" si="25"/>
        <v>[0.000168480990560957],</v>
      </c>
      <c r="N235" t="str">
        <f t="shared" si="25"/>
        <v>[0.000216497567361092],</v>
      </c>
      <c r="O235" t="str">
        <f t="shared" si="25"/>
        <v>[0.000353639439052222],</v>
      </c>
      <c r="P235" t="str">
        <f t="shared" si="25"/>
        <v>[0.000210355671404408],</v>
      </c>
      <c r="Q235" t="str">
        <f t="shared" si="22"/>
        <v>[0.000772202451215008]</v>
      </c>
      <c r="R235" t="str">
        <f t="shared" si="23"/>
        <v>]</v>
      </c>
      <c r="S235" t="str">
        <f t="shared" si="24"/>
        <v>[[0.000141866970217564],[0.000283733940435129],[0.000168480990560957],[0.000216497567361092],[0.000353639439052222],[0.000210355671404408],[0.000772202451215008]]</v>
      </c>
    </row>
    <row r="236" spans="1:19" x14ac:dyDescent="0.2">
      <c r="A236" s="1" t="d">
        <v>2026-04-07</v>
      </c>
      <c r="B236">
        <f>daily_original_wrong!B236*total_from_MA_dashboard!B$24</f>
        <v>1.4186697021756426E-4</v>
      </c>
      <c r="C236">
        <f>daily_original_wrong!C236*total_from_MA_dashboard!C$24</f>
        <v>2.8373394043512852E-4</v>
      </c>
      <c r="D236">
        <f>daily_original_wrong!D236*total_from_MA_dashboard!D$24</f>
        <v>1.6848099056095676E-4</v>
      </c>
      <c r="E236">
        <f>daily_original_wrong!E236*total_from_MA_dashboard!E$24</f>
        <v>2.1649756736109198E-4</v>
      </c>
      <c r="F236">
        <f>daily_original_wrong!F236*total_from_MA_dashboard!F$24</f>
        <v>3.536394390522216E-4</v>
      </c>
      <c r="G236">
        <f>daily_original_wrong!G236*total_from_MA_dashboard!G$24</f>
        <v>2.1035567140440759E-4</v>
      </c>
      <c r="H236">
        <f>daily_original_wrong!H236*total_from_MA_dashboard!H$24</f>
        <v>7.7220245121500822E-4</v>
      </c>
      <c r="J236" t="str">
        <f t="shared" si="20"/>
        <v>[</v>
      </c>
      <c r="K236" t="str">
        <f t="shared" si="21"/>
        <v>[0.000141866970217564],</v>
      </c>
      <c r="L236" t="str">
        <f t="shared" si="25"/>
        <v>[0.000283733940435129],</v>
      </c>
      <c r="M236" t="str">
        <f t="shared" si="25"/>
        <v>[0.000168480990560957],</v>
      </c>
      <c r="N236" t="str">
        <f t="shared" si="25"/>
        <v>[0.000216497567361092],</v>
      </c>
      <c r="O236" t="str">
        <f t="shared" si="25"/>
        <v>[0.000353639439052222],</v>
      </c>
      <c r="P236" t="str">
        <f t="shared" si="25"/>
        <v>[0.000210355671404408],</v>
      </c>
      <c r="Q236" t="str">
        <f t="shared" si="22"/>
        <v>[0.000772202451215008]</v>
      </c>
      <c r="R236" t="str">
        <f t="shared" si="23"/>
        <v>]</v>
      </c>
      <c r="S236" t="str">
        <f t="shared" si="24"/>
        <v>[[0.000141866970217564],[0.000283733940435129],[0.000168480990560957],[0.000216497567361092],[0.000353639439052222],[0.000210355671404408],[0.000772202451215008]]</v>
      </c>
    </row>
    <row r="237" spans="1:19" x14ac:dyDescent="0.2">
      <c r="A237" s="1" t="d">
        <v>2026-04-08</v>
      </c>
      <c r="B237">
        <f>daily_original_wrong!B237*total_from_MA_dashboard!B$24</f>
        <v>1.4186697021756426E-4</v>
      </c>
      <c r="C237">
        <f>daily_original_wrong!C237*total_from_MA_dashboard!C$24</f>
        <v>2.8373394043512852E-4</v>
      </c>
      <c r="D237">
        <f>daily_original_wrong!D237*total_from_MA_dashboard!D$24</f>
        <v>1.6848099056095676E-4</v>
      </c>
      <c r="E237">
        <f>daily_original_wrong!E237*total_from_MA_dashboard!E$24</f>
        <v>2.1649756736109198E-4</v>
      </c>
      <c r="F237">
        <f>daily_original_wrong!F237*total_from_MA_dashboard!F$24</f>
        <v>3.536394390522216E-4</v>
      </c>
      <c r="G237">
        <f>daily_original_wrong!G237*total_from_MA_dashboard!G$24</f>
        <v>2.1035567140440759E-4</v>
      </c>
      <c r="H237">
        <f>daily_original_wrong!H237*total_from_MA_dashboard!H$24</f>
        <v>7.7220245121500822E-4</v>
      </c>
      <c r="J237" t="str">
        <f t="shared" si="20"/>
        <v>[</v>
      </c>
      <c r="K237" t="str">
        <f t="shared" si="21"/>
        <v>[0.000141866970217564],</v>
      </c>
      <c r="L237" t="str">
        <f t="shared" si="25"/>
        <v>[0.000283733940435129],</v>
      </c>
      <c r="M237" t="str">
        <f t="shared" si="25"/>
        <v>[0.000168480990560957],</v>
      </c>
      <c r="N237" t="str">
        <f t="shared" si="25"/>
        <v>[0.000216497567361092],</v>
      </c>
      <c r="O237" t="str">
        <f t="shared" si="25"/>
        <v>[0.000353639439052222],</v>
      </c>
      <c r="P237" t="str">
        <f t="shared" si="25"/>
        <v>[0.000210355671404408],</v>
      </c>
      <c r="Q237" t="str">
        <f t="shared" si="22"/>
        <v>[0.000772202451215008]</v>
      </c>
      <c r="R237" t="str">
        <f t="shared" si="23"/>
        <v>]</v>
      </c>
      <c r="S237" t="str">
        <f t="shared" si="24"/>
        <v>[[0.000141866970217564],[0.000283733940435129],[0.000168480990560957],[0.000216497567361092],[0.000353639439052222],[0.000210355671404408],[0.000772202451215008]]</v>
      </c>
    </row>
    <row r="238" spans="1:19" x14ac:dyDescent="0.2">
      <c r="A238" s="1" t="d">
        <v>2026-04-09</v>
      </c>
      <c r="B238">
        <f>daily_original_wrong!B238*total_from_MA_dashboard!B$24</f>
        <v>1.4186697021756426E-4</v>
      </c>
      <c r="C238">
        <f>daily_original_wrong!C238*total_from_MA_dashboard!C$24</f>
        <v>2.8373394043512852E-4</v>
      </c>
      <c r="D238">
        <f>daily_original_wrong!D238*total_from_MA_dashboard!D$24</f>
        <v>1.6848099056095676E-4</v>
      </c>
      <c r="E238">
        <f>daily_original_wrong!E238*total_from_MA_dashboard!E$24</f>
        <v>2.1649756736109198E-4</v>
      </c>
      <c r="F238">
        <f>daily_original_wrong!F238*total_from_MA_dashboard!F$24</f>
        <v>3.536394390522216E-4</v>
      </c>
      <c r="G238">
        <f>daily_original_wrong!G238*total_from_MA_dashboard!G$24</f>
        <v>2.1035567140440759E-4</v>
      </c>
      <c r="H238">
        <f>daily_original_wrong!H238*total_from_MA_dashboard!H$24</f>
        <v>7.7220245121500822E-4</v>
      </c>
      <c r="J238" t="str">
        <f t="shared" si="20"/>
        <v>[</v>
      </c>
      <c r="K238" t="str">
        <f t="shared" si="21"/>
        <v>[0.000141866970217564],</v>
      </c>
      <c r="L238" t="str">
        <f t="shared" si="25"/>
        <v>[0.000283733940435129],</v>
      </c>
      <c r="M238" t="str">
        <f t="shared" si="25"/>
        <v>[0.000168480990560957],</v>
      </c>
      <c r="N238" t="str">
        <f t="shared" si="25"/>
        <v>[0.000216497567361092],</v>
      </c>
      <c r="O238" t="str">
        <f t="shared" si="25"/>
        <v>[0.000353639439052222],</v>
      </c>
      <c r="P238" t="str">
        <f t="shared" si="25"/>
        <v>[0.000210355671404408],</v>
      </c>
      <c r="Q238" t="str">
        <f t="shared" si="22"/>
        <v>[0.000772202451215008]</v>
      </c>
      <c r="R238" t="str">
        <f t="shared" si="23"/>
        <v>]</v>
      </c>
      <c r="S238" t="str">
        <f t="shared" si="24"/>
        <v>[[0.000141866970217564],[0.000283733940435129],[0.000168480990560957],[0.000216497567361092],[0.000353639439052222],[0.000210355671404408],[0.000772202451215008]]</v>
      </c>
    </row>
    <row r="239" spans="1:19" x14ac:dyDescent="0.2">
      <c r="A239" s="1" t="d">
        <v>2026-04-10</v>
      </c>
      <c r="B239">
        <f>daily_original_wrong!B239*total_from_MA_dashboard!B$24</f>
        <v>1.4186697021756426E-4</v>
      </c>
      <c r="C239">
        <f>daily_original_wrong!C239*total_from_MA_dashboard!C$24</f>
        <v>2.8373394043512852E-4</v>
      </c>
      <c r="D239">
        <f>daily_original_wrong!D239*total_from_MA_dashboard!D$24</f>
        <v>1.6848099056095676E-4</v>
      </c>
      <c r="E239">
        <f>daily_original_wrong!E239*total_from_MA_dashboard!E$24</f>
        <v>2.1649756736109198E-4</v>
      </c>
      <c r="F239">
        <f>daily_original_wrong!F239*total_from_MA_dashboard!F$24</f>
        <v>3.536394390522216E-4</v>
      </c>
      <c r="G239">
        <f>daily_original_wrong!G239*total_from_MA_dashboard!G$24</f>
        <v>2.1035567140440759E-4</v>
      </c>
      <c r="H239">
        <f>daily_original_wrong!H239*total_from_MA_dashboard!H$24</f>
        <v>7.7220245121500822E-4</v>
      </c>
      <c r="J239" t="str">
        <f t="shared" si="20"/>
        <v>[</v>
      </c>
      <c r="K239" t="str">
        <f t="shared" si="21"/>
        <v>[0.000141866970217564],</v>
      </c>
      <c r="L239" t="str">
        <f t="shared" si="25"/>
        <v>[0.000283733940435129],</v>
      </c>
      <c r="M239" t="str">
        <f t="shared" si="25"/>
        <v>[0.000168480990560957],</v>
      </c>
      <c r="N239" t="str">
        <f t="shared" si="25"/>
        <v>[0.000216497567361092],</v>
      </c>
      <c r="O239" t="str">
        <f t="shared" si="25"/>
        <v>[0.000353639439052222],</v>
      </c>
      <c r="P239" t="str">
        <f t="shared" si="25"/>
        <v>[0.000210355671404408],</v>
      </c>
      <c r="Q239" t="str">
        <f t="shared" si="22"/>
        <v>[0.000772202451215008]</v>
      </c>
      <c r="R239" t="str">
        <f t="shared" si="23"/>
        <v>]</v>
      </c>
      <c r="S239" t="str">
        <f t="shared" si="24"/>
        <v>[[0.000141866970217564],[0.000283733940435129],[0.000168480990560957],[0.000216497567361092],[0.000353639439052222],[0.000210355671404408],[0.000772202451215008]]</v>
      </c>
    </row>
    <row r="240" spans="1:19" x14ac:dyDescent="0.2">
      <c r="A240" s="1" t="d">
        <v>2026-04-11</v>
      </c>
      <c r="B240">
        <f>daily_original_wrong!B240*total_from_MA_dashboard!B$24</f>
        <v>2.5828166350068466E-5</v>
      </c>
      <c r="C240">
        <f>daily_original_wrong!C240*total_from_MA_dashboard!C$24</f>
        <v>5.1656332700136932E-5</v>
      </c>
      <c r="D240">
        <f>daily_original_wrong!D240*total_from_MA_dashboard!D$24</f>
        <v>9.7401606200432311E-5</v>
      </c>
      <c r="E240">
        <f>daily_original_wrong!E240*total_from_MA_dashboard!E$24</f>
        <v>8.5257118135922391E-5</v>
      </c>
      <c r="F240">
        <f>daily_original_wrong!F240*total_from_MA_dashboard!F$24</f>
        <v>2.3909103466631057E-4</v>
      </c>
      <c r="G240">
        <f>daily_original_wrong!G240*total_from_MA_dashboard!G$24</f>
        <v>2.3049299772948085E-4</v>
      </c>
      <c r="H240">
        <f>daily_original_wrong!H240*total_from_MA_dashboard!H$24</f>
        <v>4.9356943233787765E-4</v>
      </c>
      <c r="J240" t="str">
        <f t="shared" si="20"/>
        <v>[</v>
      </c>
      <c r="K240" t="str">
        <f t="shared" si="21"/>
        <v>[2.58281663500685E-05],</v>
      </c>
      <c r="L240" t="str">
        <f t="shared" si="25"/>
        <v>[5.16563327001369E-05],</v>
      </c>
      <c r="M240" t="str">
        <f t="shared" si="25"/>
        <v>[9.74016062004323E-05],</v>
      </c>
      <c r="N240" t="str">
        <f t="shared" si="25"/>
        <v>[8.52571181359224E-05],</v>
      </c>
      <c r="O240" t="str">
        <f t="shared" si="25"/>
        <v>[0.000239091034666311],</v>
      </c>
      <c r="P240" t="str">
        <f t="shared" si="25"/>
        <v>[0.000230492997729481],</v>
      </c>
      <c r="Q240" t="str">
        <f t="shared" si="22"/>
        <v>[0.000493569432337878]</v>
      </c>
      <c r="R240" t="str">
        <f t="shared" si="23"/>
        <v>]</v>
      </c>
      <c r="S240" t="str">
        <f t="shared" si="24"/>
        <v>[[2.58281663500685E-05],[5.16563327001369E-05],[9.74016062004323E-05],[8.52571181359224E-05],[0.000239091034666311],[0.000230492997729481],[0.000493569432337878]]</v>
      </c>
    </row>
    <row r="241" spans="1:19" x14ac:dyDescent="0.2">
      <c r="A241" s="1" t="d">
        <v>2026-04-12</v>
      </c>
      <c r="B241">
        <f>daily_original_wrong!B241*total_from_MA_dashboard!B$24</f>
        <v>2.5828166350068466E-5</v>
      </c>
      <c r="C241">
        <f>daily_original_wrong!C241*total_from_MA_dashboard!C$24</f>
        <v>5.1656332700136932E-5</v>
      </c>
      <c r="D241">
        <f>daily_original_wrong!D241*total_from_MA_dashboard!D$24</f>
        <v>9.7401606200432311E-5</v>
      </c>
      <c r="E241">
        <f>daily_original_wrong!E241*total_from_MA_dashboard!E$24</f>
        <v>8.5257118135922391E-5</v>
      </c>
      <c r="F241">
        <f>daily_original_wrong!F241*total_from_MA_dashboard!F$24</f>
        <v>2.3909103466631057E-4</v>
      </c>
      <c r="G241">
        <f>daily_original_wrong!G241*total_from_MA_dashboard!G$24</f>
        <v>2.3049299772948085E-4</v>
      </c>
      <c r="H241">
        <f>daily_original_wrong!H241*total_from_MA_dashboard!H$24</f>
        <v>4.9356943233787765E-4</v>
      </c>
      <c r="J241" t="str">
        <f t="shared" si="20"/>
        <v>[</v>
      </c>
      <c r="K241" t="str">
        <f t="shared" si="21"/>
        <v>[2.58281663500685E-05],</v>
      </c>
      <c r="L241" t="str">
        <f t="shared" si="25"/>
        <v>[5.16563327001369E-05],</v>
      </c>
      <c r="M241" t="str">
        <f t="shared" si="25"/>
        <v>[9.74016062004323E-05],</v>
      </c>
      <c r="N241" t="str">
        <f t="shared" si="25"/>
        <v>[8.52571181359224E-05],</v>
      </c>
      <c r="O241" t="str">
        <f t="shared" si="25"/>
        <v>[0.000239091034666311],</v>
      </c>
      <c r="P241" t="str">
        <f t="shared" si="25"/>
        <v>[0.000230492997729481],</v>
      </c>
      <c r="Q241" t="str">
        <f t="shared" si="22"/>
        <v>[0.000493569432337878]</v>
      </c>
      <c r="R241" t="str">
        <f t="shared" si="23"/>
        <v>]</v>
      </c>
      <c r="S241" t="str">
        <f t="shared" si="24"/>
        <v>[[2.58281663500685E-05],[5.16563327001369E-05],[9.74016062004323E-05],[8.52571181359224E-05],[0.000239091034666311],[0.000230492997729481],[0.000493569432337878]]</v>
      </c>
    </row>
    <row r="242" spans="1:19" x14ac:dyDescent="0.2">
      <c r="A242" s="1" t="d">
        <v>2026-04-13</v>
      </c>
      <c r="B242">
        <f>daily_original_wrong!B242*total_from_MA_dashboard!B$24</f>
        <v>2.5828166350068466E-5</v>
      </c>
      <c r="C242">
        <f>daily_original_wrong!C242*total_from_MA_dashboard!C$24</f>
        <v>5.1656332700136932E-5</v>
      </c>
      <c r="D242">
        <f>daily_original_wrong!D242*total_from_MA_dashboard!D$24</f>
        <v>9.7401606200432311E-5</v>
      </c>
      <c r="E242">
        <f>daily_original_wrong!E242*total_from_MA_dashboard!E$24</f>
        <v>8.5257118135922391E-5</v>
      </c>
      <c r="F242">
        <f>daily_original_wrong!F242*total_from_MA_dashboard!F$24</f>
        <v>2.3909103466631057E-4</v>
      </c>
      <c r="G242">
        <f>daily_original_wrong!G242*total_from_MA_dashboard!G$24</f>
        <v>2.3049299772948085E-4</v>
      </c>
      <c r="H242">
        <f>daily_original_wrong!H242*total_from_MA_dashboard!H$24</f>
        <v>4.9356943233787765E-4</v>
      </c>
      <c r="J242" t="str">
        <f t="shared" si="20"/>
        <v>[</v>
      </c>
      <c r="K242" t="str">
        <f t="shared" si="21"/>
        <v>[2.58281663500685E-05],</v>
      </c>
      <c r="L242" t="str">
        <f t="shared" si="25"/>
        <v>[5.16563327001369E-05],</v>
      </c>
      <c r="M242" t="str">
        <f t="shared" si="25"/>
        <v>[9.74016062004323E-05],</v>
      </c>
      <c r="N242" t="str">
        <f t="shared" si="25"/>
        <v>[8.52571181359224E-05],</v>
      </c>
      <c r="O242" t="str">
        <f t="shared" si="25"/>
        <v>[0.000239091034666311],</v>
      </c>
      <c r="P242" t="str">
        <f t="shared" si="25"/>
        <v>[0.000230492997729481],</v>
      </c>
      <c r="Q242" t="str">
        <f t="shared" si="22"/>
        <v>[0.000493569432337878]</v>
      </c>
      <c r="R242" t="str">
        <f t="shared" si="23"/>
        <v>]</v>
      </c>
      <c r="S242" t="str">
        <f t="shared" si="24"/>
        <v>[[2.58281663500685E-05],[5.16563327001369E-05],[9.74016062004323E-05],[8.52571181359224E-05],[0.000239091034666311],[0.000230492997729481],[0.000493569432337878]]</v>
      </c>
    </row>
    <row r="243" spans="1:19" x14ac:dyDescent="0.2">
      <c r="A243" s="1" t="d">
        <v>2026-04-14</v>
      </c>
      <c r="B243">
        <f>daily_original_wrong!B243*total_from_MA_dashboard!B$24</f>
        <v>2.5828166350068466E-5</v>
      </c>
      <c r="C243">
        <f>daily_original_wrong!C243*total_from_MA_dashboard!C$24</f>
        <v>5.1656332700136932E-5</v>
      </c>
      <c r="D243">
        <f>daily_original_wrong!D243*total_from_MA_dashboard!D$24</f>
        <v>9.7401606200432311E-5</v>
      </c>
      <c r="E243">
        <f>daily_original_wrong!E243*total_from_MA_dashboard!E$24</f>
        <v>8.5257118135922391E-5</v>
      </c>
      <c r="F243">
        <f>daily_original_wrong!F243*total_from_MA_dashboard!F$24</f>
        <v>2.3909103466631057E-4</v>
      </c>
      <c r="G243">
        <f>daily_original_wrong!G243*total_from_MA_dashboard!G$24</f>
        <v>2.3049299772948085E-4</v>
      </c>
      <c r="H243">
        <f>daily_original_wrong!H243*total_from_MA_dashboard!H$24</f>
        <v>4.9356943233787765E-4</v>
      </c>
      <c r="J243" t="str">
        <f t="shared" si="20"/>
        <v>[</v>
      </c>
      <c r="K243" t="str">
        <f t="shared" si="21"/>
        <v>[2.58281663500685E-05],</v>
      </c>
      <c r="L243" t="str">
        <f t="shared" si="25"/>
        <v>[5.16563327001369E-05],</v>
      </c>
      <c r="M243" t="str">
        <f t="shared" si="25"/>
        <v>[9.74016062004323E-05],</v>
      </c>
      <c r="N243" t="str">
        <f t="shared" si="25"/>
        <v>[8.52571181359224E-05],</v>
      </c>
      <c r="O243" t="str">
        <f t="shared" si="25"/>
        <v>[0.000239091034666311],</v>
      </c>
      <c r="P243" t="str">
        <f t="shared" si="25"/>
        <v>[0.000230492997729481],</v>
      </c>
      <c r="Q243" t="str">
        <f t="shared" si="22"/>
        <v>[0.000493569432337878]</v>
      </c>
      <c r="R243" t="str">
        <f t="shared" si="23"/>
        <v>]</v>
      </c>
      <c r="S243" t="str">
        <f t="shared" si="24"/>
        <v>[[2.58281663500685E-05],[5.16563327001369E-05],[9.74016062004323E-05],[8.52571181359224E-05],[0.000239091034666311],[0.000230492997729481],[0.000493569432337878]]</v>
      </c>
    </row>
    <row r="244" spans="1:19" x14ac:dyDescent="0.2">
      <c r="A244" s="1" t="d">
        <v>2026-04-15</v>
      </c>
      <c r="B244">
        <f>daily_original_wrong!B244*total_from_MA_dashboard!B$24</f>
        <v>2.5828166350068466E-5</v>
      </c>
      <c r="C244">
        <f>daily_original_wrong!C244*total_from_MA_dashboard!C$24</f>
        <v>5.1656332700136932E-5</v>
      </c>
      <c r="D244">
        <f>daily_original_wrong!D244*total_from_MA_dashboard!D$24</f>
        <v>9.7401606200432311E-5</v>
      </c>
      <c r="E244">
        <f>daily_original_wrong!E244*total_from_MA_dashboard!E$24</f>
        <v>8.5257118135922391E-5</v>
      </c>
      <c r="F244">
        <f>daily_original_wrong!F244*total_from_MA_dashboard!F$24</f>
        <v>2.3909103466631057E-4</v>
      </c>
      <c r="G244">
        <f>daily_original_wrong!G244*total_from_MA_dashboard!G$24</f>
        <v>2.3049299772948085E-4</v>
      </c>
      <c r="H244">
        <f>daily_original_wrong!H244*total_from_MA_dashboard!H$24</f>
        <v>4.9356943233787765E-4</v>
      </c>
      <c r="J244" t="str">
        <f t="shared" si="20"/>
        <v>[</v>
      </c>
      <c r="K244" t="str">
        <f t="shared" si="21"/>
        <v>[2.58281663500685E-05],</v>
      </c>
      <c r="L244" t="str">
        <f t="shared" si="25"/>
        <v>[5.16563327001369E-05],</v>
      </c>
      <c r="M244" t="str">
        <f t="shared" si="25"/>
        <v>[9.74016062004323E-05],</v>
      </c>
      <c r="N244" t="str">
        <f t="shared" si="25"/>
        <v>[8.52571181359224E-05],</v>
      </c>
      <c r="O244" t="str">
        <f t="shared" si="25"/>
        <v>[0.000239091034666311],</v>
      </c>
      <c r="P244" t="str">
        <f t="shared" si="25"/>
        <v>[0.000230492997729481],</v>
      </c>
      <c r="Q244" t="str">
        <f t="shared" si="22"/>
        <v>[0.000493569432337878]</v>
      </c>
      <c r="R244" t="str">
        <f t="shared" si="23"/>
        <v>]</v>
      </c>
      <c r="S244" t="str">
        <f t="shared" si="24"/>
        <v>[[2.58281663500685E-05],[5.16563327001369E-05],[9.74016062004323E-05],[8.52571181359224E-05],[0.000239091034666311],[0.000230492997729481],[0.000493569432337878]]</v>
      </c>
    </row>
    <row r="245" spans="1:19" x14ac:dyDescent="0.2">
      <c r="A245" s="1" t="d">
        <v>2026-04-16</v>
      </c>
      <c r="B245">
        <f>daily_original_wrong!B245*total_from_MA_dashboard!B$24</f>
        <v>2.5828166350068466E-5</v>
      </c>
      <c r="C245">
        <f>daily_original_wrong!C245*total_from_MA_dashboard!C$24</f>
        <v>5.1656332700136932E-5</v>
      </c>
      <c r="D245">
        <f>daily_original_wrong!D245*total_from_MA_dashboard!D$24</f>
        <v>9.7401606200432311E-5</v>
      </c>
      <c r="E245">
        <f>daily_original_wrong!E245*total_from_MA_dashboard!E$24</f>
        <v>8.5257118135922391E-5</v>
      </c>
      <c r="F245">
        <f>daily_original_wrong!F245*total_from_MA_dashboard!F$24</f>
        <v>2.3909103466631057E-4</v>
      </c>
      <c r="G245">
        <f>daily_original_wrong!G245*total_from_MA_dashboard!G$24</f>
        <v>2.3049299772948085E-4</v>
      </c>
      <c r="H245">
        <f>daily_original_wrong!H245*total_from_MA_dashboard!H$24</f>
        <v>4.9356943233787765E-4</v>
      </c>
      <c r="J245" t="str">
        <f t="shared" si="20"/>
        <v>[</v>
      </c>
      <c r="K245" t="str">
        <f t="shared" si="21"/>
        <v>[2.58281663500685E-05],</v>
      </c>
      <c r="L245" t="str">
        <f t="shared" si="25"/>
        <v>[5.16563327001369E-05],</v>
      </c>
      <c r="M245" t="str">
        <f t="shared" si="25"/>
        <v>[9.74016062004323E-05],</v>
      </c>
      <c r="N245" t="str">
        <f t="shared" si="25"/>
        <v>[8.52571181359224E-05],</v>
      </c>
      <c r="O245" t="str">
        <f t="shared" si="25"/>
        <v>[0.000239091034666311],</v>
      </c>
      <c r="P245" t="str">
        <f t="shared" si="25"/>
        <v>[0.000230492997729481],</v>
      </c>
      <c r="Q245" t="str">
        <f t="shared" si="22"/>
        <v>[0.000493569432337878]</v>
      </c>
      <c r="R245" t="str">
        <f t="shared" si="23"/>
        <v>]</v>
      </c>
      <c r="S245" t="str">
        <f t="shared" si="24"/>
        <v>[[2.58281663500685E-05],[5.16563327001369E-05],[9.74016062004323E-05],[8.52571181359224E-05],[0.000239091034666311],[0.000230492997729481],[0.000493569432337878]]</v>
      </c>
    </row>
    <row r="246" spans="1:19" x14ac:dyDescent="0.2">
      <c r="A246" s="1" t="d">
        <v>2026-04-17</v>
      </c>
      <c r="B246">
        <f>daily_original_wrong!B246*total_from_MA_dashboard!B$24</f>
        <v>2.5828166350068466E-5</v>
      </c>
      <c r="C246">
        <f>daily_original_wrong!C246*total_from_MA_dashboard!C$24</f>
        <v>5.1656332700136932E-5</v>
      </c>
      <c r="D246">
        <f>daily_original_wrong!D246*total_from_MA_dashboard!D$24</f>
        <v>9.7401606200432311E-5</v>
      </c>
      <c r="E246">
        <f>daily_original_wrong!E246*total_from_MA_dashboard!E$24</f>
        <v>8.5257118135922391E-5</v>
      </c>
      <c r="F246">
        <f>daily_original_wrong!F246*total_from_MA_dashboard!F$24</f>
        <v>2.3909103466631057E-4</v>
      </c>
      <c r="G246">
        <f>daily_original_wrong!G246*total_from_MA_dashboard!G$24</f>
        <v>2.3049299772948085E-4</v>
      </c>
      <c r="H246">
        <f>daily_original_wrong!H246*total_from_MA_dashboard!H$24</f>
        <v>4.9356943233787765E-4</v>
      </c>
      <c r="J246" t="str">
        <f t="shared" si="20"/>
        <v>[</v>
      </c>
      <c r="K246" t="str">
        <f t="shared" si="21"/>
        <v>[2.58281663500685E-05],</v>
      </c>
      <c r="L246" t="str">
        <f t="shared" si="25"/>
        <v>[5.16563327001369E-05],</v>
      </c>
      <c r="M246" t="str">
        <f t="shared" si="25"/>
        <v>[9.74016062004323E-05],</v>
      </c>
      <c r="N246" t="str">
        <f t="shared" si="25"/>
        <v>[8.52571181359224E-05],</v>
      </c>
      <c r="O246" t="str">
        <f t="shared" si="25"/>
        <v>[0.000239091034666311],</v>
      </c>
      <c r="P246" t="str">
        <f t="shared" si="25"/>
        <v>[0.000230492997729481],</v>
      </c>
      <c r="Q246" t="str">
        <f t="shared" si="22"/>
        <v>[0.000493569432337878]</v>
      </c>
      <c r="R246" t="str">
        <f t="shared" si="23"/>
        <v>]</v>
      </c>
      <c r="S246" t="str">
        <f t="shared" si="24"/>
        <v>[[2.58281663500685E-05],[5.16563327001369E-05],[9.74016062004323E-05],[8.52571181359224E-05],[0.000239091034666311],[0.000230492997729481],[0.000493569432337878]]</v>
      </c>
    </row>
    <row r="247" spans="1:19" x14ac:dyDescent="0.2">
      <c r="A247" s="1" t="d">
        <v>2026-04-18</v>
      </c>
      <c r="B247">
        <f>daily_original_wrong!B247*total_from_MA_dashboard!B$24</f>
        <v>6.9340920624040343E-6</v>
      </c>
      <c r="C247">
        <f>daily_original_wrong!C247*total_from_MA_dashboard!C$24</f>
        <v>1.3868184124808069E-5</v>
      </c>
      <c r="D247">
        <f>daily_original_wrong!D247*total_from_MA_dashboard!D$24</f>
        <v>1.1840104204160619E-4</v>
      </c>
      <c r="E247">
        <f>daily_original_wrong!E247*total_from_MA_dashboard!E$24</f>
        <v>7.7791662033501033E-5</v>
      </c>
      <c r="F247">
        <f>daily_original_wrong!F247*total_from_MA_dashboard!F$24</f>
        <v>2.9854534136299689E-4</v>
      </c>
      <c r="G247">
        <f>daily_original_wrong!G247*total_from_MA_dashboard!G$24</f>
        <v>3.4619418591776754E-4</v>
      </c>
      <c r="H247">
        <f>daily_original_wrong!H247*total_from_MA_dashboard!H$24</f>
        <v>5.9030344199308517E-4</v>
      </c>
      <c r="J247" t="str">
        <f t="shared" si="20"/>
        <v>[</v>
      </c>
      <c r="K247" t="str">
        <f t="shared" si="21"/>
        <v>[6.93409206240403E-06],</v>
      </c>
      <c r="L247" t="str">
        <f t="shared" si="25"/>
        <v>[1.38681841248081E-05],</v>
      </c>
      <c r="M247" t="str">
        <f t="shared" si="25"/>
        <v>[0.000118401042041606],</v>
      </c>
      <c r="N247" t="str">
        <f t="shared" si="25"/>
        <v>[0.000077791662033501],</v>
      </c>
      <c r="O247" t="str">
        <f t="shared" si="25"/>
        <v>[0.000298545341362997],</v>
      </c>
      <c r="P247" t="str">
        <f t="shared" si="25"/>
        <v>[0.000346194185917768],</v>
      </c>
      <c r="Q247" t="str">
        <f t="shared" si="22"/>
        <v>[0.000590303441993085]</v>
      </c>
      <c r="R247" t="str">
        <f t="shared" si="23"/>
        <v>]</v>
      </c>
      <c r="S247" t="str">
        <f t="shared" si="24"/>
        <v>[[6.93409206240403E-06],[1.38681841248081E-05],[0.000118401042041606],[0.000077791662033501],[0.000298545341362997],[0.000346194185917768],[0.000590303441993085]]</v>
      </c>
    </row>
    <row r="248" spans="1:19" x14ac:dyDescent="0.2">
      <c r="A248" s="1" t="d">
        <v>2026-04-19</v>
      </c>
      <c r="B248">
        <f>daily_original_wrong!B248*total_from_MA_dashboard!B$24</f>
        <v>6.9340920624040343E-6</v>
      </c>
      <c r="C248">
        <f>daily_original_wrong!C248*total_from_MA_dashboard!C$24</f>
        <v>1.3868184124808069E-5</v>
      </c>
      <c r="D248">
        <f>daily_original_wrong!D248*total_from_MA_dashboard!D$24</f>
        <v>1.1840104204160619E-4</v>
      </c>
      <c r="E248">
        <f>daily_original_wrong!E248*total_from_MA_dashboard!E$24</f>
        <v>7.7791662033501033E-5</v>
      </c>
      <c r="F248">
        <f>daily_original_wrong!F248*total_from_MA_dashboard!F$24</f>
        <v>2.9854534136299689E-4</v>
      </c>
      <c r="G248">
        <f>daily_original_wrong!G248*total_from_MA_dashboard!G$24</f>
        <v>3.4619418591776754E-4</v>
      </c>
      <c r="H248">
        <f>daily_original_wrong!H248*total_from_MA_dashboard!H$24</f>
        <v>5.9030344199308517E-4</v>
      </c>
      <c r="J248" t="str">
        <f t="shared" si="20"/>
        <v>[</v>
      </c>
      <c r="K248" t="str">
        <f t="shared" si="21"/>
        <v>[6.93409206240403E-06],</v>
      </c>
      <c r="L248" t="str">
        <f t="shared" si="25"/>
        <v>[1.38681841248081E-05],</v>
      </c>
      <c r="M248" t="str">
        <f t="shared" si="25"/>
        <v>[0.000118401042041606],</v>
      </c>
      <c r="N248" t="str">
        <f t="shared" si="25"/>
        <v>[0.000077791662033501],</v>
      </c>
      <c r="O248" t="str">
        <f t="shared" si="25"/>
        <v>[0.000298545341362997],</v>
      </c>
      <c r="P248" t="str">
        <f t="shared" si="25"/>
        <v>[0.000346194185917768],</v>
      </c>
      <c r="Q248" t="str">
        <f t="shared" si="22"/>
        <v>[0.000590303441993085]</v>
      </c>
      <c r="R248" t="str">
        <f t="shared" si="23"/>
        <v>]</v>
      </c>
      <c r="S248" t="str">
        <f t="shared" si="24"/>
        <v>[[6.93409206240403E-06],[1.38681841248081E-05],[0.000118401042041606],[0.000077791662033501],[0.000298545341362997],[0.000346194185917768],[0.000590303441993085]]</v>
      </c>
    </row>
    <row r="249" spans="1:19" x14ac:dyDescent="0.2">
      <c r="A249" s="1" t="d">
        <v>2026-04-20</v>
      </c>
      <c r="B249">
        <f>daily_original_wrong!B249*total_from_MA_dashboard!B$24</f>
        <v>6.9340920624040343E-6</v>
      </c>
      <c r="C249">
        <f>daily_original_wrong!C249*total_from_MA_dashboard!C$24</f>
        <v>1.3868184124808069E-5</v>
      </c>
      <c r="D249">
        <f>daily_original_wrong!D249*total_from_MA_dashboard!D$24</f>
        <v>1.1840104204160619E-4</v>
      </c>
      <c r="E249">
        <f>daily_original_wrong!E249*total_from_MA_dashboard!E$24</f>
        <v>7.7791662033501033E-5</v>
      </c>
      <c r="F249">
        <f>daily_original_wrong!F249*total_from_MA_dashboard!F$24</f>
        <v>2.9854534136299689E-4</v>
      </c>
      <c r="G249">
        <f>daily_original_wrong!G249*total_from_MA_dashboard!G$24</f>
        <v>3.4619418591776754E-4</v>
      </c>
      <c r="H249">
        <f>daily_original_wrong!H249*total_from_MA_dashboard!H$24</f>
        <v>5.9030344199308517E-4</v>
      </c>
      <c r="J249" t="str">
        <f t="shared" si="20"/>
        <v>[</v>
      </c>
      <c r="K249" t="str">
        <f t="shared" si="21"/>
        <v>[6.93409206240403E-06],</v>
      </c>
      <c r="L249" t="str">
        <f t="shared" si="25"/>
        <v>[1.38681841248081E-05],</v>
      </c>
      <c r="M249" t="str">
        <f t="shared" si="25"/>
        <v>[0.000118401042041606],</v>
      </c>
      <c r="N249" t="str">
        <f t="shared" si="25"/>
        <v>[0.000077791662033501],</v>
      </c>
      <c r="O249" t="str">
        <f t="shared" si="25"/>
        <v>[0.000298545341362997],</v>
      </c>
      <c r="P249" t="str">
        <f t="shared" si="25"/>
        <v>[0.000346194185917768],</v>
      </c>
      <c r="Q249" t="str">
        <f t="shared" si="22"/>
        <v>[0.000590303441993085]</v>
      </c>
      <c r="R249" t="str">
        <f t="shared" si="23"/>
        <v>]</v>
      </c>
      <c r="S249" t="str">
        <f t="shared" si="24"/>
        <v>[[6.93409206240403E-06],[1.38681841248081E-05],[0.000118401042041606],[0.000077791662033501],[0.000298545341362997],[0.000346194185917768],[0.000590303441993085]]</v>
      </c>
    </row>
    <row r="250" spans="1:19" x14ac:dyDescent="0.2">
      <c r="A250" s="1" t="d">
        <v>2026-04-21</v>
      </c>
      <c r="B250">
        <f>daily_original_wrong!B250*total_from_MA_dashboard!B$24</f>
        <v>6.9340920624040343E-6</v>
      </c>
      <c r="C250">
        <f>daily_original_wrong!C250*total_from_MA_dashboard!C$24</f>
        <v>1.3868184124808069E-5</v>
      </c>
      <c r="D250">
        <f>daily_original_wrong!D250*total_from_MA_dashboard!D$24</f>
        <v>1.1840104204160619E-4</v>
      </c>
      <c r="E250">
        <f>daily_original_wrong!E250*total_from_MA_dashboard!E$24</f>
        <v>7.7791662033501033E-5</v>
      </c>
      <c r="F250">
        <f>daily_original_wrong!F250*total_from_MA_dashboard!F$24</f>
        <v>2.9854534136299689E-4</v>
      </c>
      <c r="G250">
        <f>daily_original_wrong!G250*total_from_MA_dashboard!G$24</f>
        <v>3.4619418591776754E-4</v>
      </c>
      <c r="H250">
        <f>daily_original_wrong!H250*total_from_MA_dashboard!H$24</f>
        <v>5.9030344199308517E-4</v>
      </c>
      <c r="J250" t="str">
        <f t="shared" si="20"/>
        <v>[</v>
      </c>
      <c r="K250" t="str">
        <f t="shared" si="21"/>
        <v>[6.93409206240403E-06],</v>
      </c>
      <c r="L250" t="str">
        <f t="shared" si="25"/>
        <v>[1.38681841248081E-05],</v>
      </c>
      <c r="M250" t="str">
        <f t="shared" si="25"/>
        <v>[0.000118401042041606],</v>
      </c>
      <c r="N250" t="str">
        <f t="shared" si="25"/>
        <v>[0.000077791662033501],</v>
      </c>
      <c r="O250" t="str">
        <f t="shared" si="25"/>
        <v>[0.000298545341362997],</v>
      </c>
      <c r="P250" t="str">
        <f t="shared" si="25"/>
        <v>[0.000346194185917768],</v>
      </c>
      <c r="Q250" t="str">
        <f t="shared" si="22"/>
        <v>[0.000590303441993085]</v>
      </c>
      <c r="R250" t="str">
        <f t="shared" si="23"/>
        <v>]</v>
      </c>
      <c r="S250" t="str">
        <f t="shared" si="24"/>
        <v>[[6.93409206240403E-06],[1.38681841248081E-05],[0.000118401042041606],[0.000077791662033501],[0.000298545341362997],[0.000346194185917768],[0.000590303441993085]]</v>
      </c>
    </row>
    <row r="251" spans="1:19" x14ac:dyDescent="0.2">
      <c r="A251" s="1" t="d">
        <v>2026-04-22</v>
      </c>
      <c r="B251">
        <f>daily_original_wrong!B251*total_from_MA_dashboard!B$24</f>
        <v>6.9340920624040343E-6</v>
      </c>
      <c r="C251">
        <f>daily_original_wrong!C251*total_from_MA_dashboard!C$24</f>
        <v>1.3868184124808069E-5</v>
      </c>
      <c r="D251">
        <f>daily_original_wrong!D251*total_from_MA_dashboard!D$24</f>
        <v>1.1840104204160619E-4</v>
      </c>
      <c r="E251">
        <f>daily_original_wrong!E251*total_from_MA_dashboard!E$24</f>
        <v>7.7791662033501033E-5</v>
      </c>
      <c r="F251">
        <f>daily_original_wrong!F251*total_from_MA_dashboard!F$24</f>
        <v>2.9854534136299689E-4</v>
      </c>
      <c r="G251">
        <f>daily_original_wrong!G251*total_from_MA_dashboard!G$24</f>
        <v>3.4619418591776754E-4</v>
      </c>
      <c r="H251">
        <f>daily_original_wrong!H251*total_from_MA_dashboard!H$24</f>
        <v>5.9030344199308517E-4</v>
      </c>
      <c r="J251" t="str">
        <f t="shared" si="20"/>
        <v>[</v>
      </c>
      <c r="K251" t="str">
        <f t="shared" si="21"/>
        <v>[6.93409206240403E-06],</v>
      </c>
      <c r="L251" t="str">
        <f t="shared" si="25"/>
        <v>[1.38681841248081E-05],</v>
      </c>
      <c r="M251" t="str">
        <f t="shared" si="25"/>
        <v>[0.000118401042041606],</v>
      </c>
      <c r="N251" t="str">
        <f t="shared" si="25"/>
        <v>[0.000077791662033501],</v>
      </c>
      <c r="O251" t="str">
        <f t="shared" si="25"/>
        <v>[0.000298545341362997],</v>
      </c>
      <c r="P251" t="str">
        <f t="shared" si="25"/>
        <v>[0.000346194185917768],</v>
      </c>
      <c r="Q251" t="str">
        <f t="shared" si="22"/>
        <v>[0.000590303441993085]</v>
      </c>
      <c r="R251" t="str">
        <f t="shared" si="23"/>
        <v>]</v>
      </c>
      <c r="S251" t="str">
        <f t="shared" si="24"/>
        <v>[[6.93409206240403E-06],[1.38681841248081E-05],[0.000118401042041606],[0.000077791662033501],[0.000298545341362997],[0.000346194185917768],[0.000590303441993085]]</v>
      </c>
    </row>
    <row r="252" spans="1:19" x14ac:dyDescent="0.2">
      <c r="A252" s="1" t="d">
        <v>2026-04-23</v>
      </c>
      <c r="B252">
        <f>daily_original_wrong!B252*total_from_MA_dashboard!B$24</f>
        <v>6.9340920624040343E-6</v>
      </c>
      <c r="C252">
        <f>daily_original_wrong!C252*total_from_MA_dashboard!C$24</f>
        <v>1.3868184124808069E-5</v>
      </c>
      <c r="D252">
        <f>daily_original_wrong!D252*total_from_MA_dashboard!D$24</f>
        <v>1.1840104204160619E-4</v>
      </c>
      <c r="E252">
        <f>daily_original_wrong!E252*total_from_MA_dashboard!E$24</f>
        <v>7.7791662033501033E-5</v>
      </c>
      <c r="F252">
        <f>daily_original_wrong!F252*total_from_MA_dashboard!F$24</f>
        <v>2.9854534136299689E-4</v>
      </c>
      <c r="G252">
        <f>daily_original_wrong!G252*total_from_MA_dashboard!G$24</f>
        <v>3.4619418591776754E-4</v>
      </c>
      <c r="H252">
        <f>daily_original_wrong!H252*total_from_MA_dashboard!H$24</f>
        <v>5.9030344199308517E-4</v>
      </c>
      <c r="J252" t="str">
        <f t="shared" si="20"/>
        <v>[</v>
      </c>
      <c r="K252" t="str">
        <f t="shared" si="21"/>
        <v>[6.93409206240403E-06],</v>
      </c>
      <c r="L252" t="str">
        <f t="shared" si="25"/>
        <v>[1.38681841248081E-05],</v>
      </c>
      <c r="M252" t="str">
        <f t="shared" si="25"/>
        <v>[0.000118401042041606],</v>
      </c>
      <c r="N252" t="str">
        <f t="shared" si="25"/>
        <v>[0.000077791662033501],</v>
      </c>
      <c r="O252" t="str">
        <f t="shared" si="25"/>
        <v>[0.000298545341362997],</v>
      </c>
      <c r="P252" t="str">
        <f t="shared" si="25"/>
        <v>[0.000346194185917768],</v>
      </c>
      <c r="Q252" t="str">
        <f t="shared" si="22"/>
        <v>[0.000590303441993085]</v>
      </c>
      <c r="R252" t="str">
        <f t="shared" si="23"/>
        <v>]</v>
      </c>
      <c r="S252" t="str">
        <f t="shared" si="24"/>
        <v>[[6.93409206240403E-06],[1.38681841248081E-05],[0.000118401042041606],[0.000077791662033501],[0.000298545341362997],[0.000346194185917768],[0.000590303441993085]]</v>
      </c>
    </row>
    <row r="253" spans="1:19" x14ac:dyDescent="0.2">
      <c r="A253" s="1" t="d">
        <v>2026-04-24</v>
      </c>
      <c r="B253">
        <f>daily_original_wrong!B253*total_from_MA_dashboard!B$24</f>
        <v>6.9340920624040343E-6</v>
      </c>
      <c r="C253">
        <f>daily_original_wrong!C253*total_from_MA_dashboard!C$24</f>
        <v>1.3868184124808069E-5</v>
      </c>
      <c r="D253">
        <f>daily_original_wrong!D253*total_from_MA_dashboard!D$24</f>
        <v>1.1840104204160619E-4</v>
      </c>
      <c r="E253">
        <f>daily_original_wrong!E253*total_from_MA_dashboard!E$24</f>
        <v>7.7791662033501033E-5</v>
      </c>
      <c r="F253">
        <f>daily_original_wrong!F253*total_from_MA_dashboard!F$24</f>
        <v>2.9854534136299689E-4</v>
      </c>
      <c r="G253">
        <f>daily_original_wrong!G253*total_from_MA_dashboard!G$24</f>
        <v>3.4619418591776754E-4</v>
      </c>
      <c r="H253">
        <f>daily_original_wrong!H253*total_from_MA_dashboard!H$24</f>
        <v>5.9030344199308517E-4</v>
      </c>
      <c r="J253" t="str">
        <f t="shared" si="20"/>
        <v>[</v>
      </c>
      <c r="K253" t="str">
        <f t="shared" si="21"/>
        <v>[6.93409206240403E-06],</v>
      </c>
      <c r="L253" t="str">
        <f t="shared" si="25"/>
        <v>[1.38681841248081E-05],</v>
      </c>
      <c r="M253" t="str">
        <f t="shared" si="25"/>
        <v>[0.000118401042041606],</v>
      </c>
      <c r="N253" t="str">
        <f t="shared" si="25"/>
        <v>[0.000077791662033501],</v>
      </c>
      <c r="O253" t="str">
        <f t="shared" si="25"/>
        <v>[0.000298545341362997],</v>
      </c>
      <c r="P253" t="str">
        <f t="shared" si="25"/>
        <v>[0.000346194185917768],</v>
      </c>
      <c r="Q253" t="str">
        <f t="shared" si="22"/>
        <v>[0.000590303441993085]</v>
      </c>
      <c r="R253" t="str">
        <f t="shared" si="23"/>
        <v>]</v>
      </c>
      <c r="S253" t="str">
        <f t="shared" si="24"/>
        <v>[[6.93409206240403E-06],[1.38681841248081E-05],[0.000118401042041606],[0.000077791662033501],[0.000298545341362997],[0.000346194185917768],[0.000590303441993085]]</v>
      </c>
    </row>
    <row r="254" spans="1:19" x14ac:dyDescent="0.2">
      <c r="A254" s="1" t="d">
        <v>2026-04-25</v>
      </c>
      <c r="B254">
        <f>daily_original_wrong!B254*total_from_MA_dashboard!B$24</f>
        <v>0</v>
      </c>
      <c r="C254">
        <f>daily_original_wrong!C254*total_from_MA_dashboard!C$24</f>
        <v>0</v>
      </c>
      <c r="D254">
        <f>daily_original_wrong!D254*total_from_MA_dashboard!D$24</f>
        <v>1.209974982693531E-4</v>
      </c>
      <c r="E254">
        <f>daily_original_wrong!E254*total_from_MA_dashboard!E$24</f>
        <v>6.3503538923181179E-5</v>
      </c>
      <c r="F254">
        <f>daily_original_wrong!F254*total_from_MA_dashboard!F$24</f>
        <v>2.832381508668591E-4</v>
      </c>
      <c r="G254">
        <f>daily_original_wrong!G254*total_from_MA_dashboard!G$24</f>
        <v>3.6527911371109776E-4</v>
      </c>
      <c r="H254">
        <f>daily_original_wrong!H254*total_from_MA_dashboard!H$24</f>
        <v>5.4916541291696972E-4</v>
      </c>
      <c r="J254" t="str">
        <f t="shared" si="20"/>
        <v>[</v>
      </c>
      <c r="K254" t="str">
        <f t="shared" si="21"/>
        <v>[0],</v>
      </c>
      <c r="L254" t="str">
        <f t="shared" si="25"/>
        <v>[0],</v>
      </c>
      <c r="M254" t="str">
        <f t="shared" si="25"/>
        <v>[0.000120997498269353],</v>
      </c>
      <c r="N254" t="str">
        <f t="shared" si="25"/>
        <v>[6.35035389231812E-05],</v>
      </c>
      <c r="O254" t="str">
        <f t="shared" si="25"/>
        <v>[0.000283238150866859],</v>
      </c>
      <c r="P254" t="str">
        <f t="shared" si="25"/>
        <v>[0.000365279113711098],</v>
      </c>
      <c r="Q254" t="str">
        <f t="shared" si="22"/>
        <v>[0.00054916541291697]</v>
      </c>
      <c r="R254" t="str">
        <f t="shared" si="23"/>
        <v>]</v>
      </c>
      <c r="S254" t="str">
        <f t="shared" si="24"/>
        <v>[[0],[0],[0.000120997498269353],[6.35035389231812E-05],[0.000283238150866859],[0.000365279113711098],[0.00054916541291697]]</v>
      </c>
    </row>
    <row r="255" spans="1:19" x14ac:dyDescent="0.2">
      <c r="A255" s="1" t="d">
        <v>2026-04-26</v>
      </c>
      <c r="B255">
        <f>daily_original_wrong!B255*total_from_MA_dashboard!B$24</f>
        <v>0</v>
      </c>
      <c r="C255">
        <f>daily_original_wrong!C255*total_from_MA_dashboard!C$24</f>
        <v>0</v>
      </c>
      <c r="D255">
        <f>daily_original_wrong!D255*total_from_MA_dashboard!D$24</f>
        <v>1.209974982693531E-4</v>
      </c>
      <c r="E255">
        <f>daily_original_wrong!E255*total_from_MA_dashboard!E$24</f>
        <v>6.3503538923181179E-5</v>
      </c>
      <c r="F255">
        <f>daily_original_wrong!F255*total_from_MA_dashboard!F$24</f>
        <v>2.832381508668591E-4</v>
      </c>
      <c r="G255">
        <f>daily_original_wrong!G255*total_from_MA_dashboard!G$24</f>
        <v>3.6527911371109776E-4</v>
      </c>
      <c r="H255">
        <f>daily_original_wrong!H255*total_from_MA_dashboard!H$24</f>
        <v>5.4916541291696972E-4</v>
      </c>
      <c r="J255" t="str">
        <f t="shared" si="20"/>
        <v>[</v>
      </c>
      <c r="K255" t="str">
        <f t="shared" si="21"/>
        <v>[0],</v>
      </c>
      <c r="L255" t="str">
        <f t="shared" si="25"/>
        <v>[0],</v>
      </c>
      <c r="M255" t="str">
        <f t="shared" si="25"/>
        <v>[0.000120997498269353],</v>
      </c>
      <c r="N255" t="str">
        <f t="shared" si="25"/>
        <v>[6.35035389231812E-05],</v>
      </c>
      <c r="O255" t="str">
        <f t="shared" si="25"/>
        <v>[0.000283238150866859],</v>
      </c>
      <c r="P255" t="str">
        <f t="shared" si="25"/>
        <v>[0.000365279113711098],</v>
      </c>
      <c r="Q255" t="str">
        <f t="shared" si="22"/>
        <v>[0.00054916541291697]</v>
      </c>
      <c r="R255" t="str">
        <f t="shared" si="23"/>
        <v>]</v>
      </c>
      <c r="S255" t="str">
        <f t="shared" si="24"/>
        <v>[[0],[0],[0.000120997498269353],[6.35035389231812E-05],[0.000283238150866859],[0.000365279113711098],[0.00054916541291697]]</v>
      </c>
    </row>
    <row r="256" spans="1:19" x14ac:dyDescent="0.2">
      <c r="A256" s="1" t="d">
        <v>2026-04-27</v>
      </c>
      <c r="B256">
        <f>daily_original_wrong!B256*total_from_MA_dashboard!B$24</f>
        <v>0</v>
      </c>
      <c r="C256">
        <f>daily_original_wrong!C256*total_from_MA_dashboard!C$24</f>
        <v>0</v>
      </c>
      <c r="D256">
        <f>daily_original_wrong!D256*total_from_MA_dashboard!D$24</f>
        <v>1.209974982693531E-4</v>
      </c>
      <c r="E256">
        <f>daily_original_wrong!E256*total_from_MA_dashboard!E$24</f>
        <v>6.3503538923181179E-5</v>
      </c>
      <c r="F256">
        <f>daily_original_wrong!F256*total_from_MA_dashboard!F$24</f>
        <v>2.832381508668591E-4</v>
      </c>
      <c r="G256">
        <f>daily_original_wrong!G256*total_from_MA_dashboard!G$24</f>
        <v>3.6527911371109776E-4</v>
      </c>
      <c r="H256">
        <f>daily_original_wrong!H256*total_from_MA_dashboard!H$24</f>
        <v>5.4916541291696972E-4</v>
      </c>
      <c r="J256" t="str">
        <f t="shared" si="20"/>
        <v>[</v>
      </c>
      <c r="K256" t="str">
        <f t="shared" si="21"/>
        <v>[0],</v>
      </c>
      <c r="L256" t="str">
        <f t="shared" si="25"/>
        <v>[0],</v>
      </c>
      <c r="M256" t="str">
        <f t="shared" si="25"/>
        <v>[0.000120997498269353],</v>
      </c>
      <c r="N256" t="str">
        <f t="shared" si="25"/>
        <v>[6.35035389231812E-05],</v>
      </c>
      <c r="O256" t="str">
        <f t="shared" si="25"/>
        <v>[0.000283238150866859],</v>
      </c>
      <c r="P256" t="str">
        <f t="shared" si="25"/>
        <v>[0.000365279113711098],</v>
      </c>
      <c r="Q256" t="str">
        <f t="shared" si="22"/>
        <v>[0.00054916541291697]</v>
      </c>
      <c r="R256" t="str">
        <f t="shared" si="23"/>
        <v>]</v>
      </c>
      <c r="S256" t="str">
        <f t="shared" si="24"/>
        <v>[[0],[0],[0.000120997498269353],[6.35035389231812E-05],[0.000283238150866859],[0.000365279113711098],[0.00054916541291697]]</v>
      </c>
    </row>
    <row r="257" spans="1:19" x14ac:dyDescent="0.2">
      <c r="A257" s="1" t="d">
        <v>2026-04-28</v>
      </c>
      <c r="B257">
        <f>daily_original_wrong!B257*total_from_MA_dashboard!B$24</f>
        <v>0</v>
      </c>
      <c r="C257">
        <f>daily_original_wrong!C257*total_from_MA_dashboard!C$24</f>
        <v>0</v>
      </c>
      <c r="D257">
        <f>daily_original_wrong!D257*total_from_MA_dashboard!D$24</f>
        <v>1.209974982693531E-4</v>
      </c>
      <c r="E257">
        <f>daily_original_wrong!E257*total_from_MA_dashboard!E$24</f>
        <v>6.3503538923181179E-5</v>
      </c>
      <c r="F257">
        <f>daily_original_wrong!F257*total_from_MA_dashboard!F$24</f>
        <v>2.832381508668591E-4</v>
      </c>
      <c r="G257">
        <f>daily_original_wrong!G257*total_from_MA_dashboard!G$24</f>
        <v>3.6527911371109776E-4</v>
      </c>
      <c r="H257">
        <f>daily_original_wrong!H257*total_from_MA_dashboard!H$24</f>
        <v>5.4916541291696972E-4</v>
      </c>
      <c r="J257" t="str">
        <f t="shared" si="20"/>
        <v>[</v>
      </c>
      <c r="K257" t="str">
        <f t="shared" si="21"/>
        <v>[0],</v>
      </c>
      <c r="L257" t="str">
        <f t="shared" si="25"/>
        <v>[0],</v>
      </c>
      <c r="M257" t="str">
        <f t="shared" si="25"/>
        <v>[0.000120997498269353],</v>
      </c>
      <c r="N257" t="str">
        <f t="shared" si="25"/>
        <v>[6.35035389231812E-05],</v>
      </c>
      <c r="O257" t="str">
        <f t="shared" si="25"/>
        <v>[0.000283238150866859],</v>
      </c>
      <c r="P257" t="str">
        <f t="shared" si="25"/>
        <v>[0.000365279113711098],</v>
      </c>
      <c r="Q257" t="str">
        <f t="shared" si="22"/>
        <v>[0.00054916541291697]</v>
      </c>
      <c r="R257" t="str">
        <f t="shared" si="23"/>
        <v>]</v>
      </c>
      <c r="S257" t="str">
        <f t="shared" si="24"/>
        <v>[[0],[0],[0.000120997498269353],[6.35035389231812E-05],[0.000283238150866859],[0.000365279113711098],[0.00054916541291697]]</v>
      </c>
    </row>
    <row r="258" spans="1:19" x14ac:dyDescent="0.2">
      <c r="A258" s="1" t="d">
        <v>2026-04-29</v>
      </c>
      <c r="B258">
        <f>daily_original_wrong!B258*total_from_MA_dashboard!B$24</f>
        <v>0</v>
      </c>
      <c r="C258">
        <f>daily_original_wrong!C258*total_from_MA_dashboard!C$24</f>
        <v>0</v>
      </c>
      <c r="D258">
        <f>daily_original_wrong!D258*total_from_MA_dashboard!D$24</f>
        <v>1.209974982693531E-4</v>
      </c>
      <c r="E258">
        <f>daily_original_wrong!E258*total_from_MA_dashboard!E$24</f>
        <v>6.3503538923181179E-5</v>
      </c>
      <c r="F258">
        <f>daily_original_wrong!F258*total_from_MA_dashboard!F$24</f>
        <v>2.832381508668591E-4</v>
      </c>
      <c r="G258">
        <f>daily_original_wrong!G258*total_from_MA_dashboard!G$24</f>
        <v>3.6527911371109776E-4</v>
      </c>
      <c r="H258">
        <f>daily_original_wrong!H258*total_from_MA_dashboard!H$24</f>
        <v>5.4916541291696972E-4</v>
      </c>
      <c r="J258" t="str">
        <f t="shared" si="20"/>
        <v>[</v>
      </c>
      <c r="K258" t="str">
        <f t="shared" si="21"/>
        <v>[0],</v>
      </c>
      <c r="L258" t="str">
        <f t="shared" ref="L258:P302" si="26">"["&amp;C258&amp;"],"</f>
        <v>[0],</v>
      </c>
      <c r="M258" t="str">
        <f t="shared" si="26"/>
        <v>[0.000120997498269353],</v>
      </c>
      <c r="N258" t="str">
        <f t="shared" si="26"/>
        <v>[6.35035389231812E-05],</v>
      </c>
      <c r="O258" t="str">
        <f t="shared" si="26"/>
        <v>[0.000283238150866859],</v>
      </c>
      <c r="P258" t="str">
        <f t="shared" si="26"/>
        <v>[0.000365279113711098],</v>
      </c>
      <c r="Q258" t="str">
        <f t="shared" si="22"/>
        <v>[0.00054916541291697]</v>
      </c>
      <c r="R258" t="str">
        <f t="shared" si="23"/>
        <v>]</v>
      </c>
      <c r="S258" t="str">
        <f t="shared" si="24"/>
        <v>[[0],[0],[0.000120997498269353],[6.35035389231812E-05],[0.000283238150866859],[0.000365279113711098],[0.00054916541291697]]</v>
      </c>
    </row>
    <row r="259" spans="1:19" x14ac:dyDescent="0.2">
      <c r="A259" s="1" t="d">
        <v>2026-04-30</v>
      </c>
      <c r="B259">
        <f>daily_original_wrong!B259*total_from_MA_dashboard!B$24</f>
        <v>0</v>
      </c>
      <c r="C259">
        <f>daily_original_wrong!C259*total_from_MA_dashboard!C$24</f>
        <v>0</v>
      </c>
      <c r="D259">
        <f>daily_original_wrong!D259*total_from_MA_dashboard!D$24</f>
        <v>1.209974982693531E-4</v>
      </c>
      <c r="E259">
        <f>daily_original_wrong!E259*total_from_MA_dashboard!E$24</f>
        <v>6.3503538923181179E-5</v>
      </c>
      <c r="F259">
        <f>daily_original_wrong!F259*total_from_MA_dashboard!F$24</f>
        <v>2.832381508668591E-4</v>
      </c>
      <c r="G259">
        <f>daily_original_wrong!G259*total_from_MA_dashboard!G$24</f>
        <v>3.6527911371109776E-4</v>
      </c>
      <c r="H259">
        <f>daily_original_wrong!H259*total_from_MA_dashboard!H$24</f>
        <v>5.4916541291696972E-4</v>
      </c>
      <c r="J259" t="str">
        <f t="shared" ref="J259:J302" si="27">"["</f>
        <v>[</v>
      </c>
      <c r="K259" t="str">
        <f t="shared" ref="K259:K302" si="28">"["&amp;B259&amp;"],"</f>
        <v>[0],</v>
      </c>
      <c r="L259" t="str">
        <f t="shared" si="26"/>
        <v>[0],</v>
      </c>
      <c r="M259" t="str">
        <f t="shared" si="26"/>
        <v>[0.000120997498269353],</v>
      </c>
      <c r="N259" t="str">
        <f t="shared" si="26"/>
        <v>[6.35035389231812E-05],</v>
      </c>
      <c r="O259" t="str">
        <f t="shared" si="26"/>
        <v>[0.000283238150866859],</v>
      </c>
      <c r="P259" t="str">
        <f t="shared" si="26"/>
        <v>[0.000365279113711098],</v>
      </c>
      <c r="Q259" t="str">
        <f t="shared" ref="Q259:Q302" si="29">"["&amp;H259&amp;"]"</f>
        <v>[0.00054916541291697]</v>
      </c>
      <c r="R259" t="str">
        <f t="shared" ref="R259:R302" si="30">"]"</f>
        <v>]</v>
      </c>
      <c r="S259" t="str">
        <f t="shared" ref="S259:S302" si="31">J259&amp;K259&amp;L259&amp;M259&amp;N259&amp;O259&amp;P259&amp;Q259&amp;R259</f>
        <v>[[0],[0],[0.000120997498269353],[6.35035389231812E-05],[0.000283238150866859],[0.000365279113711098],[0.00054916541291697]]</v>
      </c>
    </row>
    <row r="260" spans="1:19" x14ac:dyDescent="0.2">
      <c r="A260" s="1" t="d">
        <v>2026-05-01</v>
      </c>
      <c r="B260">
        <f>daily_original_wrong!B260*total_from_MA_dashboard!B$24</f>
        <v>0</v>
      </c>
      <c r="C260">
        <f>daily_original_wrong!C260*total_from_MA_dashboard!C$24</f>
        <v>0</v>
      </c>
      <c r="D260">
        <f>daily_original_wrong!D260*total_from_MA_dashboard!D$24</f>
        <v>1.209974982693531E-4</v>
      </c>
      <c r="E260">
        <f>daily_original_wrong!E260*total_from_MA_dashboard!E$24</f>
        <v>6.3503538923181179E-5</v>
      </c>
      <c r="F260">
        <f>daily_original_wrong!F260*total_from_MA_dashboard!F$24</f>
        <v>2.832381508668591E-4</v>
      </c>
      <c r="G260">
        <f>daily_original_wrong!G260*total_from_MA_dashboard!G$24</f>
        <v>3.6527911371109776E-4</v>
      </c>
      <c r="H260">
        <f>daily_original_wrong!H260*total_from_MA_dashboard!H$24</f>
        <v>5.4916541291696972E-4</v>
      </c>
      <c r="J260" t="str">
        <f t="shared" si="27"/>
        <v>[</v>
      </c>
      <c r="K260" t="str">
        <f t="shared" si="28"/>
        <v>[0],</v>
      </c>
      <c r="L260" t="str">
        <f t="shared" si="26"/>
        <v>[0],</v>
      </c>
      <c r="M260" t="str">
        <f t="shared" si="26"/>
        <v>[0.000120997498269353],</v>
      </c>
      <c r="N260" t="str">
        <f t="shared" si="26"/>
        <v>[6.35035389231812E-05],</v>
      </c>
      <c r="O260" t="str">
        <f t="shared" si="26"/>
        <v>[0.000283238150866859],</v>
      </c>
      <c r="P260" t="str">
        <f t="shared" si="26"/>
        <v>[0.000365279113711098],</v>
      </c>
      <c r="Q260" t="str">
        <f t="shared" si="29"/>
        <v>[0.00054916541291697]</v>
      </c>
      <c r="R260" t="str">
        <f t="shared" si="30"/>
        <v>]</v>
      </c>
      <c r="S260" t="str">
        <f t="shared" si="31"/>
        <v>[[0],[0],[0.000120997498269353],[6.35035389231812E-05],[0.000283238150866859],[0.000365279113711098],[0.00054916541291697]]</v>
      </c>
    </row>
    <row r="261" spans="1:19" x14ac:dyDescent="0.2">
      <c r="A261" s="1" t="d">
        <v>2026-05-02</v>
      </c>
      <c r="B261">
        <f>daily_original_wrong!B261*total_from_MA_dashboard!B$24</f>
        <v>0</v>
      </c>
      <c r="C261">
        <f>daily_original_wrong!C261*total_from_MA_dashboard!C$24</f>
        <v>0</v>
      </c>
      <c r="D261">
        <f>daily_original_wrong!D261*total_from_MA_dashboard!D$24</f>
        <v>2.8325419780681887E-4</v>
      </c>
      <c r="E261">
        <f>daily_original_wrong!E261*total_from_MA_dashboard!E$24</f>
        <v>1.493124200940634E-4</v>
      </c>
      <c r="F261">
        <f>daily_original_wrong!F261*total_from_MA_dashboard!F$24</f>
        <v>5.6577109617382819E-4</v>
      </c>
      <c r="G261">
        <f>daily_original_wrong!G261*total_from_MA_dashboard!G$24</f>
        <v>7.0153341764564892E-4</v>
      </c>
      <c r="H261">
        <f>daily_original_wrong!H261*total_from_MA_dashboard!H$24</f>
        <v>1.10767808269708E-3</v>
      </c>
      <c r="J261" t="str">
        <f t="shared" si="27"/>
        <v>[</v>
      </c>
      <c r="K261" t="str">
        <f t="shared" si="28"/>
        <v>[0],</v>
      </c>
      <c r="L261" t="str">
        <f t="shared" si="26"/>
        <v>[0],</v>
      </c>
      <c r="M261" t="str">
        <f t="shared" si="26"/>
        <v>[0.000283254197806819],</v>
      </c>
      <c r="N261" t="str">
        <f t="shared" si="26"/>
        <v>[0.000149312420094063],</v>
      </c>
      <c r="O261" t="str">
        <f t="shared" si="26"/>
        <v>[0.000565771096173828],</v>
      </c>
      <c r="P261" t="str">
        <f t="shared" si="26"/>
        <v>[0.000701533417645649],</v>
      </c>
      <c r="Q261" t="str">
        <f t="shared" si="29"/>
        <v>[0.00110767808269708]</v>
      </c>
      <c r="R261" t="str">
        <f t="shared" si="30"/>
        <v>]</v>
      </c>
      <c r="S261" t="str">
        <f t="shared" si="31"/>
        <v>[[0],[0],[0.000283254197806819],[0.000149312420094063],[0.000565771096173828],[0.000701533417645649],[0.00110767808269708]]</v>
      </c>
    </row>
    <row r="262" spans="1:19" x14ac:dyDescent="0.2">
      <c r="A262" s="1" t="d">
        <v>2026-05-03</v>
      </c>
      <c r="B262">
        <f>daily_original_wrong!B262*total_from_MA_dashboard!B$24</f>
        <v>0</v>
      </c>
      <c r="C262">
        <f>daily_original_wrong!C262*total_from_MA_dashboard!C$24</f>
        <v>0</v>
      </c>
      <c r="D262">
        <f>daily_original_wrong!D262*total_from_MA_dashboard!D$24</f>
        <v>2.8325419780681887E-4</v>
      </c>
      <c r="E262">
        <f>daily_original_wrong!E262*total_from_MA_dashboard!E$24</f>
        <v>1.493124200940634E-4</v>
      </c>
      <c r="F262">
        <f>daily_original_wrong!F262*total_from_MA_dashboard!F$24</f>
        <v>5.6577109617382819E-4</v>
      </c>
      <c r="G262">
        <f>daily_original_wrong!G262*total_from_MA_dashboard!G$24</f>
        <v>7.0153341764564892E-4</v>
      </c>
      <c r="H262">
        <f>daily_original_wrong!H262*total_from_MA_dashboard!H$24</f>
        <v>1.10767808269708E-3</v>
      </c>
      <c r="J262" t="str">
        <f t="shared" si="27"/>
        <v>[</v>
      </c>
      <c r="K262" t="str">
        <f t="shared" si="28"/>
        <v>[0],</v>
      </c>
      <c r="L262" t="str">
        <f t="shared" si="26"/>
        <v>[0],</v>
      </c>
      <c r="M262" t="str">
        <f t="shared" si="26"/>
        <v>[0.000283254197806819],</v>
      </c>
      <c r="N262" t="str">
        <f t="shared" si="26"/>
        <v>[0.000149312420094063],</v>
      </c>
      <c r="O262" t="str">
        <f t="shared" si="26"/>
        <v>[0.000565771096173828],</v>
      </c>
      <c r="P262" t="str">
        <f t="shared" si="26"/>
        <v>[0.000701533417645649],</v>
      </c>
      <c r="Q262" t="str">
        <f t="shared" si="29"/>
        <v>[0.00110767808269708]</v>
      </c>
      <c r="R262" t="str">
        <f t="shared" si="30"/>
        <v>]</v>
      </c>
      <c r="S262" t="str">
        <f t="shared" si="31"/>
        <v>[[0],[0],[0.000283254197806819],[0.000149312420094063],[0.000565771096173828],[0.000701533417645649],[0.00110767808269708]]</v>
      </c>
    </row>
    <row r="263" spans="1:19" x14ac:dyDescent="0.2">
      <c r="A263" s="1" t="d">
        <v>2026-05-04</v>
      </c>
      <c r="B263">
        <f>daily_original_wrong!B263*total_from_MA_dashboard!B$24</f>
        <v>0</v>
      </c>
      <c r="C263">
        <f>daily_original_wrong!C263*total_from_MA_dashboard!C$24</f>
        <v>0</v>
      </c>
      <c r="D263">
        <f>daily_original_wrong!D263*total_from_MA_dashboard!D$24</f>
        <v>2.8325419780681887E-4</v>
      </c>
      <c r="E263">
        <f>daily_original_wrong!E263*total_from_MA_dashboard!E$24</f>
        <v>1.493124200940634E-4</v>
      </c>
      <c r="F263">
        <f>daily_original_wrong!F263*total_from_MA_dashboard!F$24</f>
        <v>5.6577109617382819E-4</v>
      </c>
      <c r="G263">
        <f>daily_original_wrong!G263*total_from_MA_dashboard!G$24</f>
        <v>7.0153341764564892E-4</v>
      </c>
      <c r="H263">
        <f>daily_original_wrong!H263*total_from_MA_dashboard!H$24</f>
        <v>1.10767808269708E-3</v>
      </c>
      <c r="J263" t="str">
        <f t="shared" si="27"/>
        <v>[</v>
      </c>
      <c r="K263" t="str">
        <f t="shared" si="28"/>
        <v>[0],</v>
      </c>
      <c r="L263" t="str">
        <f t="shared" si="26"/>
        <v>[0],</v>
      </c>
      <c r="M263" t="str">
        <f t="shared" si="26"/>
        <v>[0.000283254197806819],</v>
      </c>
      <c r="N263" t="str">
        <f t="shared" si="26"/>
        <v>[0.000149312420094063],</v>
      </c>
      <c r="O263" t="str">
        <f t="shared" si="26"/>
        <v>[0.000565771096173828],</v>
      </c>
      <c r="P263" t="str">
        <f t="shared" si="26"/>
        <v>[0.000701533417645649],</v>
      </c>
      <c r="Q263" t="str">
        <f t="shared" si="29"/>
        <v>[0.00110767808269708]</v>
      </c>
      <c r="R263" t="str">
        <f t="shared" si="30"/>
        <v>]</v>
      </c>
      <c r="S263" t="str">
        <f t="shared" si="31"/>
        <v>[[0],[0],[0.000283254197806819],[0.000149312420094063],[0.000565771096173828],[0.000701533417645649],[0.00110767808269708]]</v>
      </c>
    </row>
    <row r="264" spans="1:19" x14ac:dyDescent="0.2">
      <c r="A264" s="1" t="d">
        <v>2026-05-05</v>
      </c>
      <c r="B264">
        <f>daily_original_wrong!B264*total_from_MA_dashboard!B$24</f>
        <v>0</v>
      </c>
      <c r="C264">
        <f>daily_original_wrong!C264*total_from_MA_dashboard!C$24</f>
        <v>0</v>
      </c>
      <c r="D264">
        <f>daily_original_wrong!D264*total_from_MA_dashboard!D$24</f>
        <v>2.8325419780681887E-4</v>
      </c>
      <c r="E264">
        <f>daily_original_wrong!E264*total_from_MA_dashboard!E$24</f>
        <v>1.493124200940634E-4</v>
      </c>
      <c r="F264">
        <f>daily_original_wrong!F264*total_from_MA_dashboard!F$24</f>
        <v>5.6577109617382819E-4</v>
      </c>
      <c r="G264">
        <f>daily_original_wrong!G264*total_from_MA_dashboard!G$24</f>
        <v>7.0153341764564892E-4</v>
      </c>
      <c r="H264">
        <f>daily_original_wrong!H264*total_from_MA_dashboard!H$24</f>
        <v>1.10767808269708E-3</v>
      </c>
      <c r="J264" t="str">
        <f t="shared" si="27"/>
        <v>[</v>
      </c>
      <c r="K264" t="str">
        <f t="shared" si="28"/>
        <v>[0],</v>
      </c>
      <c r="L264" t="str">
        <f t="shared" si="26"/>
        <v>[0],</v>
      </c>
      <c r="M264" t="str">
        <f t="shared" si="26"/>
        <v>[0.000283254197806819],</v>
      </c>
      <c r="N264" t="str">
        <f t="shared" si="26"/>
        <v>[0.000149312420094063],</v>
      </c>
      <c r="O264" t="str">
        <f t="shared" si="26"/>
        <v>[0.000565771096173828],</v>
      </c>
      <c r="P264" t="str">
        <f t="shared" si="26"/>
        <v>[0.000701533417645649],</v>
      </c>
      <c r="Q264" t="str">
        <f t="shared" si="29"/>
        <v>[0.00110767808269708]</v>
      </c>
      <c r="R264" t="str">
        <f t="shared" si="30"/>
        <v>]</v>
      </c>
      <c r="S264" t="str">
        <f t="shared" si="31"/>
        <v>[[0],[0],[0.000283254197806819],[0.000149312420094063],[0.000565771096173828],[0.000701533417645649],[0.00110767808269708]]</v>
      </c>
    </row>
    <row r="265" spans="1:19" x14ac:dyDescent="0.2">
      <c r="A265" s="1" t="d">
        <v>2026-05-06</v>
      </c>
      <c r="B265">
        <f>daily_original_wrong!B265*total_from_MA_dashboard!B$24</f>
        <v>0</v>
      </c>
      <c r="C265">
        <f>daily_original_wrong!C265*total_from_MA_dashboard!C$24</f>
        <v>0</v>
      </c>
      <c r="D265">
        <f>daily_original_wrong!D265*total_from_MA_dashboard!D$24</f>
        <v>2.8325419780681887E-4</v>
      </c>
      <c r="E265">
        <f>daily_original_wrong!E265*total_from_MA_dashboard!E$24</f>
        <v>1.493124200940634E-4</v>
      </c>
      <c r="F265">
        <f>daily_original_wrong!F265*total_from_MA_dashboard!F$24</f>
        <v>5.6577109617382819E-4</v>
      </c>
      <c r="G265">
        <f>daily_original_wrong!G265*total_from_MA_dashboard!G$24</f>
        <v>7.0153341764564892E-4</v>
      </c>
      <c r="H265">
        <f>daily_original_wrong!H265*total_from_MA_dashboard!H$24</f>
        <v>1.10767808269708E-3</v>
      </c>
      <c r="J265" t="str">
        <f t="shared" si="27"/>
        <v>[</v>
      </c>
      <c r="K265" t="str">
        <f t="shared" si="28"/>
        <v>[0],</v>
      </c>
      <c r="L265" t="str">
        <f t="shared" si="26"/>
        <v>[0],</v>
      </c>
      <c r="M265" t="str">
        <f t="shared" si="26"/>
        <v>[0.000283254197806819],</v>
      </c>
      <c r="N265" t="str">
        <f t="shared" si="26"/>
        <v>[0.000149312420094063],</v>
      </c>
      <c r="O265" t="str">
        <f t="shared" si="26"/>
        <v>[0.000565771096173828],</v>
      </c>
      <c r="P265" t="str">
        <f t="shared" si="26"/>
        <v>[0.000701533417645649],</v>
      </c>
      <c r="Q265" t="str">
        <f t="shared" si="29"/>
        <v>[0.00110767808269708]</v>
      </c>
      <c r="R265" t="str">
        <f t="shared" si="30"/>
        <v>]</v>
      </c>
      <c r="S265" t="str">
        <f t="shared" si="31"/>
        <v>[[0],[0],[0.000283254197806819],[0.000149312420094063],[0.000565771096173828],[0.000701533417645649],[0.00110767808269708]]</v>
      </c>
    </row>
    <row r="266" spans="1:19" x14ac:dyDescent="0.2">
      <c r="A266" s="1" t="d">
        <v>2026-05-07</v>
      </c>
      <c r="B266">
        <f>daily_original_wrong!B266*total_from_MA_dashboard!B$24</f>
        <v>0</v>
      </c>
      <c r="C266">
        <f>daily_original_wrong!C266*total_from_MA_dashboard!C$24</f>
        <v>0</v>
      </c>
      <c r="D266">
        <f>daily_original_wrong!D266*total_from_MA_dashboard!D$24</f>
        <v>2.8325419780681887E-4</v>
      </c>
      <c r="E266">
        <f>daily_original_wrong!E266*total_from_MA_dashboard!E$24</f>
        <v>1.493124200940634E-4</v>
      </c>
      <c r="F266">
        <f>daily_original_wrong!F266*total_from_MA_dashboard!F$24</f>
        <v>5.6577109617382819E-4</v>
      </c>
      <c r="G266">
        <f>daily_original_wrong!G266*total_from_MA_dashboard!G$24</f>
        <v>7.0153341764564892E-4</v>
      </c>
      <c r="H266">
        <f>daily_original_wrong!H266*total_from_MA_dashboard!H$24</f>
        <v>1.10767808269708E-3</v>
      </c>
      <c r="J266" t="str">
        <f t="shared" si="27"/>
        <v>[</v>
      </c>
      <c r="K266" t="str">
        <f t="shared" si="28"/>
        <v>[0],</v>
      </c>
      <c r="L266" t="str">
        <f t="shared" si="26"/>
        <v>[0],</v>
      </c>
      <c r="M266" t="str">
        <f t="shared" si="26"/>
        <v>[0.000283254197806819],</v>
      </c>
      <c r="N266" t="str">
        <f t="shared" si="26"/>
        <v>[0.000149312420094063],</v>
      </c>
      <c r="O266" t="str">
        <f t="shared" si="26"/>
        <v>[0.000565771096173828],</v>
      </c>
      <c r="P266" t="str">
        <f t="shared" si="26"/>
        <v>[0.000701533417645649],</v>
      </c>
      <c r="Q266" t="str">
        <f t="shared" si="29"/>
        <v>[0.00110767808269708]</v>
      </c>
      <c r="R266" t="str">
        <f t="shared" si="30"/>
        <v>]</v>
      </c>
      <c r="S266" t="str">
        <f t="shared" si="31"/>
        <v>[[0],[0],[0.000283254197806819],[0.000149312420094063],[0.000565771096173828],[0.000701533417645649],[0.00110767808269708]]</v>
      </c>
    </row>
    <row r="267" spans="1:19" x14ac:dyDescent="0.2">
      <c r="A267" s="1" t="d">
        <v>2026-05-08</v>
      </c>
      <c r="B267">
        <f>daily_original_wrong!B267*total_from_MA_dashboard!B$24</f>
        <v>0</v>
      </c>
      <c r="C267">
        <f>daily_original_wrong!C267*total_from_MA_dashboard!C$24</f>
        <v>0</v>
      </c>
      <c r="D267">
        <f>daily_original_wrong!D267*total_from_MA_dashboard!D$24</f>
        <v>2.8325419780681887E-4</v>
      </c>
      <c r="E267">
        <f>daily_original_wrong!E267*total_from_MA_dashboard!E$24</f>
        <v>1.493124200940634E-4</v>
      </c>
      <c r="F267">
        <f>daily_original_wrong!F267*total_from_MA_dashboard!F$24</f>
        <v>5.6577109617382819E-4</v>
      </c>
      <c r="G267">
        <f>daily_original_wrong!G267*total_from_MA_dashboard!G$24</f>
        <v>7.0153341764564892E-4</v>
      </c>
      <c r="H267">
        <f>daily_original_wrong!H267*total_from_MA_dashboard!H$24</f>
        <v>1.10767808269708E-3</v>
      </c>
      <c r="J267" t="str">
        <f t="shared" si="27"/>
        <v>[</v>
      </c>
      <c r="K267" t="str">
        <f t="shared" si="28"/>
        <v>[0],</v>
      </c>
      <c r="L267" t="str">
        <f t="shared" si="26"/>
        <v>[0],</v>
      </c>
      <c r="M267" t="str">
        <f t="shared" si="26"/>
        <v>[0.000283254197806819],</v>
      </c>
      <c r="N267" t="str">
        <f t="shared" si="26"/>
        <v>[0.000149312420094063],</v>
      </c>
      <c r="O267" t="str">
        <f t="shared" si="26"/>
        <v>[0.000565771096173828],</v>
      </c>
      <c r="P267" t="str">
        <f t="shared" si="26"/>
        <v>[0.000701533417645649],</v>
      </c>
      <c r="Q267" t="str">
        <f t="shared" si="29"/>
        <v>[0.00110767808269708]</v>
      </c>
      <c r="R267" t="str">
        <f t="shared" si="30"/>
        <v>]</v>
      </c>
      <c r="S267" t="str">
        <f t="shared" si="31"/>
        <v>[[0],[0],[0.000283254197806819],[0.000149312420094063],[0.000565771096173828],[0.000701533417645649],[0.00110767808269708]]</v>
      </c>
    </row>
    <row r="268" spans="1:19" x14ac:dyDescent="0.2">
      <c r="A268" s="1" t="d">
        <v>2026-05-09</v>
      </c>
      <c r="B268">
        <f>daily_original_wrong!B268*total_from_MA_dashboard!B$24</f>
        <v>0</v>
      </c>
      <c r="C268">
        <f>daily_original_wrong!C268*total_from_MA_dashboard!C$24</f>
        <v>0</v>
      </c>
      <c r="D268">
        <f>daily_original_wrong!D268*total_from_MA_dashboard!D$24</f>
        <v>1.4862758727517177E-4</v>
      </c>
      <c r="E268">
        <f>daily_original_wrong!E268*total_from_MA_dashboard!E$24</f>
        <v>8.0948551316606583E-5</v>
      </c>
      <c r="F268">
        <f>daily_original_wrong!F268*total_from_MA_dashboard!F$24</f>
        <v>1.94013352230391E-4</v>
      </c>
      <c r="G268">
        <f>daily_original_wrong!G268*total_from_MA_dashboard!G$24</f>
        <v>2.0769145142927927E-4</v>
      </c>
      <c r="H268">
        <f>daily_original_wrong!H268*total_from_MA_dashboard!H$24</f>
        <v>3.9266922149668124E-4</v>
      </c>
      <c r="J268" t="str">
        <f t="shared" si="27"/>
        <v>[</v>
      </c>
      <c r="K268" t="str">
        <f t="shared" si="28"/>
        <v>[0],</v>
      </c>
      <c r="L268" t="str">
        <f t="shared" si="26"/>
        <v>[0],</v>
      </c>
      <c r="M268" t="str">
        <f t="shared" si="26"/>
        <v>[0.000148627587275172],</v>
      </c>
      <c r="N268" t="str">
        <f t="shared" si="26"/>
        <v>[8.09485513166066E-05],</v>
      </c>
      <c r="O268" t="str">
        <f t="shared" si="26"/>
        <v>[0.000194013352230391],</v>
      </c>
      <c r="P268" t="str">
        <f t="shared" si="26"/>
        <v>[0.000207691451429279],</v>
      </c>
      <c r="Q268" t="str">
        <f t="shared" si="29"/>
        <v>[0.000392669221496681]</v>
      </c>
      <c r="R268" t="str">
        <f t="shared" si="30"/>
        <v>]</v>
      </c>
      <c r="S268" t="str">
        <f t="shared" si="31"/>
        <v>[[0],[0],[0.000148627587275172],[8.09485513166066E-05],[0.000194013352230391],[0.000207691451429279],[0.000392669221496681]]</v>
      </c>
    </row>
    <row r="269" spans="1:19" x14ac:dyDescent="0.2">
      <c r="A269" s="1" t="d">
        <v>2026-05-10</v>
      </c>
      <c r="B269">
        <f>daily_original_wrong!B269*total_from_MA_dashboard!B$24</f>
        <v>0</v>
      </c>
      <c r="C269">
        <f>daily_original_wrong!C269*total_from_MA_dashboard!C$24</f>
        <v>0</v>
      </c>
      <c r="D269">
        <f>daily_original_wrong!D269*total_from_MA_dashboard!D$24</f>
        <v>1.4862758727517177E-4</v>
      </c>
      <c r="E269">
        <f>daily_original_wrong!E269*total_from_MA_dashboard!E$24</f>
        <v>8.0948551316606583E-5</v>
      </c>
      <c r="F269">
        <f>daily_original_wrong!F269*total_from_MA_dashboard!F$24</f>
        <v>1.94013352230391E-4</v>
      </c>
      <c r="G269">
        <f>daily_original_wrong!G269*total_from_MA_dashboard!G$24</f>
        <v>2.0769145142927927E-4</v>
      </c>
      <c r="H269">
        <f>daily_original_wrong!H269*total_from_MA_dashboard!H$24</f>
        <v>3.9266922149668124E-4</v>
      </c>
      <c r="J269" t="str">
        <f t="shared" si="27"/>
        <v>[</v>
      </c>
      <c r="K269" t="str">
        <f t="shared" si="28"/>
        <v>[0],</v>
      </c>
      <c r="L269" t="str">
        <f t="shared" si="26"/>
        <v>[0],</v>
      </c>
      <c r="M269" t="str">
        <f t="shared" si="26"/>
        <v>[0.000148627587275172],</v>
      </c>
      <c r="N269" t="str">
        <f t="shared" si="26"/>
        <v>[8.09485513166066E-05],</v>
      </c>
      <c r="O269" t="str">
        <f t="shared" si="26"/>
        <v>[0.000194013352230391],</v>
      </c>
      <c r="P269" t="str">
        <f t="shared" si="26"/>
        <v>[0.000207691451429279],</v>
      </c>
      <c r="Q269" t="str">
        <f t="shared" si="29"/>
        <v>[0.000392669221496681]</v>
      </c>
      <c r="R269" t="str">
        <f t="shared" si="30"/>
        <v>]</v>
      </c>
      <c r="S269" t="str">
        <f t="shared" si="31"/>
        <v>[[0],[0],[0.000148627587275172],[8.09485513166066E-05],[0.000194013352230391],[0.000207691451429279],[0.000392669221496681]]</v>
      </c>
    </row>
    <row r="270" spans="1:19" x14ac:dyDescent="0.2">
      <c r="A270" s="1" t="d">
        <v>2026-05-11</v>
      </c>
      <c r="B270">
        <f>daily_original_wrong!B270*total_from_MA_dashboard!B$24</f>
        <v>0</v>
      </c>
      <c r="C270">
        <f>daily_original_wrong!C270*total_from_MA_dashboard!C$24</f>
        <v>0</v>
      </c>
      <c r="D270">
        <f>daily_original_wrong!D270*total_from_MA_dashboard!D$24</f>
        <v>1.4862758727517177E-4</v>
      </c>
      <c r="E270">
        <f>daily_original_wrong!E270*total_from_MA_dashboard!E$24</f>
        <v>8.0948551316606583E-5</v>
      </c>
      <c r="F270">
        <f>daily_original_wrong!F270*total_from_MA_dashboard!F$24</f>
        <v>1.94013352230391E-4</v>
      </c>
      <c r="G270">
        <f>daily_original_wrong!G270*total_from_MA_dashboard!G$24</f>
        <v>2.0769145142927927E-4</v>
      </c>
      <c r="H270">
        <f>daily_original_wrong!H270*total_from_MA_dashboard!H$24</f>
        <v>3.9266922149668124E-4</v>
      </c>
      <c r="J270" t="str">
        <f t="shared" si="27"/>
        <v>[</v>
      </c>
      <c r="K270" t="str">
        <f t="shared" si="28"/>
        <v>[0],</v>
      </c>
      <c r="L270" t="str">
        <f t="shared" si="26"/>
        <v>[0],</v>
      </c>
      <c r="M270" t="str">
        <f t="shared" si="26"/>
        <v>[0.000148627587275172],</v>
      </c>
      <c r="N270" t="str">
        <f t="shared" si="26"/>
        <v>[8.09485513166066E-05],</v>
      </c>
      <c r="O270" t="str">
        <f t="shared" si="26"/>
        <v>[0.000194013352230391],</v>
      </c>
      <c r="P270" t="str">
        <f t="shared" si="26"/>
        <v>[0.000207691451429279],</v>
      </c>
      <c r="Q270" t="str">
        <f t="shared" si="29"/>
        <v>[0.000392669221496681]</v>
      </c>
      <c r="R270" t="str">
        <f t="shared" si="30"/>
        <v>]</v>
      </c>
      <c r="S270" t="str">
        <f t="shared" si="31"/>
        <v>[[0],[0],[0.000148627587275172],[8.09485513166066E-05],[0.000194013352230391],[0.000207691451429279],[0.000392669221496681]]</v>
      </c>
    </row>
    <row r="271" spans="1:19" x14ac:dyDescent="0.2">
      <c r="A271" s="1" t="d">
        <v>2026-05-12</v>
      </c>
      <c r="B271">
        <f>daily_original_wrong!B271*total_from_MA_dashboard!B$24</f>
        <v>0</v>
      </c>
      <c r="C271">
        <f>daily_original_wrong!C271*total_from_MA_dashboard!C$24</f>
        <v>0</v>
      </c>
      <c r="D271">
        <f>daily_original_wrong!D271*total_from_MA_dashboard!D$24</f>
        <v>1.4862758727517177E-4</v>
      </c>
      <c r="E271">
        <f>daily_original_wrong!E271*total_from_MA_dashboard!E$24</f>
        <v>8.0948551316606583E-5</v>
      </c>
      <c r="F271">
        <f>daily_original_wrong!F271*total_from_MA_dashboard!F$24</f>
        <v>1.94013352230391E-4</v>
      </c>
      <c r="G271">
        <f>daily_original_wrong!G271*total_from_MA_dashboard!G$24</f>
        <v>2.0769145142927927E-4</v>
      </c>
      <c r="H271">
        <f>daily_original_wrong!H271*total_from_MA_dashboard!H$24</f>
        <v>3.9266922149668124E-4</v>
      </c>
      <c r="J271" t="str">
        <f t="shared" si="27"/>
        <v>[</v>
      </c>
      <c r="K271" t="str">
        <f t="shared" si="28"/>
        <v>[0],</v>
      </c>
      <c r="L271" t="str">
        <f t="shared" si="26"/>
        <v>[0],</v>
      </c>
      <c r="M271" t="str">
        <f t="shared" si="26"/>
        <v>[0.000148627587275172],</v>
      </c>
      <c r="N271" t="str">
        <f t="shared" si="26"/>
        <v>[8.09485513166066E-05],</v>
      </c>
      <c r="O271" t="str">
        <f t="shared" si="26"/>
        <v>[0.000194013352230391],</v>
      </c>
      <c r="P271" t="str">
        <f t="shared" si="26"/>
        <v>[0.000207691451429279],</v>
      </c>
      <c r="Q271" t="str">
        <f t="shared" si="29"/>
        <v>[0.000392669221496681]</v>
      </c>
      <c r="R271" t="str">
        <f t="shared" si="30"/>
        <v>]</v>
      </c>
      <c r="S271" t="str">
        <f t="shared" si="31"/>
        <v>[[0],[0],[0.000148627587275172],[8.09485513166066E-05],[0.000194013352230391],[0.000207691451429279],[0.000392669221496681]]</v>
      </c>
    </row>
    <row r="272" spans="1:19" x14ac:dyDescent="0.2">
      <c r="A272" s="1" t="d">
        <v>2026-05-13</v>
      </c>
      <c r="B272">
        <f>daily_original_wrong!B272*total_from_MA_dashboard!B$24</f>
        <v>0</v>
      </c>
      <c r="C272">
        <f>daily_original_wrong!C272*total_from_MA_dashboard!C$24</f>
        <v>0</v>
      </c>
      <c r="D272">
        <f>daily_original_wrong!D272*total_from_MA_dashboard!D$24</f>
        <v>1.4862758727517177E-4</v>
      </c>
      <c r="E272">
        <f>daily_original_wrong!E272*total_from_MA_dashboard!E$24</f>
        <v>8.0948551316606583E-5</v>
      </c>
      <c r="F272">
        <f>daily_original_wrong!F272*total_from_MA_dashboard!F$24</f>
        <v>1.94013352230391E-4</v>
      </c>
      <c r="G272">
        <f>daily_original_wrong!G272*total_from_MA_dashboard!G$24</f>
        <v>2.0769145142927927E-4</v>
      </c>
      <c r="H272">
        <f>daily_original_wrong!H272*total_from_MA_dashboard!H$24</f>
        <v>3.9266922149668124E-4</v>
      </c>
      <c r="J272" t="str">
        <f t="shared" si="27"/>
        <v>[</v>
      </c>
      <c r="K272" t="str">
        <f t="shared" si="28"/>
        <v>[0],</v>
      </c>
      <c r="L272" t="str">
        <f t="shared" si="26"/>
        <v>[0],</v>
      </c>
      <c r="M272" t="str">
        <f t="shared" si="26"/>
        <v>[0.000148627587275172],</v>
      </c>
      <c r="N272" t="str">
        <f t="shared" si="26"/>
        <v>[8.09485513166066E-05],</v>
      </c>
      <c r="O272" t="str">
        <f t="shared" si="26"/>
        <v>[0.000194013352230391],</v>
      </c>
      <c r="P272" t="str">
        <f t="shared" si="26"/>
        <v>[0.000207691451429279],</v>
      </c>
      <c r="Q272" t="str">
        <f t="shared" si="29"/>
        <v>[0.000392669221496681]</v>
      </c>
      <c r="R272" t="str">
        <f t="shared" si="30"/>
        <v>]</v>
      </c>
      <c r="S272" t="str">
        <f t="shared" si="31"/>
        <v>[[0],[0],[0.000148627587275172],[8.09485513166066E-05],[0.000194013352230391],[0.000207691451429279],[0.000392669221496681]]</v>
      </c>
    </row>
    <row r="273" spans="1:19" x14ac:dyDescent="0.2">
      <c r="A273" s="1" t="d">
        <v>2026-05-14</v>
      </c>
      <c r="B273">
        <f>daily_original_wrong!B273*total_from_MA_dashboard!B$24</f>
        <v>0</v>
      </c>
      <c r="C273">
        <f>daily_original_wrong!C273*total_from_MA_dashboard!C$24</f>
        <v>0</v>
      </c>
      <c r="D273">
        <f>daily_original_wrong!D273*total_from_MA_dashboard!D$24</f>
        <v>1.4862758727517177E-4</v>
      </c>
      <c r="E273">
        <f>daily_original_wrong!E273*total_from_MA_dashboard!E$24</f>
        <v>8.0948551316606583E-5</v>
      </c>
      <c r="F273">
        <f>daily_original_wrong!F273*total_from_MA_dashboard!F$24</f>
        <v>1.94013352230391E-4</v>
      </c>
      <c r="G273">
        <f>daily_original_wrong!G273*total_from_MA_dashboard!G$24</f>
        <v>2.0769145142927927E-4</v>
      </c>
      <c r="H273">
        <f>daily_original_wrong!H273*total_from_MA_dashboard!H$24</f>
        <v>3.9266922149668124E-4</v>
      </c>
      <c r="J273" t="str">
        <f t="shared" si="27"/>
        <v>[</v>
      </c>
      <c r="K273" t="str">
        <f t="shared" si="28"/>
        <v>[0],</v>
      </c>
      <c r="L273" t="str">
        <f t="shared" si="26"/>
        <v>[0],</v>
      </c>
      <c r="M273" t="str">
        <f t="shared" si="26"/>
        <v>[0.000148627587275172],</v>
      </c>
      <c r="N273" t="str">
        <f t="shared" si="26"/>
        <v>[8.09485513166066E-05],</v>
      </c>
      <c r="O273" t="str">
        <f t="shared" si="26"/>
        <v>[0.000194013352230391],</v>
      </c>
      <c r="P273" t="str">
        <f t="shared" si="26"/>
        <v>[0.000207691451429279],</v>
      </c>
      <c r="Q273" t="str">
        <f t="shared" si="29"/>
        <v>[0.000392669221496681]</v>
      </c>
      <c r="R273" t="str">
        <f t="shared" si="30"/>
        <v>]</v>
      </c>
      <c r="S273" t="str">
        <f t="shared" si="31"/>
        <v>[[0],[0],[0.000148627587275172],[8.09485513166066E-05],[0.000194013352230391],[0.000207691451429279],[0.000392669221496681]]</v>
      </c>
    </row>
    <row r="274" spans="1:19" x14ac:dyDescent="0.2">
      <c r="A274" s="1" t="d">
        <v>2026-05-15</v>
      </c>
      <c r="B274">
        <f>daily_original_wrong!B274*total_from_MA_dashboard!B$24</f>
        <v>0</v>
      </c>
      <c r="C274">
        <f>daily_original_wrong!C274*total_from_MA_dashboard!C$24</f>
        <v>0</v>
      </c>
      <c r="D274">
        <f>daily_original_wrong!D274*total_from_MA_dashboard!D$24</f>
        <v>1.4862758727517177E-4</v>
      </c>
      <c r="E274">
        <f>daily_original_wrong!E274*total_from_MA_dashboard!E$24</f>
        <v>8.0948551316606583E-5</v>
      </c>
      <c r="F274">
        <f>daily_original_wrong!F274*total_from_MA_dashboard!F$24</f>
        <v>1.94013352230391E-4</v>
      </c>
      <c r="G274">
        <f>daily_original_wrong!G274*total_from_MA_dashboard!G$24</f>
        <v>2.0769145142927927E-4</v>
      </c>
      <c r="H274">
        <f>daily_original_wrong!H274*total_from_MA_dashboard!H$24</f>
        <v>3.9266922149668124E-4</v>
      </c>
      <c r="J274" t="str">
        <f t="shared" si="27"/>
        <v>[</v>
      </c>
      <c r="K274" t="str">
        <f t="shared" si="28"/>
        <v>[0],</v>
      </c>
      <c r="L274" t="str">
        <f t="shared" si="26"/>
        <v>[0],</v>
      </c>
      <c r="M274" t="str">
        <f t="shared" si="26"/>
        <v>[0.000148627587275172],</v>
      </c>
      <c r="N274" t="str">
        <f t="shared" si="26"/>
        <v>[8.09485513166066E-05],</v>
      </c>
      <c r="O274" t="str">
        <f t="shared" si="26"/>
        <v>[0.000194013352230391],</v>
      </c>
      <c r="P274" t="str">
        <f t="shared" si="26"/>
        <v>[0.000207691451429279],</v>
      </c>
      <c r="Q274" t="str">
        <f t="shared" si="29"/>
        <v>[0.000392669221496681]</v>
      </c>
      <c r="R274" t="str">
        <f t="shared" si="30"/>
        <v>]</v>
      </c>
      <c r="S274" t="str">
        <f t="shared" si="31"/>
        <v>[[0],[0],[0.000148627587275172],[8.09485513166066E-05],[0.000194013352230391],[0.000207691451429279],[0.000392669221496681]]</v>
      </c>
    </row>
    <row r="275" spans="1:19" x14ac:dyDescent="0.2">
      <c r="A275" s="1" t="d">
        <v>2026-05-16</v>
      </c>
      <c r="B275">
        <f>daily_original_wrong!B275*total_from_MA_dashboard!B$24</f>
        <v>0</v>
      </c>
      <c r="C275">
        <f>daily_original_wrong!C275*total_from_MA_dashboard!C$24</f>
        <v>0</v>
      </c>
      <c r="D275">
        <f>daily_original_wrong!D275*total_from_MA_dashboard!D$24</f>
        <v>1.5179883539546212E-4</v>
      </c>
      <c r="E275">
        <f>daily_original_wrong!E275*total_from_MA_dashboard!E$24</f>
        <v>8.9206857590004286E-5</v>
      </c>
      <c r="F275">
        <f>daily_original_wrong!F275*total_from_MA_dashboard!F$24</f>
        <v>1.156003186773104E-4</v>
      </c>
      <c r="G275">
        <f>daily_original_wrong!G275*total_from_MA_dashboard!G$24</f>
        <v>8.0301235411872561E-5</v>
      </c>
      <c r="H275">
        <f>daily_original_wrong!H275*total_from_MA_dashboard!H$24</f>
        <v>2.4939097176879694E-4</v>
      </c>
      <c r="J275" t="str">
        <f t="shared" si="27"/>
        <v>[</v>
      </c>
      <c r="K275" t="str">
        <f t="shared" si="28"/>
        <v>[0],</v>
      </c>
      <c r="L275" t="str">
        <f t="shared" si="26"/>
        <v>[0],</v>
      </c>
      <c r="M275" t="str">
        <f t="shared" si="26"/>
        <v>[0.000151798835395462],</v>
      </c>
      <c r="N275" t="str">
        <f t="shared" si="26"/>
        <v>[8.92068575900043E-05],</v>
      </c>
      <c r="O275" t="str">
        <f t="shared" si="26"/>
        <v>[0.00011560031867731],</v>
      </c>
      <c r="P275" t="str">
        <f t="shared" si="26"/>
        <v>[8.03012354118726E-05],</v>
      </c>
      <c r="Q275" t="str">
        <f t="shared" si="29"/>
        <v>[0.000249390971768797]</v>
      </c>
      <c r="R275" t="str">
        <f t="shared" si="30"/>
        <v>]</v>
      </c>
      <c r="S275" t="str">
        <f t="shared" si="31"/>
        <v>[[0],[0],[0.000151798835395462],[8.92068575900043E-05],[0.00011560031867731],[8.03012354118726E-05],[0.000249390971768797]]</v>
      </c>
    </row>
    <row r="276" spans="1:19" x14ac:dyDescent="0.2">
      <c r="A276" s="1" t="d">
        <v>2026-05-17</v>
      </c>
      <c r="B276">
        <f>daily_original_wrong!B276*total_from_MA_dashboard!B$24</f>
        <v>0</v>
      </c>
      <c r="C276">
        <f>daily_original_wrong!C276*total_from_MA_dashboard!C$24</f>
        <v>0</v>
      </c>
      <c r="D276">
        <f>daily_original_wrong!D276*total_from_MA_dashboard!D$24</f>
        <v>1.5179883539546212E-4</v>
      </c>
      <c r="E276">
        <f>daily_original_wrong!E276*total_from_MA_dashboard!E$24</f>
        <v>8.9206857590004286E-5</v>
      </c>
      <c r="F276">
        <f>daily_original_wrong!F276*total_from_MA_dashboard!F$24</f>
        <v>1.156003186773104E-4</v>
      </c>
      <c r="G276">
        <f>daily_original_wrong!G276*total_from_MA_dashboard!G$24</f>
        <v>8.0301235411872561E-5</v>
      </c>
      <c r="H276">
        <f>daily_original_wrong!H276*total_from_MA_dashboard!H$24</f>
        <v>2.4939097176879694E-4</v>
      </c>
      <c r="J276" t="str">
        <f t="shared" si="27"/>
        <v>[</v>
      </c>
      <c r="K276" t="str">
        <f t="shared" si="28"/>
        <v>[0],</v>
      </c>
      <c r="L276" t="str">
        <f t="shared" si="26"/>
        <v>[0],</v>
      </c>
      <c r="M276" t="str">
        <f t="shared" si="26"/>
        <v>[0.000151798835395462],</v>
      </c>
      <c r="N276" t="str">
        <f t="shared" si="26"/>
        <v>[8.92068575900043E-05],</v>
      </c>
      <c r="O276" t="str">
        <f t="shared" si="26"/>
        <v>[0.00011560031867731],</v>
      </c>
      <c r="P276" t="str">
        <f t="shared" si="26"/>
        <v>[8.03012354118726E-05],</v>
      </c>
      <c r="Q276" t="str">
        <f t="shared" si="29"/>
        <v>[0.000249390971768797]</v>
      </c>
      <c r="R276" t="str">
        <f t="shared" si="30"/>
        <v>]</v>
      </c>
      <c r="S276" t="str">
        <f t="shared" si="31"/>
        <v>[[0],[0],[0.000151798835395462],[8.92068575900043E-05],[0.00011560031867731],[8.03012354118726E-05],[0.000249390971768797]]</v>
      </c>
    </row>
    <row r="277" spans="1:19" x14ac:dyDescent="0.2">
      <c r="A277" s="1" t="d">
        <v>2026-05-18</v>
      </c>
      <c r="B277">
        <f>daily_original_wrong!B277*total_from_MA_dashboard!B$24</f>
        <v>0</v>
      </c>
      <c r="C277">
        <f>daily_original_wrong!C277*total_from_MA_dashboard!C$24</f>
        <v>0</v>
      </c>
      <c r="D277">
        <f>daily_original_wrong!D277*total_from_MA_dashboard!D$24</f>
        <v>1.5179883539546212E-4</v>
      </c>
      <c r="E277">
        <f>daily_original_wrong!E277*total_from_MA_dashboard!E$24</f>
        <v>8.9206857590004286E-5</v>
      </c>
      <c r="F277">
        <f>daily_original_wrong!F277*total_from_MA_dashboard!F$24</f>
        <v>1.156003186773104E-4</v>
      </c>
      <c r="G277">
        <f>daily_original_wrong!G277*total_from_MA_dashboard!G$24</f>
        <v>8.0301235411872561E-5</v>
      </c>
      <c r="H277">
        <f>daily_original_wrong!H277*total_from_MA_dashboard!H$24</f>
        <v>2.4939097176879694E-4</v>
      </c>
      <c r="J277" t="str">
        <f t="shared" si="27"/>
        <v>[</v>
      </c>
      <c r="K277" t="str">
        <f t="shared" si="28"/>
        <v>[0],</v>
      </c>
      <c r="L277" t="str">
        <f t="shared" si="26"/>
        <v>[0],</v>
      </c>
      <c r="M277" t="str">
        <f t="shared" si="26"/>
        <v>[0.000151798835395462],</v>
      </c>
      <c r="N277" t="str">
        <f t="shared" si="26"/>
        <v>[8.92068575900043E-05],</v>
      </c>
      <c r="O277" t="str">
        <f t="shared" si="26"/>
        <v>[0.00011560031867731],</v>
      </c>
      <c r="P277" t="str">
        <f t="shared" si="26"/>
        <v>[8.03012354118726E-05],</v>
      </c>
      <c r="Q277" t="str">
        <f t="shared" si="29"/>
        <v>[0.000249390971768797]</v>
      </c>
      <c r="R277" t="str">
        <f t="shared" si="30"/>
        <v>]</v>
      </c>
      <c r="S277" t="str">
        <f t="shared" si="31"/>
        <v>[[0],[0],[0.000151798835395462],[8.92068575900043E-05],[0.00011560031867731],[8.03012354118726E-05],[0.000249390971768797]]</v>
      </c>
    </row>
    <row r="278" spans="1:19" x14ac:dyDescent="0.2">
      <c r="A278" s="1" t="d">
        <v>2026-05-19</v>
      </c>
      <c r="B278">
        <f>daily_original_wrong!B278*total_from_MA_dashboard!B$24</f>
        <v>0</v>
      </c>
      <c r="C278">
        <f>daily_original_wrong!C278*total_from_MA_dashboard!C$24</f>
        <v>0</v>
      </c>
      <c r="D278">
        <f>daily_original_wrong!D278*total_from_MA_dashboard!D$24</f>
        <v>1.5179883539546212E-4</v>
      </c>
      <c r="E278">
        <f>daily_original_wrong!E278*total_from_MA_dashboard!E$24</f>
        <v>8.9206857590004286E-5</v>
      </c>
      <c r="F278">
        <f>daily_original_wrong!F278*total_from_MA_dashboard!F$24</f>
        <v>1.156003186773104E-4</v>
      </c>
      <c r="G278">
        <f>daily_original_wrong!G278*total_from_MA_dashboard!G$24</f>
        <v>8.0301235411872561E-5</v>
      </c>
      <c r="H278">
        <f>daily_original_wrong!H278*total_from_MA_dashboard!H$24</f>
        <v>2.4939097176879694E-4</v>
      </c>
      <c r="J278" t="str">
        <f t="shared" si="27"/>
        <v>[</v>
      </c>
      <c r="K278" t="str">
        <f t="shared" si="28"/>
        <v>[0],</v>
      </c>
      <c r="L278" t="str">
        <f t="shared" si="26"/>
        <v>[0],</v>
      </c>
      <c r="M278" t="str">
        <f t="shared" si="26"/>
        <v>[0.000151798835395462],</v>
      </c>
      <c r="N278" t="str">
        <f t="shared" si="26"/>
        <v>[8.92068575900043E-05],</v>
      </c>
      <c r="O278" t="str">
        <f t="shared" si="26"/>
        <v>[0.00011560031867731],</v>
      </c>
      <c r="P278" t="str">
        <f t="shared" si="26"/>
        <v>[8.03012354118726E-05],</v>
      </c>
      <c r="Q278" t="str">
        <f t="shared" si="29"/>
        <v>[0.000249390971768797]</v>
      </c>
      <c r="R278" t="str">
        <f t="shared" si="30"/>
        <v>]</v>
      </c>
      <c r="S278" t="str">
        <f t="shared" si="31"/>
        <v>[[0],[0],[0.000151798835395462],[8.92068575900043E-05],[0.00011560031867731],[8.03012354118726E-05],[0.000249390971768797]]</v>
      </c>
    </row>
    <row r="279" spans="1:19" x14ac:dyDescent="0.2">
      <c r="A279" s="1" t="d">
        <v>2026-05-20</v>
      </c>
      <c r="B279">
        <f>daily_original_wrong!B279*total_from_MA_dashboard!B$24</f>
        <v>0</v>
      </c>
      <c r="C279">
        <f>daily_original_wrong!C279*total_from_MA_dashboard!C$24</f>
        <v>0</v>
      </c>
      <c r="D279">
        <f>daily_original_wrong!D279*total_from_MA_dashboard!D$24</f>
        <v>1.5179883539546212E-4</v>
      </c>
      <c r="E279">
        <f>daily_original_wrong!E279*total_from_MA_dashboard!E$24</f>
        <v>8.9206857590004286E-5</v>
      </c>
      <c r="F279">
        <f>daily_original_wrong!F279*total_from_MA_dashboard!F$24</f>
        <v>1.156003186773104E-4</v>
      </c>
      <c r="G279">
        <f>daily_original_wrong!G279*total_from_MA_dashboard!G$24</f>
        <v>8.0301235411872561E-5</v>
      </c>
      <c r="H279">
        <f>daily_original_wrong!H279*total_from_MA_dashboard!H$24</f>
        <v>2.4939097176879694E-4</v>
      </c>
      <c r="J279" t="str">
        <f t="shared" si="27"/>
        <v>[</v>
      </c>
      <c r="K279" t="str">
        <f t="shared" si="28"/>
        <v>[0],</v>
      </c>
      <c r="L279" t="str">
        <f t="shared" si="26"/>
        <v>[0],</v>
      </c>
      <c r="M279" t="str">
        <f t="shared" si="26"/>
        <v>[0.000151798835395462],</v>
      </c>
      <c r="N279" t="str">
        <f t="shared" si="26"/>
        <v>[8.92068575900043E-05],</v>
      </c>
      <c r="O279" t="str">
        <f t="shared" si="26"/>
        <v>[0.00011560031867731],</v>
      </c>
      <c r="P279" t="str">
        <f t="shared" si="26"/>
        <v>[8.03012354118726E-05],</v>
      </c>
      <c r="Q279" t="str">
        <f t="shared" si="29"/>
        <v>[0.000249390971768797]</v>
      </c>
      <c r="R279" t="str">
        <f t="shared" si="30"/>
        <v>]</v>
      </c>
      <c r="S279" t="str">
        <f t="shared" si="31"/>
        <v>[[0],[0],[0.000151798835395462],[8.92068575900043E-05],[0.00011560031867731],[8.03012354118726E-05],[0.000249390971768797]]</v>
      </c>
    </row>
    <row r="280" spans="1:19" x14ac:dyDescent="0.2">
      <c r="A280" s="1" t="d">
        <v>2026-05-21</v>
      </c>
      <c r="B280">
        <f>daily_original_wrong!B280*total_from_MA_dashboard!B$24</f>
        <v>0</v>
      </c>
      <c r="C280">
        <f>daily_original_wrong!C280*total_from_MA_dashboard!C$24</f>
        <v>0</v>
      </c>
      <c r="D280">
        <f>daily_original_wrong!D280*total_from_MA_dashboard!D$24</f>
        <v>1.5179883539546212E-4</v>
      </c>
      <c r="E280">
        <f>daily_original_wrong!E280*total_from_MA_dashboard!E$24</f>
        <v>8.9206857590004286E-5</v>
      </c>
      <c r="F280">
        <f>daily_original_wrong!F280*total_from_MA_dashboard!F$24</f>
        <v>1.156003186773104E-4</v>
      </c>
      <c r="G280">
        <f>daily_original_wrong!G280*total_from_MA_dashboard!G$24</f>
        <v>8.0301235411872561E-5</v>
      </c>
      <c r="H280">
        <f>daily_original_wrong!H280*total_from_MA_dashboard!H$24</f>
        <v>2.4939097176879694E-4</v>
      </c>
      <c r="J280" t="str">
        <f t="shared" si="27"/>
        <v>[</v>
      </c>
      <c r="K280" t="str">
        <f t="shared" si="28"/>
        <v>[0],</v>
      </c>
      <c r="L280" t="str">
        <f t="shared" si="26"/>
        <v>[0],</v>
      </c>
      <c r="M280" t="str">
        <f t="shared" si="26"/>
        <v>[0.000151798835395462],</v>
      </c>
      <c r="N280" t="str">
        <f t="shared" si="26"/>
        <v>[8.92068575900043E-05],</v>
      </c>
      <c r="O280" t="str">
        <f t="shared" si="26"/>
        <v>[0.00011560031867731],</v>
      </c>
      <c r="P280" t="str">
        <f t="shared" si="26"/>
        <v>[8.03012354118726E-05],</v>
      </c>
      <c r="Q280" t="str">
        <f t="shared" si="29"/>
        <v>[0.000249390971768797]</v>
      </c>
      <c r="R280" t="str">
        <f t="shared" si="30"/>
        <v>]</v>
      </c>
      <c r="S280" t="str">
        <f t="shared" si="31"/>
        <v>[[0],[0],[0.000151798835395462],[8.92068575900043E-05],[0.00011560031867731],[8.03012354118726E-05],[0.000249390971768797]]</v>
      </c>
    </row>
    <row r="281" spans="1:19" x14ac:dyDescent="0.2">
      <c r="A281" s="1" t="d">
        <v>2026-05-22</v>
      </c>
      <c r="B281">
        <f>daily_original_wrong!B281*total_from_MA_dashboard!B$24</f>
        <v>0</v>
      </c>
      <c r="C281">
        <f>daily_original_wrong!C281*total_from_MA_dashboard!C$24</f>
        <v>0</v>
      </c>
      <c r="D281">
        <f>daily_original_wrong!D281*total_from_MA_dashboard!D$24</f>
        <v>1.5179883539546212E-4</v>
      </c>
      <c r="E281">
        <f>daily_original_wrong!E281*total_from_MA_dashboard!E$24</f>
        <v>8.9206857590004286E-5</v>
      </c>
      <c r="F281">
        <f>daily_original_wrong!F281*total_from_MA_dashboard!F$24</f>
        <v>1.156003186773104E-4</v>
      </c>
      <c r="G281">
        <f>daily_original_wrong!G281*total_from_MA_dashboard!G$24</f>
        <v>8.0301235411872561E-5</v>
      </c>
      <c r="H281">
        <f>daily_original_wrong!H281*total_from_MA_dashboard!H$24</f>
        <v>2.4939097176879694E-4</v>
      </c>
      <c r="J281" t="str">
        <f t="shared" si="27"/>
        <v>[</v>
      </c>
      <c r="K281" t="str">
        <f t="shared" si="28"/>
        <v>[0],</v>
      </c>
      <c r="L281" t="str">
        <f t="shared" si="26"/>
        <v>[0],</v>
      </c>
      <c r="M281" t="str">
        <f t="shared" si="26"/>
        <v>[0.000151798835395462],</v>
      </c>
      <c r="N281" t="str">
        <f t="shared" si="26"/>
        <v>[8.92068575900043E-05],</v>
      </c>
      <c r="O281" t="str">
        <f t="shared" si="26"/>
        <v>[0.00011560031867731],</v>
      </c>
      <c r="P281" t="str">
        <f t="shared" si="26"/>
        <v>[8.03012354118726E-05],</v>
      </c>
      <c r="Q281" t="str">
        <f t="shared" si="29"/>
        <v>[0.000249390971768797]</v>
      </c>
      <c r="R281" t="str">
        <f t="shared" si="30"/>
        <v>]</v>
      </c>
      <c r="S281" t="str">
        <f t="shared" si="31"/>
        <v>[[0],[0],[0.000151798835395462],[8.92068575900043E-05],[0.00011560031867731],[8.03012354118726E-05],[0.000249390971768797]]</v>
      </c>
    </row>
    <row r="282" spans="1:19" x14ac:dyDescent="0.2">
      <c r="A282" s="1" t="d">
        <v>2026-05-23</v>
      </c>
      <c r="B282">
        <f>daily_original_wrong!B282*total_from_MA_dashboard!B$24</f>
        <v>0</v>
      </c>
      <c r="C282">
        <f>daily_original_wrong!C282*total_from_MA_dashboard!C$24</f>
        <v>0</v>
      </c>
      <c r="D282">
        <f>daily_original_wrong!D282*total_from_MA_dashboard!D$24</f>
        <v>1.5536579196781232E-4</v>
      </c>
      <c r="E282">
        <f>daily_original_wrong!E282*total_from_MA_dashboard!E$24</f>
        <v>9.7399202950675194E-5</v>
      </c>
      <c r="F282">
        <f>daily_original_wrong!F282*total_from_MA_dashboard!F$24</f>
        <v>6.1360511302524715E-5</v>
      </c>
      <c r="G282">
        <f>daily_original_wrong!G282*total_from_MA_dashboard!G$24</f>
        <v>4.6858250296049155E-6</v>
      </c>
      <c r="H282">
        <f>daily_original_wrong!H282*total_from_MA_dashboard!H$24</f>
        <v>1.4628721879426013E-4</v>
      </c>
      <c r="J282" t="str">
        <f t="shared" si="27"/>
        <v>[</v>
      </c>
      <c r="K282" t="str">
        <f t="shared" si="28"/>
        <v>[0],</v>
      </c>
      <c r="L282" t="str">
        <f t="shared" si="26"/>
        <v>[0],</v>
      </c>
      <c r="M282" t="str">
        <f t="shared" si="26"/>
        <v>[0.000155365791967812],</v>
      </c>
      <c r="N282" t="str">
        <f t="shared" si="26"/>
        <v>[9.73992029506752E-05],</v>
      </c>
      <c r="O282" t="str">
        <f t="shared" si="26"/>
        <v>[6.13605113025247E-05],</v>
      </c>
      <c r="P282" t="str">
        <f t="shared" si="26"/>
        <v>[4.68582502960492E-06],</v>
      </c>
      <c r="Q282" t="str">
        <f t="shared" si="29"/>
        <v>[0.00014628721879426]</v>
      </c>
      <c r="R282" t="str">
        <f t="shared" si="30"/>
        <v>]</v>
      </c>
      <c r="S282" t="str">
        <f t="shared" si="31"/>
        <v>[[0],[0],[0.000155365791967812],[9.73992029506752E-05],[6.13605113025247E-05],[4.68582502960492E-06],[0.00014628721879426]]</v>
      </c>
    </row>
    <row r="283" spans="1:19" x14ac:dyDescent="0.2">
      <c r="A283" s="1" t="d">
        <v>2026-05-24</v>
      </c>
      <c r="B283">
        <f>daily_original_wrong!B283*total_from_MA_dashboard!B$24</f>
        <v>0</v>
      </c>
      <c r="C283">
        <f>daily_original_wrong!C283*total_from_MA_dashboard!C$24</f>
        <v>0</v>
      </c>
      <c r="D283">
        <f>daily_original_wrong!D283*total_from_MA_dashboard!D$24</f>
        <v>1.5536579196781232E-4</v>
      </c>
      <c r="E283">
        <f>daily_original_wrong!E283*total_from_MA_dashboard!E$24</f>
        <v>9.7399202950675194E-5</v>
      </c>
      <c r="F283">
        <f>daily_original_wrong!F283*total_from_MA_dashboard!F$24</f>
        <v>6.1360511302524715E-5</v>
      </c>
      <c r="G283">
        <f>daily_original_wrong!G283*total_from_MA_dashboard!G$24</f>
        <v>4.6858250296049155E-6</v>
      </c>
      <c r="H283">
        <f>daily_original_wrong!H283*total_from_MA_dashboard!H$24</f>
        <v>1.4628721879426013E-4</v>
      </c>
      <c r="J283" t="str">
        <f t="shared" si="27"/>
        <v>[</v>
      </c>
      <c r="K283" t="str">
        <f t="shared" si="28"/>
        <v>[0],</v>
      </c>
      <c r="L283" t="str">
        <f t="shared" si="26"/>
        <v>[0],</v>
      </c>
      <c r="M283" t="str">
        <f t="shared" si="26"/>
        <v>[0.000155365791967812],</v>
      </c>
      <c r="N283" t="str">
        <f t="shared" si="26"/>
        <v>[9.73992029506752E-05],</v>
      </c>
      <c r="O283" t="str">
        <f t="shared" si="26"/>
        <v>[6.13605113025247E-05],</v>
      </c>
      <c r="P283" t="str">
        <f t="shared" si="26"/>
        <v>[4.68582502960492E-06],</v>
      </c>
      <c r="Q283" t="str">
        <f t="shared" si="29"/>
        <v>[0.00014628721879426]</v>
      </c>
      <c r="R283" t="str">
        <f t="shared" si="30"/>
        <v>]</v>
      </c>
      <c r="S283" t="str">
        <f t="shared" si="31"/>
        <v>[[0],[0],[0.000155365791967812],[9.73992029506752E-05],[6.13605113025247E-05],[4.68582502960492E-06],[0.00014628721879426]]</v>
      </c>
    </row>
    <row r="284" spans="1:19" x14ac:dyDescent="0.2">
      <c r="A284" s="1" t="d">
        <v>2026-05-25</v>
      </c>
      <c r="B284">
        <f>daily_original_wrong!B284*total_from_MA_dashboard!B$24</f>
        <v>0</v>
      </c>
      <c r="C284">
        <f>daily_original_wrong!C284*total_from_MA_dashboard!C$24</f>
        <v>0</v>
      </c>
      <c r="D284">
        <f>daily_original_wrong!D284*total_from_MA_dashboard!D$24</f>
        <v>1.5536579196781232E-4</v>
      </c>
      <c r="E284">
        <f>daily_original_wrong!E284*total_from_MA_dashboard!E$24</f>
        <v>9.7399202950675194E-5</v>
      </c>
      <c r="F284">
        <f>daily_original_wrong!F284*total_from_MA_dashboard!F$24</f>
        <v>6.1360511302524715E-5</v>
      </c>
      <c r="G284">
        <f>daily_original_wrong!G284*total_from_MA_dashboard!G$24</f>
        <v>4.6858250296049155E-6</v>
      </c>
      <c r="H284">
        <f>daily_original_wrong!H284*total_from_MA_dashboard!H$24</f>
        <v>1.4628721879426013E-4</v>
      </c>
      <c r="J284" t="str">
        <f t="shared" si="27"/>
        <v>[</v>
      </c>
      <c r="K284" t="str">
        <f t="shared" si="28"/>
        <v>[0],</v>
      </c>
      <c r="L284" t="str">
        <f t="shared" si="26"/>
        <v>[0],</v>
      </c>
      <c r="M284" t="str">
        <f t="shared" si="26"/>
        <v>[0.000155365791967812],</v>
      </c>
      <c r="N284" t="str">
        <f t="shared" si="26"/>
        <v>[9.73992029506752E-05],</v>
      </c>
      <c r="O284" t="str">
        <f t="shared" si="26"/>
        <v>[6.13605113025247E-05],</v>
      </c>
      <c r="P284" t="str">
        <f t="shared" si="26"/>
        <v>[4.68582502960492E-06],</v>
      </c>
      <c r="Q284" t="str">
        <f t="shared" si="29"/>
        <v>[0.00014628721879426]</v>
      </c>
      <c r="R284" t="str">
        <f t="shared" si="30"/>
        <v>]</v>
      </c>
      <c r="S284" t="str">
        <f t="shared" si="31"/>
        <v>[[0],[0],[0.000155365791967812],[9.73992029506752E-05],[6.13605113025247E-05],[4.68582502960492E-06],[0.00014628721879426]]</v>
      </c>
    </row>
    <row r="285" spans="1:19" x14ac:dyDescent="0.2">
      <c r="A285" s="1" t="d">
        <v>2026-05-26</v>
      </c>
      <c r="B285">
        <f>daily_original_wrong!B285*total_from_MA_dashboard!B$24</f>
        <v>0</v>
      </c>
      <c r="C285">
        <f>daily_original_wrong!C285*total_from_MA_dashboard!C$24</f>
        <v>0</v>
      </c>
      <c r="D285">
        <f>daily_original_wrong!D285*total_from_MA_dashboard!D$24</f>
        <v>1.5536579196781232E-4</v>
      </c>
      <c r="E285">
        <f>daily_original_wrong!E285*total_from_MA_dashboard!E$24</f>
        <v>9.7399202950675194E-5</v>
      </c>
      <c r="F285">
        <f>daily_original_wrong!F285*total_from_MA_dashboard!F$24</f>
        <v>6.1360511302524715E-5</v>
      </c>
      <c r="G285">
        <f>daily_original_wrong!G285*total_from_MA_dashboard!G$24</f>
        <v>4.6858250296049155E-6</v>
      </c>
      <c r="H285">
        <f>daily_original_wrong!H285*total_from_MA_dashboard!H$24</f>
        <v>1.4628721879426013E-4</v>
      </c>
      <c r="J285" t="str">
        <f t="shared" si="27"/>
        <v>[</v>
      </c>
      <c r="K285" t="str">
        <f t="shared" si="28"/>
        <v>[0],</v>
      </c>
      <c r="L285" t="str">
        <f t="shared" si="26"/>
        <v>[0],</v>
      </c>
      <c r="M285" t="str">
        <f t="shared" si="26"/>
        <v>[0.000155365791967812],</v>
      </c>
      <c r="N285" t="str">
        <f t="shared" si="26"/>
        <v>[9.73992029506752E-05],</v>
      </c>
      <c r="O285" t="str">
        <f t="shared" si="26"/>
        <v>[6.13605113025247E-05],</v>
      </c>
      <c r="P285" t="str">
        <f t="shared" si="26"/>
        <v>[4.68582502960492E-06],</v>
      </c>
      <c r="Q285" t="str">
        <f t="shared" si="29"/>
        <v>[0.00014628721879426]</v>
      </c>
      <c r="R285" t="str">
        <f t="shared" si="30"/>
        <v>]</v>
      </c>
      <c r="S285" t="str">
        <f t="shared" si="31"/>
        <v>[[0],[0],[0.000155365791967812],[9.73992029506752E-05],[6.13605113025247E-05],[4.68582502960492E-06],[0.00014628721879426]]</v>
      </c>
    </row>
    <row r="286" spans="1:19" x14ac:dyDescent="0.2">
      <c r="A286" s="1" t="d">
        <v>2026-05-27</v>
      </c>
      <c r="B286">
        <f>daily_original_wrong!B286*total_from_MA_dashboard!B$24</f>
        <v>0</v>
      </c>
      <c r="C286">
        <f>daily_original_wrong!C286*total_from_MA_dashboard!C$24</f>
        <v>0</v>
      </c>
      <c r="D286">
        <f>daily_original_wrong!D286*total_from_MA_dashboard!D$24</f>
        <v>1.5536579196781232E-4</v>
      </c>
      <c r="E286">
        <f>daily_original_wrong!E286*total_from_MA_dashboard!E$24</f>
        <v>9.7399202950675194E-5</v>
      </c>
      <c r="F286">
        <f>daily_original_wrong!F286*total_from_MA_dashboard!F$24</f>
        <v>6.1360511302524715E-5</v>
      </c>
      <c r="G286">
        <f>daily_original_wrong!G286*total_from_MA_dashboard!G$24</f>
        <v>4.6858250296049155E-6</v>
      </c>
      <c r="H286">
        <f>daily_original_wrong!H286*total_from_MA_dashboard!H$24</f>
        <v>1.4628721879426013E-4</v>
      </c>
      <c r="J286" t="str">
        <f t="shared" si="27"/>
        <v>[</v>
      </c>
      <c r="K286" t="str">
        <f t="shared" si="28"/>
        <v>[0],</v>
      </c>
      <c r="L286" t="str">
        <f t="shared" si="26"/>
        <v>[0],</v>
      </c>
      <c r="M286" t="str">
        <f t="shared" si="26"/>
        <v>[0.000155365791967812],</v>
      </c>
      <c r="N286" t="str">
        <f t="shared" si="26"/>
        <v>[9.73992029506752E-05],</v>
      </c>
      <c r="O286" t="str">
        <f t="shared" si="26"/>
        <v>[6.13605113025247E-05],</v>
      </c>
      <c r="P286" t="str">
        <f t="shared" si="26"/>
        <v>[4.68582502960492E-06],</v>
      </c>
      <c r="Q286" t="str">
        <f t="shared" si="29"/>
        <v>[0.00014628721879426]</v>
      </c>
      <c r="R286" t="str">
        <f t="shared" si="30"/>
        <v>]</v>
      </c>
      <c r="S286" t="str">
        <f t="shared" si="31"/>
        <v>[[0],[0],[0.000155365791967812],[9.73992029506752E-05],[6.13605113025247E-05],[4.68582502960492E-06],[0.00014628721879426]]</v>
      </c>
    </row>
    <row r="287" spans="1:19" x14ac:dyDescent="0.2">
      <c r="A287" s="1" t="d">
        <v>2026-05-28</v>
      </c>
      <c r="B287">
        <f>daily_original_wrong!B287*total_from_MA_dashboard!B$24</f>
        <v>0</v>
      </c>
      <c r="C287">
        <f>daily_original_wrong!C287*total_from_MA_dashboard!C$24</f>
        <v>0</v>
      </c>
      <c r="D287">
        <f>daily_original_wrong!D287*total_from_MA_dashboard!D$24</f>
        <v>1.5536579196781232E-4</v>
      </c>
      <c r="E287">
        <f>daily_original_wrong!E287*total_from_MA_dashboard!E$24</f>
        <v>9.7399202950675194E-5</v>
      </c>
      <c r="F287">
        <f>daily_original_wrong!F287*total_from_MA_dashboard!F$24</f>
        <v>6.1360511302524715E-5</v>
      </c>
      <c r="G287">
        <f>daily_original_wrong!G287*total_from_MA_dashboard!G$24</f>
        <v>4.6858250296049155E-6</v>
      </c>
      <c r="H287">
        <f>daily_original_wrong!H287*total_from_MA_dashboard!H$24</f>
        <v>1.4628721879426013E-4</v>
      </c>
      <c r="J287" t="str">
        <f t="shared" si="27"/>
        <v>[</v>
      </c>
      <c r="K287" t="str">
        <f t="shared" si="28"/>
        <v>[0],</v>
      </c>
      <c r="L287" t="str">
        <f t="shared" si="26"/>
        <v>[0],</v>
      </c>
      <c r="M287" t="str">
        <f t="shared" si="26"/>
        <v>[0.000155365791967812],</v>
      </c>
      <c r="N287" t="str">
        <f t="shared" si="26"/>
        <v>[9.73992029506752E-05],</v>
      </c>
      <c r="O287" t="str">
        <f t="shared" si="26"/>
        <v>[6.13605113025247E-05],</v>
      </c>
      <c r="P287" t="str">
        <f t="shared" si="26"/>
        <v>[4.68582502960492E-06],</v>
      </c>
      <c r="Q287" t="str">
        <f t="shared" si="29"/>
        <v>[0.00014628721879426]</v>
      </c>
      <c r="R287" t="str">
        <f t="shared" si="30"/>
        <v>]</v>
      </c>
      <c r="S287" t="str">
        <f t="shared" si="31"/>
        <v>[[0],[0],[0.000155365791967812],[9.73992029506752E-05],[6.13605113025247E-05],[4.68582502960492E-06],[0.00014628721879426]]</v>
      </c>
    </row>
    <row r="288" spans="1:19" x14ac:dyDescent="0.2">
      <c r="A288" s="1" t="d">
        <v>2026-05-29</v>
      </c>
      <c r="B288">
        <f>daily_original_wrong!B288*total_from_MA_dashboard!B$24</f>
        <v>0</v>
      </c>
      <c r="C288">
        <f>daily_original_wrong!C288*total_from_MA_dashboard!C$24</f>
        <v>0</v>
      </c>
      <c r="D288">
        <f>daily_original_wrong!D288*total_from_MA_dashboard!D$24</f>
        <v>1.5536579196781232E-4</v>
      </c>
      <c r="E288">
        <f>daily_original_wrong!E288*total_from_MA_dashboard!E$24</f>
        <v>9.7399202950675194E-5</v>
      </c>
      <c r="F288">
        <f>daily_original_wrong!F288*total_from_MA_dashboard!F$24</f>
        <v>6.1360511302524715E-5</v>
      </c>
      <c r="G288">
        <f>daily_original_wrong!G288*total_from_MA_dashboard!G$24</f>
        <v>4.6858250296049155E-6</v>
      </c>
      <c r="H288">
        <f>daily_original_wrong!H288*total_from_MA_dashboard!H$24</f>
        <v>1.4628721879426013E-4</v>
      </c>
      <c r="J288" t="str">
        <f t="shared" si="27"/>
        <v>[</v>
      </c>
      <c r="K288" t="str">
        <f t="shared" si="28"/>
        <v>[0],</v>
      </c>
      <c r="L288" t="str">
        <f t="shared" si="26"/>
        <v>[0],</v>
      </c>
      <c r="M288" t="str">
        <f t="shared" si="26"/>
        <v>[0.000155365791967812],</v>
      </c>
      <c r="N288" t="str">
        <f t="shared" si="26"/>
        <v>[9.73992029506752E-05],</v>
      </c>
      <c r="O288" t="str">
        <f t="shared" si="26"/>
        <v>[6.13605113025247E-05],</v>
      </c>
      <c r="P288" t="str">
        <f t="shared" si="26"/>
        <v>[4.68582502960492E-06],</v>
      </c>
      <c r="Q288" t="str">
        <f t="shared" si="29"/>
        <v>[0.00014628721879426]</v>
      </c>
      <c r="R288" t="str">
        <f t="shared" si="30"/>
        <v>]</v>
      </c>
      <c r="S288" t="str">
        <f t="shared" si="31"/>
        <v>[[0],[0],[0.000155365791967812],[9.73992029506752E-05],[6.13605113025247E-05],[4.68582502960492E-06],[0.00014628721879426]]</v>
      </c>
    </row>
    <row r="289" spans="1:19" x14ac:dyDescent="0.2">
      <c r="A289" s="1" t="d">
        <v>2026-05-30</v>
      </c>
      <c r="B289">
        <f>daily_original_wrong!B289*total_from_MA_dashboard!B$24</f>
        <v>0</v>
      </c>
      <c r="C289">
        <f>daily_original_wrong!C289*total_from_MA_dashboard!C$24</f>
        <v>0</v>
      </c>
      <c r="D289">
        <f>daily_original_wrong!D289*total_from_MA_dashboard!D$24</f>
        <v>3.1832715694106174E-4</v>
      </c>
      <c r="E289">
        <f>daily_original_wrong!E289*total_from_MA_dashboard!E$24</f>
        <v>2.0464373173495536E-4</v>
      </c>
      <c r="F289">
        <f>daily_original_wrong!F289*total_from_MA_dashboard!F$24</f>
        <v>9.0284340519960704E-5</v>
      </c>
      <c r="G289">
        <f>daily_original_wrong!G289*total_from_MA_dashboard!G$24</f>
        <v>2.3429125148024578E-6</v>
      </c>
      <c r="H289">
        <f>daily_original_wrong!H289*total_from_MA_dashboard!H$24</f>
        <v>2.1864402623882068E-4</v>
      </c>
      <c r="J289" t="str">
        <f t="shared" si="27"/>
        <v>[</v>
      </c>
      <c r="K289" t="str">
        <f t="shared" si="28"/>
        <v>[0],</v>
      </c>
      <c r="L289" t="str">
        <f t="shared" si="26"/>
        <v>[0],</v>
      </c>
      <c r="M289" t="str">
        <f t="shared" si="26"/>
        <v>[0.000318327156941062],</v>
      </c>
      <c r="N289" t="str">
        <f t="shared" si="26"/>
        <v>[0.000204643731734955],</v>
      </c>
      <c r="O289" t="str">
        <f t="shared" si="26"/>
        <v>[9.02843405199607E-05],</v>
      </c>
      <c r="P289" t="str">
        <f t="shared" si="26"/>
        <v>[2.34291251480246E-06],</v>
      </c>
      <c r="Q289" t="str">
        <f t="shared" si="29"/>
        <v>[0.000218644026238821]</v>
      </c>
      <c r="R289" t="str">
        <f t="shared" si="30"/>
        <v>]</v>
      </c>
      <c r="S289" t="str">
        <f t="shared" si="31"/>
        <v>[[0],[0],[0.000318327156941062],[0.000204643731734955],[9.02843405199607E-05],[2.34291251480246E-06],[0.000218644026238821]]</v>
      </c>
    </row>
    <row r="290" spans="1:19" x14ac:dyDescent="0.2">
      <c r="A290" s="1" t="d">
        <v>2026-05-31</v>
      </c>
      <c r="B290">
        <f>daily_original_wrong!B290*total_from_MA_dashboard!B$24</f>
        <v>0</v>
      </c>
      <c r="C290">
        <f>daily_original_wrong!C290*total_from_MA_dashboard!C$24</f>
        <v>0</v>
      </c>
      <c r="D290">
        <f>daily_original_wrong!D290*total_from_MA_dashboard!D$24</f>
        <v>3.1832715694106174E-4</v>
      </c>
      <c r="E290">
        <f>daily_original_wrong!E290*total_from_MA_dashboard!E$24</f>
        <v>2.0464373173495536E-4</v>
      </c>
      <c r="F290">
        <f>daily_original_wrong!F290*total_from_MA_dashboard!F$24</f>
        <v>9.0284340519960704E-5</v>
      </c>
      <c r="G290">
        <f>daily_original_wrong!G290*total_from_MA_dashboard!G$24</f>
        <v>2.3429125148024578E-6</v>
      </c>
      <c r="H290">
        <f>daily_original_wrong!H290*total_from_MA_dashboard!H$24</f>
        <v>2.1864402623882068E-4</v>
      </c>
      <c r="J290" t="str">
        <f t="shared" si="27"/>
        <v>[</v>
      </c>
      <c r="K290" t="str">
        <f t="shared" si="28"/>
        <v>[0],</v>
      </c>
      <c r="L290" t="str">
        <f t="shared" si="26"/>
        <v>[0],</v>
      </c>
      <c r="M290" t="str">
        <f t="shared" si="26"/>
        <v>[0.000318327156941062],</v>
      </c>
      <c r="N290" t="str">
        <f t="shared" si="26"/>
        <v>[0.000204643731734955],</v>
      </c>
      <c r="O290" t="str">
        <f t="shared" si="26"/>
        <v>[9.02843405199607E-05],</v>
      </c>
      <c r="P290" t="str">
        <f t="shared" si="26"/>
        <v>[2.34291251480246E-06],</v>
      </c>
      <c r="Q290" t="str">
        <f t="shared" si="29"/>
        <v>[0.000218644026238821]</v>
      </c>
      <c r="R290" t="str">
        <f t="shared" si="30"/>
        <v>]</v>
      </c>
      <c r="S290" t="str">
        <f t="shared" si="31"/>
        <v>[[0],[0],[0.000318327156941062],[0.000204643731734955],[9.02843405199607E-05],[2.34291251480246E-06],[0.000218644026238821]]</v>
      </c>
    </row>
    <row r="291" spans="1:19" x14ac:dyDescent="0.2">
      <c r="A291" s="1" t="d">
        <v>2026-06-01</v>
      </c>
      <c r="B291">
        <f>daily_original_wrong!B291*total_from_MA_dashboard!B$24</f>
        <v>0</v>
      </c>
      <c r="C291">
        <f>daily_original_wrong!C291*total_from_MA_dashboard!C$24</f>
        <v>0</v>
      </c>
      <c r="D291">
        <f>daily_original_wrong!D291*total_from_MA_dashboard!D$24</f>
        <v>3.1832715694106174E-4</v>
      </c>
      <c r="E291">
        <f>daily_original_wrong!E291*total_from_MA_dashboard!E$24</f>
        <v>2.0464373173495536E-4</v>
      </c>
      <c r="F291">
        <f>daily_original_wrong!F291*total_from_MA_dashboard!F$24</f>
        <v>9.0284340519960704E-5</v>
      </c>
      <c r="G291">
        <f>daily_original_wrong!G291*total_from_MA_dashboard!G$24</f>
        <v>2.3429125148024578E-6</v>
      </c>
      <c r="H291">
        <f>daily_original_wrong!H291*total_from_MA_dashboard!H$24</f>
        <v>2.1864402623882068E-4</v>
      </c>
      <c r="J291" t="str">
        <f t="shared" si="27"/>
        <v>[</v>
      </c>
      <c r="K291" t="str">
        <f t="shared" si="28"/>
        <v>[0],</v>
      </c>
      <c r="L291" t="str">
        <f t="shared" si="26"/>
        <v>[0],</v>
      </c>
      <c r="M291" t="str">
        <f t="shared" si="26"/>
        <v>[0.000318327156941062],</v>
      </c>
      <c r="N291" t="str">
        <f t="shared" si="26"/>
        <v>[0.000204643731734955],</v>
      </c>
      <c r="O291" t="str">
        <f t="shared" si="26"/>
        <v>[9.02843405199607E-05],</v>
      </c>
      <c r="P291" t="str">
        <f t="shared" si="26"/>
        <v>[2.34291251480246E-06],</v>
      </c>
      <c r="Q291" t="str">
        <f t="shared" si="29"/>
        <v>[0.000218644026238821]</v>
      </c>
      <c r="R291" t="str">
        <f t="shared" si="30"/>
        <v>]</v>
      </c>
      <c r="S291" t="str">
        <f t="shared" si="31"/>
        <v>[[0],[0],[0.000318327156941062],[0.000204643731734955],[9.02843405199607E-05],[2.34291251480246E-06],[0.000218644026238821]]</v>
      </c>
    </row>
    <row r="292" spans="1:19" x14ac:dyDescent="0.2">
      <c r="A292" s="1" t="d">
        <v>2026-06-02</v>
      </c>
      <c r="B292">
        <f>daily_original_wrong!B292*total_from_MA_dashboard!B$24</f>
        <v>0</v>
      </c>
      <c r="C292">
        <f>daily_original_wrong!C292*total_from_MA_dashboard!C$24</f>
        <v>0</v>
      </c>
      <c r="D292">
        <f>daily_original_wrong!D292*total_from_MA_dashboard!D$24</f>
        <v>3.1832715694106174E-4</v>
      </c>
      <c r="E292">
        <f>daily_original_wrong!E292*total_from_MA_dashboard!E$24</f>
        <v>2.0464373173495536E-4</v>
      </c>
      <c r="F292">
        <f>daily_original_wrong!F292*total_from_MA_dashboard!F$24</f>
        <v>9.0284340519960704E-5</v>
      </c>
      <c r="G292">
        <f>daily_original_wrong!G292*total_from_MA_dashboard!G$24</f>
        <v>2.3429125148024578E-6</v>
      </c>
      <c r="H292">
        <f>daily_original_wrong!H292*total_from_MA_dashboard!H$24</f>
        <v>2.1864402623882068E-4</v>
      </c>
      <c r="J292" t="str">
        <f t="shared" si="27"/>
        <v>[</v>
      </c>
      <c r="K292" t="str">
        <f t="shared" si="28"/>
        <v>[0],</v>
      </c>
      <c r="L292" t="str">
        <f t="shared" si="26"/>
        <v>[0],</v>
      </c>
      <c r="M292" t="str">
        <f t="shared" si="26"/>
        <v>[0.000318327156941062],</v>
      </c>
      <c r="N292" t="str">
        <f t="shared" si="26"/>
        <v>[0.000204643731734955],</v>
      </c>
      <c r="O292" t="str">
        <f t="shared" si="26"/>
        <v>[9.02843405199607E-05],</v>
      </c>
      <c r="P292" t="str">
        <f t="shared" si="26"/>
        <v>[2.34291251480246E-06],</v>
      </c>
      <c r="Q292" t="str">
        <f t="shared" si="29"/>
        <v>[0.000218644026238821]</v>
      </c>
      <c r="R292" t="str">
        <f t="shared" si="30"/>
        <v>]</v>
      </c>
      <c r="S292" t="str">
        <f t="shared" si="31"/>
        <v>[[0],[0],[0.000318327156941062],[0.000204643731734955],[9.02843405199607E-05],[2.34291251480246E-06],[0.000218644026238821]]</v>
      </c>
    </row>
    <row r="293" spans="1:19" x14ac:dyDescent="0.2">
      <c r="A293" s="1" t="d">
        <v>2026-06-03</v>
      </c>
      <c r="B293">
        <f>daily_original_wrong!B293*total_from_MA_dashboard!B$24</f>
        <v>0</v>
      </c>
      <c r="C293">
        <f>daily_original_wrong!C293*total_from_MA_dashboard!C$24</f>
        <v>0</v>
      </c>
      <c r="D293">
        <f>daily_original_wrong!D293*total_from_MA_dashboard!D$24</f>
        <v>3.1832715694106174E-4</v>
      </c>
      <c r="E293">
        <f>daily_original_wrong!E293*total_from_MA_dashboard!E$24</f>
        <v>2.0464373173495536E-4</v>
      </c>
      <c r="F293">
        <f>daily_original_wrong!F293*total_from_MA_dashboard!F$24</f>
        <v>9.0284340519960704E-5</v>
      </c>
      <c r="G293">
        <f>daily_original_wrong!G293*total_from_MA_dashboard!G$24</f>
        <v>2.3429125148024578E-6</v>
      </c>
      <c r="H293">
        <f>daily_original_wrong!H293*total_from_MA_dashboard!H$24</f>
        <v>2.1864402623882068E-4</v>
      </c>
      <c r="J293" t="str">
        <f t="shared" si="27"/>
        <v>[</v>
      </c>
      <c r="K293" t="str">
        <f t="shared" si="28"/>
        <v>[0],</v>
      </c>
      <c r="L293" t="str">
        <f t="shared" si="26"/>
        <v>[0],</v>
      </c>
      <c r="M293" t="str">
        <f t="shared" si="26"/>
        <v>[0.000318327156941062],</v>
      </c>
      <c r="N293" t="str">
        <f t="shared" si="26"/>
        <v>[0.000204643731734955],</v>
      </c>
      <c r="O293" t="str">
        <f t="shared" si="26"/>
        <v>[9.02843405199607E-05],</v>
      </c>
      <c r="P293" t="str">
        <f t="shared" si="26"/>
        <v>[2.34291251480246E-06],</v>
      </c>
      <c r="Q293" t="str">
        <f t="shared" si="29"/>
        <v>[0.000218644026238821]</v>
      </c>
      <c r="R293" t="str">
        <f t="shared" si="30"/>
        <v>]</v>
      </c>
      <c r="S293" t="str">
        <f t="shared" si="31"/>
        <v>[[0],[0],[0.000318327156941062],[0.000204643731734955],[9.02843405199607E-05],[2.34291251480246E-06],[0.000218644026238821]]</v>
      </c>
    </row>
    <row r="294" spans="1:19" x14ac:dyDescent="0.2">
      <c r="A294" s="1" t="d">
        <v>2026-06-04</v>
      </c>
      <c r="B294">
        <f>daily_original_wrong!B294*total_from_MA_dashboard!B$24</f>
        <v>0</v>
      </c>
      <c r="C294">
        <f>daily_original_wrong!C294*total_from_MA_dashboard!C$24</f>
        <v>0</v>
      </c>
      <c r="D294">
        <f>daily_original_wrong!D294*total_from_MA_dashboard!D$24</f>
        <v>3.1832715694106174E-4</v>
      </c>
      <c r="E294">
        <f>daily_original_wrong!E294*total_from_MA_dashboard!E$24</f>
        <v>2.0464373173495536E-4</v>
      </c>
      <c r="F294">
        <f>daily_original_wrong!F294*total_from_MA_dashboard!F$24</f>
        <v>9.0284340519960704E-5</v>
      </c>
      <c r="G294">
        <f>daily_original_wrong!G294*total_from_MA_dashboard!G$24</f>
        <v>2.3429125148024578E-6</v>
      </c>
      <c r="H294">
        <f>daily_original_wrong!H294*total_from_MA_dashboard!H$24</f>
        <v>2.1864402623882068E-4</v>
      </c>
      <c r="J294" t="str">
        <f t="shared" si="27"/>
        <v>[</v>
      </c>
      <c r="K294" t="str">
        <f t="shared" si="28"/>
        <v>[0],</v>
      </c>
      <c r="L294" t="str">
        <f t="shared" si="26"/>
        <v>[0],</v>
      </c>
      <c r="M294" t="str">
        <f t="shared" si="26"/>
        <v>[0.000318327156941062],</v>
      </c>
      <c r="N294" t="str">
        <f t="shared" si="26"/>
        <v>[0.000204643731734955],</v>
      </c>
      <c r="O294" t="str">
        <f t="shared" si="26"/>
        <v>[9.02843405199607E-05],</v>
      </c>
      <c r="P294" t="str">
        <f t="shared" si="26"/>
        <v>[2.34291251480246E-06],</v>
      </c>
      <c r="Q294" t="str">
        <f t="shared" si="29"/>
        <v>[0.000218644026238821]</v>
      </c>
      <c r="R294" t="str">
        <f t="shared" si="30"/>
        <v>]</v>
      </c>
      <c r="S294" t="str">
        <f t="shared" si="31"/>
        <v>[[0],[0],[0.000318327156941062],[0.000204643731734955],[9.02843405199607E-05],[2.34291251480246E-06],[0.000218644026238821]]</v>
      </c>
    </row>
    <row r="295" spans="1:19" x14ac:dyDescent="0.2">
      <c r="A295" s="1" t="d">
        <v>2026-06-05</v>
      </c>
      <c r="B295">
        <f>daily_original_wrong!B295*total_from_MA_dashboard!B$24</f>
        <v>0</v>
      </c>
      <c r="C295">
        <f>daily_original_wrong!C295*total_from_MA_dashboard!C$24</f>
        <v>0</v>
      </c>
      <c r="D295">
        <f>daily_original_wrong!D295*total_from_MA_dashboard!D$24</f>
        <v>3.1832715694106174E-4</v>
      </c>
      <c r="E295">
        <f>daily_original_wrong!E295*total_from_MA_dashboard!E$24</f>
        <v>2.0464373173495536E-4</v>
      </c>
      <c r="F295">
        <f>daily_original_wrong!F295*total_from_MA_dashboard!F$24</f>
        <v>9.0284340519960704E-5</v>
      </c>
      <c r="G295">
        <f>daily_original_wrong!G295*total_from_MA_dashboard!G$24</f>
        <v>2.3429125148024578E-6</v>
      </c>
      <c r="H295">
        <f>daily_original_wrong!H295*total_from_MA_dashboard!H$24</f>
        <v>2.1864402623882068E-4</v>
      </c>
      <c r="J295" t="str">
        <f t="shared" si="27"/>
        <v>[</v>
      </c>
      <c r="K295" t="str">
        <f t="shared" si="28"/>
        <v>[0],</v>
      </c>
      <c r="L295" t="str">
        <f t="shared" si="26"/>
        <v>[0],</v>
      </c>
      <c r="M295" t="str">
        <f t="shared" si="26"/>
        <v>[0.000318327156941062],</v>
      </c>
      <c r="N295" t="str">
        <f t="shared" si="26"/>
        <v>[0.000204643731734955],</v>
      </c>
      <c r="O295" t="str">
        <f t="shared" si="26"/>
        <v>[9.02843405199607E-05],</v>
      </c>
      <c r="P295" t="str">
        <f t="shared" si="26"/>
        <v>[2.34291251480246E-06],</v>
      </c>
      <c r="Q295" t="str">
        <f t="shared" si="29"/>
        <v>[0.000218644026238821]</v>
      </c>
      <c r="R295" t="str">
        <f t="shared" si="30"/>
        <v>]</v>
      </c>
      <c r="S295" t="str">
        <f t="shared" si="31"/>
        <v>[[0],[0],[0.000318327156941062],[0.000204643731734955],[9.02843405199607E-05],[2.34291251480246E-06],[0.000218644026238821]]</v>
      </c>
    </row>
    <row r="296" spans="1:19" x14ac:dyDescent="0.2">
      <c r="A296" s="1" t="d">
        <v>2026-06-06</v>
      </c>
      <c r="B296">
        <f>daily_original_wrong!B296*total_from_MA_dashboard!B$24</f>
        <v>0</v>
      </c>
      <c r="C296">
        <f>daily_original_wrong!C296*total_from_MA_dashboard!C$24</f>
        <v>0</v>
      </c>
      <c r="D296">
        <f>daily_original_wrong!D296*total_from_MA_dashboard!D$24</f>
        <v>1.6540461100545515E-4</v>
      </c>
      <c r="E296">
        <f>daily_original_wrong!E296*total_from_MA_dashboard!E$24</f>
        <v>1.0986911350168029E-4</v>
      </c>
      <c r="F296">
        <f>daily_original_wrong!F296*total_from_MA_dashboard!F$24</f>
        <v>1.6427198382405593E-5</v>
      </c>
      <c r="G296">
        <f>daily_original_wrong!G296*total_from_MA_dashboard!G$24</f>
        <v>0</v>
      </c>
      <c r="H296">
        <f>daily_original_wrong!H296*total_from_MA_dashboard!H$24</f>
        <v>4.0037665230191519E-5</v>
      </c>
      <c r="J296" t="str">
        <f t="shared" si="27"/>
        <v>[</v>
      </c>
      <c r="K296" t="str">
        <f t="shared" si="28"/>
        <v>[0],</v>
      </c>
      <c r="L296" t="str">
        <f t="shared" si="26"/>
        <v>[0],</v>
      </c>
      <c r="M296" t="str">
        <f t="shared" si="26"/>
        <v>[0.000165404611005455],</v>
      </c>
      <c r="N296" t="str">
        <f t="shared" si="26"/>
        <v>[0.00010986911350168],</v>
      </c>
      <c r="O296" t="str">
        <f t="shared" si="26"/>
        <v>[1.64271983824056E-05],</v>
      </c>
      <c r="P296" t="str">
        <f t="shared" si="26"/>
        <v>[0],</v>
      </c>
      <c r="Q296" t="str">
        <f t="shared" si="29"/>
        <v>[4.00376652301915E-05]</v>
      </c>
      <c r="R296" t="str">
        <f t="shared" si="30"/>
        <v>]</v>
      </c>
      <c r="S296" t="str">
        <f t="shared" si="31"/>
        <v>[[0],[0],[0.000165404611005455],[0.00010986911350168],[1.64271983824056E-05],[0],[4.00376652301915E-05]]</v>
      </c>
    </row>
    <row r="297" spans="1:19" x14ac:dyDescent="0.2">
      <c r="A297" s="1" t="d">
        <v>2026-06-07</v>
      </c>
      <c r="B297">
        <f>daily_original_wrong!B297*total_from_MA_dashboard!B$24</f>
        <v>0</v>
      </c>
      <c r="C297">
        <f>daily_original_wrong!C297*total_from_MA_dashboard!C$24</f>
        <v>0</v>
      </c>
      <c r="D297">
        <f>daily_original_wrong!D297*total_from_MA_dashboard!D$24</f>
        <v>1.6540461100545515E-4</v>
      </c>
      <c r="E297">
        <f>daily_original_wrong!E297*total_from_MA_dashboard!E$24</f>
        <v>1.0986911350168029E-4</v>
      </c>
      <c r="F297">
        <f>daily_original_wrong!F297*total_from_MA_dashboard!F$24</f>
        <v>1.6427198382405593E-5</v>
      </c>
      <c r="G297">
        <f>daily_original_wrong!G297*total_from_MA_dashboard!G$24</f>
        <v>0</v>
      </c>
      <c r="H297">
        <f>daily_original_wrong!H297*total_from_MA_dashboard!H$24</f>
        <v>4.0037665230191519E-5</v>
      </c>
      <c r="J297" t="str">
        <f t="shared" si="27"/>
        <v>[</v>
      </c>
      <c r="K297" t="str">
        <f t="shared" si="28"/>
        <v>[0],</v>
      </c>
      <c r="L297" t="str">
        <f t="shared" si="26"/>
        <v>[0],</v>
      </c>
      <c r="M297" t="str">
        <f t="shared" si="26"/>
        <v>[0.000165404611005455],</v>
      </c>
      <c r="N297" t="str">
        <f t="shared" si="26"/>
        <v>[0.00010986911350168],</v>
      </c>
      <c r="O297" t="str">
        <f t="shared" si="26"/>
        <v>[1.64271983824056E-05],</v>
      </c>
      <c r="P297" t="str">
        <f t="shared" si="26"/>
        <v>[0],</v>
      </c>
      <c r="Q297" t="str">
        <f t="shared" si="29"/>
        <v>[4.00376652301915E-05]</v>
      </c>
      <c r="R297" t="str">
        <f t="shared" si="30"/>
        <v>]</v>
      </c>
      <c r="S297" t="str">
        <f t="shared" si="31"/>
        <v>[[0],[0],[0.000165404611005455],[0.00010986911350168],[1.64271983824056E-05],[0],[4.00376652301915E-05]]</v>
      </c>
    </row>
    <row r="298" spans="1:19" x14ac:dyDescent="0.2">
      <c r="A298" s="1" t="d">
        <v>2026-06-08</v>
      </c>
      <c r="B298">
        <f>daily_original_wrong!B298*total_from_MA_dashboard!B$24</f>
        <v>0</v>
      </c>
      <c r="C298">
        <f>daily_original_wrong!C298*total_from_MA_dashboard!C$24</f>
        <v>0</v>
      </c>
      <c r="D298">
        <f>daily_original_wrong!D298*total_from_MA_dashboard!D$24</f>
        <v>1.6540461100545515E-4</v>
      </c>
      <c r="E298">
        <f>daily_original_wrong!E298*total_from_MA_dashboard!E$24</f>
        <v>1.0986911350168029E-4</v>
      </c>
      <c r="F298">
        <f>daily_original_wrong!F298*total_from_MA_dashboard!F$24</f>
        <v>1.6427198382405593E-5</v>
      </c>
      <c r="G298">
        <f>daily_original_wrong!G298*total_from_MA_dashboard!G$24</f>
        <v>0</v>
      </c>
      <c r="H298">
        <f>daily_original_wrong!H298*total_from_MA_dashboard!H$24</f>
        <v>4.0037665230191519E-5</v>
      </c>
      <c r="J298" t="str">
        <f t="shared" si="27"/>
        <v>[</v>
      </c>
      <c r="K298" t="str">
        <f t="shared" si="28"/>
        <v>[0],</v>
      </c>
      <c r="L298" t="str">
        <f t="shared" si="26"/>
        <v>[0],</v>
      </c>
      <c r="M298" t="str">
        <f t="shared" si="26"/>
        <v>[0.000165404611005455],</v>
      </c>
      <c r="N298" t="str">
        <f t="shared" si="26"/>
        <v>[0.00010986911350168],</v>
      </c>
      <c r="O298" t="str">
        <f t="shared" si="26"/>
        <v>[1.64271983824056E-05],</v>
      </c>
      <c r="P298" t="str">
        <f t="shared" si="26"/>
        <v>[0],</v>
      </c>
      <c r="Q298" t="str">
        <f t="shared" si="29"/>
        <v>[4.00376652301915E-05]</v>
      </c>
      <c r="R298" t="str">
        <f t="shared" si="30"/>
        <v>]</v>
      </c>
      <c r="S298" t="str">
        <f t="shared" si="31"/>
        <v>[[0],[0],[0.000165404611005455],[0.00010986911350168],[1.64271983824056E-05],[0],[4.00376652301915E-05]]</v>
      </c>
    </row>
    <row r="299" spans="1:19" x14ac:dyDescent="0.2">
      <c r="A299" s="1" t="d">
        <v>2026-06-09</v>
      </c>
      <c r="B299">
        <f>daily_original_wrong!B299*total_from_MA_dashboard!B$24</f>
        <v>0</v>
      </c>
      <c r="C299">
        <f>daily_original_wrong!C299*total_from_MA_dashboard!C$24</f>
        <v>0</v>
      </c>
      <c r="D299">
        <f>daily_original_wrong!D299*total_from_MA_dashboard!D$24</f>
        <v>1.6540461100545515E-4</v>
      </c>
      <c r="E299">
        <f>daily_original_wrong!E299*total_from_MA_dashboard!E$24</f>
        <v>1.0986911350168029E-4</v>
      </c>
      <c r="F299">
        <f>daily_original_wrong!F299*total_from_MA_dashboard!F$24</f>
        <v>1.6427198382405593E-5</v>
      </c>
      <c r="G299">
        <f>daily_original_wrong!G299*total_from_MA_dashboard!G$24</f>
        <v>0</v>
      </c>
      <c r="H299">
        <f>daily_original_wrong!H299*total_from_MA_dashboard!H$24</f>
        <v>4.0037665230191519E-5</v>
      </c>
      <c r="J299" t="str">
        <f t="shared" si="27"/>
        <v>[</v>
      </c>
      <c r="K299" t="str">
        <f t="shared" si="28"/>
        <v>[0],</v>
      </c>
      <c r="L299" t="str">
        <f t="shared" si="26"/>
        <v>[0],</v>
      </c>
      <c r="M299" t="str">
        <f t="shared" si="26"/>
        <v>[0.000165404611005455],</v>
      </c>
      <c r="N299" t="str">
        <f t="shared" si="26"/>
        <v>[0.00010986911350168],</v>
      </c>
      <c r="O299" t="str">
        <f t="shared" si="26"/>
        <v>[1.64271983824056E-05],</v>
      </c>
      <c r="P299" t="str">
        <f t="shared" si="26"/>
        <v>[0],</v>
      </c>
      <c r="Q299" t="str">
        <f t="shared" si="29"/>
        <v>[4.00376652301915E-05]</v>
      </c>
      <c r="R299" t="str">
        <f t="shared" si="30"/>
        <v>]</v>
      </c>
      <c r="S299" t="str">
        <f t="shared" si="31"/>
        <v>[[0],[0],[0.000165404611005455],[0.00010986911350168],[1.64271983824056E-05],[0],[4.00376652301915E-05]]</v>
      </c>
    </row>
    <row r="300" spans="1:19" x14ac:dyDescent="0.2">
      <c r="A300" s="1" t="d">
        <v>2026-06-10</v>
      </c>
      <c r="B300">
        <f>daily_original_wrong!B300*total_from_MA_dashboard!B$24</f>
        <v>0</v>
      </c>
      <c r="C300">
        <f>daily_original_wrong!C300*total_from_MA_dashboard!C$24</f>
        <v>0</v>
      </c>
      <c r="D300">
        <f>daily_original_wrong!D300*total_from_MA_dashboard!D$24</f>
        <v>1.6540461100545515E-4</v>
      </c>
      <c r="E300">
        <f>daily_original_wrong!E300*total_from_MA_dashboard!E$24</f>
        <v>1.0986911350168029E-4</v>
      </c>
      <c r="F300">
        <f>daily_original_wrong!F300*total_from_MA_dashboard!F$24</f>
        <v>1.6427198382405593E-5</v>
      </c>
      <c r="G300">
        <f>daily_original_wrong!G300*total_from_MA_dashboard!G$24</f>
        <v>0</v>
      </c>
      <c r="H300">
        <f>daily_original_wrong!H300*total_from_MA_dashboard!H$24</f>
        <v>4.0037665230191519E-5</v>
      </c>
      <c r="J300" t="str">
        <f t="shared" si="27"/>
        <v>[</v>
      </c>
      <c r="K300" t="str">
        <f t="shared" si="28"/>
        <v>[0],</v>
      </c>
      <c r="L300" t="str">
        <f t="shared" si="26"/>
        <v>[0],</v>
      </c>
      <c r="M300" t="str">
        <f t="shared" si="26"/>
        <v>[0.000165404611005455],</v>
      </c>
      <c r="N300" t="str">
        <f t="shared" si="26"/>
        <v>[0.00010986911350168],</v>
      </c>
      <c r="O300" t="str">
        <f t="shared" si="26"/>
        <v>[1.64271983824056E-05],</v>
      </c>
      <c r="P300" t="str">
        <f t="shared" si="26"/>
        <v>[0],</v>
      </c>
      <c r="Q300" t="str">
        <f t="shared" si="29"/>
        <v>[4.00376652301915E-05]</v>
      </c>
      <c r="R300" t="str">
        <f t="shared" si="30"/>
        <v>]</v>
      </c>
      <c r="S300" t="str">
        <f t="shared" si="31"/>
        <v>[[0],[0],[0.000165404611005455],[0.00010986911350168],[1.64271983824056E-05],[0],[4.00376652301915E-05]]</v>
      </c>
    </row>
    <row r="301" spans="1:19" x14ac:dyDescent="0.2">
      <c r="A301" s="1" t="d">
        <v>2026-06-11</v>
      </c>
      <c r="B301">
        <f>daily_original_wrong!B301*total_from_MA_dashboard!B$24</f>
        <v>0</v>
      </c>
      <c r="C301">
        <f>daily_original_wrong!C301*total_from_MA_dashboard!C$24</f>
        <v>0</v>
      </c>
      <c r="D301">
        <f>daily_original_wrong!D301*total_from_MA_dashboard!D$24</f>
        <v>1.6540461100545515E-4</v>
      </c>
      <c r="E301">
        <f>daily_original_wrong!E301*total_from_MA_dashboard!E$24</f>
        <v>1.0986911350168029E-4</v>
      </c>
      <c r="F301">
        <f>daily_original_wrong!F301*total_from_MA_dashboard!F$24</f>
        <v>1.6427198382405593E-5</v>
      </c>
      <c r="G301">
        <f>daily_original_wrong!G301*total_from_MA_dashboard!G$24</f>
        <v>0</v>
      </c>
      <c r="H301">
        <f>daily_original_wrong!H301*total_from_MA_dashboard!H$24</f>
        <v>4.0037665230191519E-5</v>
      </c>
      <c r="J301" t="str">
        <f t="shared" si="27"/>
        <v>[</v>
      </c>
      <c r="K301" t="str">
        <f t="shared" si="28"/>
        <v>[0],</v>
      </c>
      <c r="L301" t="str">
        <f t="shared" si="26"/>
        <v>[0],</v>
      </c>
      <c r="M301" t="str">
        <f t="shared" si="26"/>
        <v>[0.000165404611005455],</v>
      </c>
      <c r="N301" t="str">
        <f t="shared" si="26"/>
        <v>[0.00010986911350168],</v>
      </c>
      <c r="O301" t="str">
        <f t="shared" si="26"/>
        <v>[1.64271983824056E-05],</v>
      </c>
      <c r="P301" t="str">
        <f t="shared" si="26"/>
        <v>[0],</v>
      </c>
      <c r="Q301" t="str">
        <f t="shared" si="29"/>
        <v>[4.00376652301915E-05]</v>
      </c>
      <c r="R301" t="str">
        <f t="shared" si="30"/>
        <v>]</v>
      </c>
      <c r="S301" t="str">
        <f t="shared" si="31"/>
        <v>[[0],[0],[0.000165404611005455],[0.00010986911350168],[1.64271983824056E-05],[0],[4.00376652301915E-05]]</v>
      </c>
    </row>
    <row r="302" spans="1:19" x14ac:dyDescent="0.2">
      <c r="A302" s="1" t="d">
        <v>2026-06-12</v>
      </c>
      <c r="B302">
        <f>daily_original_wrong!B302*total_from_MA_dashboard!B$24</f>
        <v>0</v>
      </c>
      <c r="C302">
        <f>daily_original_wrong!C302*total_from_MA_dashboard!C$24</f>
        <v>0</v>
      </c>
      <c r="D302">
        <f>daily_original_wrong!D302*total_from_MA_dashboard!D$24</f>
        <v>1.6540461100545515E-4</v>
      </c>
      <c r="E302">
        <f>daily_original_wrong!E302*total_from_MA_dashboard!E$24</f>
        <v>1.0986911350168029E-4</v>
      </c>
      <c r="F302">
        <f>daily_original_wrong!F302*total_from_MA_dashboard!F$24</f>
        <v>1.6427198382405593E-5</v>
      </c>
      <c r="G302">
        <f>daily_original_wrong!G302*total_from_MA_dashboard!G$24</f>
        <v>0</v>
      </c>
      <c r="H302">
        <f>daily_original_wrong!H302*total_from_MA_dashboard!H$24</f>
        <v>4.0037665230191519E-5</v>
      </c>
      <c r="J302" t="str">
        <f t="shared" si="27"/>
        <v>[</v>
      </c>
      <c r="K302" t="str">
        <f t="shared" si="28"/>
        <v>[0],</v>
      </c>
      <c r="L302" t="str">
        <f t="shared" si="26"/>
        <v>[0],</v>
      </c>
      <c r="M302" t="str">
        <f t="shared" si="26"/>
        <v>[0.000165404611005455],</v>
      </c>
      <c r="N302" t="str">
        <f t="shared" si="26"/>
        <v>[0.00010986911350168],</v>
      </c>
      <c r="O302" t="str">
        <f t="shared" si="26"/>
        <v>[1.64271983824056E-05],</v>
      </c>
      <c r="P302" t="str">
        <f t="shared" si="26"/>
        <v>[0],</v>
      </c>
      <c r="Q302" t="str">
        <f t="shared" si="29"/>
        <v>[4.00376652301915E-05]</v>
      </c>
      <c r="R302" t="str">
        <f t="shared" si="30"/>
        <v>]</v>
      </c>
      <c r="S302" t="str">
        <f t="shared" si="31"/>
        <v>[[0],[0],[0.000165404611005455],[0.00010986911350168],[1.64271983824056E-05],[0],[4.00376652301915E-05]]</v>
      </c>
    </row>
    <row r="304" spans="1:19" x14ac:dyDescent="0.2">
      <c r="A304" t="s">
        <v>121</v>
      </c>
      <c r="B304">
        <f>SUM(B2:B302)</f>
        <v>0.24150000000000016</v>
      </c>
      <c r="C304">
        <f t="shared" ref="C304:H304" si="32">SUM(C2:C302)</f>
        <v>0.48300000000000032</v>
      </c>
      <c r="D304">
        <f t="shared" si="32"/>
        <v>0.36899999999999994</v>
      </c>
      <c r="E304">
        <f t="shared" si="32"/>
        <v>0.36900000000000011</v>
      </c>
      <c r="F304">
        <f t="shared" si="32"/>
        <v>0.2843421202845739</v>
      </c>
      <c r="G304">
        <f t="shared" si="32"/>
        <v>0.38399999999999923</v>
      </c>
      <c r="H304">
        <f t="shared" si="32"/>
        <v>0.61331145806808618</v>
      </c>
    </row>
  </sheetData>
  <pageMargins left="0.7" right="0.7" top="0.75" bottom="0.75" header="0.3" footer="0.3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8686A-6B22-E74D-8E7C-9ED8737BF373}">
  <dimension ref="A1:S304"/>
  <sheetViews>
    <sheetView workbookViewId="0">
      <selection activeCell="B306" sqref="B306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tr">
        <f t="shared" ref="K1:Q1" si="0">B1</f>
        <v>0_0</v>
      </c>
      <c r="L1" t="str">
        <f t="shared" si="0"/>
        <v>1_4</v>
      </c>
      <c r="M1" t="str">
        <f t="shared" si="0"/>
        <v>5_12</v>
      </c>
      <c r="N1" t="str">
        <f t="shared" si="0"/>
        <v>13_17</v>
      </c>
      <c r="O1" t="str">
        <f t="shared" si="0"/>
        <v>18_49</v>
      </c>
      <c r="P1" t="str">
        <f t="shared" si="0"/>
        <v>50_64</v>
      </c>
      <c r="Q1" t="str">
        <f t="shared" si="0"/>
        <v>65_99</v>
      </c>
    </row>
    <row r="2" spans="1:19" x14ac:dyDescent="0.2">
      <c r="A2" s="1" t="d">
        <v>2025-08-16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 t="str">
        <f>"["</f>
        <v>[</v>
      </c>
      <c r="K2" t="str">
        <f>"["&amp;B2/2&amp;"],"</f>
        <v>[0],</v>
      </c>
      <c r="L2" t="str">
        <f>"["&amp;C2&amp;"],"</f>
        <v>[0],</v>
      </c>
      <c r="M2" t="str">
        <f>"["&amp;D2&amp;"],"</f>
        <v>[0],</v>
      </c>
      <c r="N2" t="str">
        <f>"["&amp;E2&amp;"],"</f>
        <v>[0],</v>
      </c>
      <c r="O2" t="str">
        <f>"["&amp;F2&amp;"],"</f>
        <v>[0],</v>
      </c>
      <c r="P2" t="str">
        <f>"["&amp;G2&amp;"],"</f>
        <v>[0],</v>
      </c>
      <c r="Q2" t="str">
        <f>"["&amp;H2&amp;"]"</f>
        <v>[0]</v>
      </c>
      <c r="R2" t="str">
        <f>"]"</f>
        <v>]</v>
      </c>
      <c r="S2" t="str">
        <f>J2&amp;K2&amp;L2&amp;M2&amp;N2&amp;O2&amp;P2&amp;Q2&amp;R2</f>
        <v>[[0],[0],[0],[0],[0],[0],[0]]</v>
      </c>
    </row>
    <row r="3" spans="1:19" x14ac:dyDescent="0.2">
      <c r="A3" s="1" t="d">
        <v>2025-08-17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 t="str">
        <f t="shared" ref="J3:J66" si="1">"["</f>
        <v>[</v>
      </c>
      <c r="K3" t="str">
        <f t="shared" ref="K3:K66" si="2">"["&amp;B3/2&amp;"],"</f>
        <v>[0],</v>
      </c>
      <c r="L3" t="str">
        <f t="shared" ref="L3:L66" si="3">"["&amp;C3&amp;"],"</f>
        <v>[0],</v>
      </c>
      <c r="M3" t="str">
        <f t="shared" ref="M3:M66" si="4">"["&amp;D3&amp;"],"</f>
        <v>[0],</v>
      </c>
      <c r="N3" t="str">
        <f t="shared" ref="N3:N66" si="5">"["&amp;E3&amp;"],"</f>
        <v>[0],</v>
      </c>
      <c r="O3" t="str">
        <f t="shared" ref="O3:O66" si="6">"["&amp;F3&amp;"],"</f>
        <v>[0],</v>
      </c>
      <c r="P3" t="str">
        <f t="shared" ref="P3:P66" si="7">"["&amp;G3&amp;"],"</f>
        <v>[0],</v>
      </c>
      <c r="Q3" t="str">
        <f t="shared" ref="Q3:Q66" si="8">"["&amp;H3&amp;"]"</f>
        <v>[0]</v>
      </c>
      <c r="R3" t="str">
        <f t="shared" ref="R3:R66" si="9">"]"</f>
        <v>]</v>
      </c>
      <c r="S3" t="str">
        <f t="shared" ref="S3:S66" si="10">J3&amp;K3&amp;L3&amp;M3&amp;N3&amp;O3&amp;P3&amp;Q3&amp;R3</f>
        <v>[[0],[0],[0],[0],[0],[0],[0]]</v>
      </c>
    </row>
    <row r="4" spans="1:19" x14ac:dyDescent="0.2">
      <c r="A4" s="1" t="d">
        <v>2025-08-18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t="str">
        <f t="shared" si="1"/>
        <v>[</v>
      </c>
      <c r="K4" t="str">
        <f t="shared" si="2"/>
        <v>[0],</v>
      </c>
      <c r="L4" t="str">
        <f t="shared" si="3"/>
        <v>[0],</v>
      </c>
      <c r="M4" t="str">
        <f t="shared" si="4"/>
        <v>[0],</v>
      </c>
      <c r="N4" t="str">
        <f t="shared" si="5"/>
        <v>[0],</v>
      </c>
      <c r="O4" t="str">
        <f t="shared" si="6"/>
        <v>[0],</v>
      </c>
      <c r="P4" t="str">
        <f t="shared" si="7"/>
        <v>[0],</v>
      </c>
      <c r="Q4" t="str">
        <f t="shared" si="8"/>
        <v>[0]</v>
      </c>
      <c r="R4" t="str">
        <f t="shared" si="9"/>
        <v>]</v>
      </c>
      <c r="S4" t="str">
        <f t="shared" si="10"/>
        <v>[[0],[0],[0],[0],[0],[0],[0]]</v>
      </c>
    </row>
    <row r="5" spans="1:19" x14ac:dyDescent="0.2">
      <c r="A5" s="1" t="d">
        <v>2025-08-19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t="str">
        <f t="shared" si="1"/>
        <v>[</v>
      </c>
      <c r="K5" t="str">
        <f t="shared" si="2"/>
        <v>[0],</v>
      </c>
      <c r="L5" t="str">
        <f t="shared" si="3"/>
        <v>[0],</v>
      </c>
      <c r="M5" t="str">
        <f t="shared" si="4"/>
        <v>[0],</v>
      </c>
      <c r="N5" t="str">
        <f t="shared" si="5"/>
        <v>[0],</v>
      </c>
      <c r="O5" t="str">
        <f t="shared" si="6"/>
        <v>[0],</v>
      </c>
      <c r="P5" t="str">
        <f t="shared" si="7"/>
        <v>[0],</v>
      </c>
      <c r="Q5" t="str">
        <f t="shared" si="8"/>
        <v>[0]</v>
      </c>
      <c r="R5" t="str">
        <f t="shared" si="9"/>
        <v>]</v>
      </c>
      <c r="S5" t="str">
        <f t="shared" si="10"/>
        <v>[[0],[0],[0],[0],[0],[0],[0]]</v>
      </c>
    </row>
    <row r="6" spans="1:19" x14ac:dyDescent="0.2">
      <c r="A6" s="1" t="d">
        <v>2025-08-20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t="str">
        <f t="shared" si="1"/>
        <v>[</v>
      </c>
      <c r="K6" t="str">
        <f t="shared" si="2"/>
        <v>[0],</v>
      </c>
      <c r="L6" t="str">
        <f t="shared" si="3"/>
        <v>[0],</v>
      </c>
      <c r="M6" t="str">
        <f t="shared" si="4"/>
        <v>[0],</v>
      </c>
      <c r="N6" t="str">
        <f t="shared" si="5"/>
        <v>[0],</v>
      </c>
      <c r="O6" t="str">
        <f t="shared" si="6"/>
        <v>[0],</v>
      </c>
      <c r="P6" t="str">
        <f t="shared" si="7"/>
        <v>[0],</v>
      </c>
      <c r="Q6" t="str">
        <f t="shared" si="8"/>
        <v>[0]</v>
      </c>
      <c r="R6" t="str">
        <f t="shared" si="9"/>
        <v>]</v>
      </c>
      <c r="S6" t="str">
        <f t="shared" si="10"/>
        <v>[[0],[0],[0],[0],[0],[0],[0]]</v>
      </c>
    </row>
    <row r="7" spans="1:19" x14ac:dyDescent="0.2">
      <c r="A7" s="1" t="d">
        <v>2025-08-21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t="str">
        <f t="shared" si="1"/>
        <v>[</v>
      </c>
      <c r="K7" t="str">
        <f t="shared" si="2"/>
        <v>[0],</v>
      </c>
      <c r="L7" t="str">
        <f t="shared" si="3"/>
        <v>[0],</v>
      </c>
      <c r="M7" t="str">
        <f t="shared" si="4"/>
        <v>[0],</v>
      </c>
      <c r="N7" t="str">
        <f t="shared" si="5"/>
        <v>[0],</v>
      </c>
      <c r="O7" t="str">
        <f t="shared" si="6"/>
        <v>[0],</v>
      </c>
      <c r="P7" t="str">
        <f t="shared" si="7"/>
        <v>[0],</v>
      </c>
      <c r="Q7" t="str">
        <f t="shared" si="8"/>
        <v>[0]</v>
      </c>
      <c r="R7" t="str">
        <f t="shared" si="9"/>
        <v>]</v>
      </c>
      <c r="S7" t="str">
        <f t="shared" si="10"/>
        <v>[[0],[0],[0],[0],[0],[0],[0]]</v>
      </c>
    </row>
    <row r="8" spans="1:19" x14ac:dyDescent="0.2">
      <c r="A8" s="1" t="d">
        <v>2025-08-22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t="str">
        <f t="shared" si="1"/>
        <v>[</v>
      </c>
      <c r="K8" t="str">
        <f t="shared" si="2"/>
        <v>[0],</v>
      </c>
      <c r="L8" t="str">
        <f t="shared" si="3"/>
        <v>[0],</v>
      </c>
      <c r="M8" t="str">
        <f t="shared" si="4"/>
        <v>[0],</v>
      </c>
      <c r="N8" t="str">
        <f t="shared" si="5"/>
        <v>[0],</v>
      </c>
      <c r="O8" t="str">
        <f t="shared" si="6"/>
        <v>[0],</v>
      </c>
      <c r="P8" t="str">
        <f t="shared" si="7"/>
        <v>[0],</v>
      </c>
      <c r="Q8" t="str">
        <f t="shared" si="8"/>
        <v>[0]</v>
      </c>
      <c r="R8" t="str">
        <f t="shared" si="9"/>
        <v>]</v>
      </c>
      <c r="S8" t="str">
        <f t="shared" si="10"/>
        <v>[[0],[0],[0],[0],[0],[0],[0]]</v>
      </c>
    </row>
    <row r="9" spans="1:19" x14ac:dyDescent="0.2">
      <c r="A9" s="1" t="d">
        <v>2025-08-23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 t="str">
        <f t="shared" si="1"/>
        <v>[</v>
      </c>
      <c r="K9" t="str">
        <f t="shared" si="2"/>
        <v>[0],</v>
      </c>
      <c r="L9" t="str">
        <f t="shared" si="3"/>
        <v>[0],</v>
      </c>
      <c r="M9" t="str">
        <f t="shared" si="4"/>
        <v>[0],</v>
      </c>
      <c r="N9" t="str">
        <f t="shared" si="5"/>
        <v>[0],</v>
      </c>
      <c r="O9" t="str">
        <f t="shared" si="6"/>
        <v>[0],</v>
      </c>
      <c r="P9" t="str">
        <f t="shared" si="7"/>
        <v>[0],</v>
      </c>
      <c r="Q9" t="str">
        <f t="shared" si="8"/>
        <v>[0]</v>
      </c>
      <c r="R9" t="str">
        <f t="shared" si="9"/>
        <v>]</v>
      </c>
      <c r="S9" t="str">
        <f t="shared" si="10"/>
        <v>[[0],[0],[0],[0],[0],[0],[0]]</v>
      </c>
    </row>
    <row r="10" spans="1:19" x14ac:dyDescent="0.2">
      <c r="A10" s="1" t="d">
        <v>2025-08-24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 t="str">
        <f t="shared" si="1"/>
        <v>[</v>
      </c>
      <c r="K10" t="str">
        <f t="shared" si="2"/>
        <v>[0],</v>
      </c>
      <c r="L10" t="str">
        <f t="shared" si="3"/>
        <v>[0],</v>
      </c>
      <c r="M10" t="str">
        <f t="shared" si="4"/>
        <v>[0],</v>
      </c>
      <c r="N10" t="str">
        <f t="shared" si="5"/>
        <v>[0],</v>
      </c>
      <c r="O10" t="str">
        <f t="shared" si="6"/>
        <v>[0],</v>
      </c>
      <c r="P10" t="str">
        <f t="shared" si="7"/>
        <v>[0],</v>
      </c>
      <c r="Q10" t="str">
        <f t="shared" si="8"/>
        <v>[0]</v>
      </c>
      <c r="R10" t="str">
        <f t="shared" si="9"/>
        <v>]</v>
      </c>
      <c r="S10" t="str">
        <f t="shared" si="10"/>
        <v>[[0],[0],[0],[0],[0],[0],[0]]</v>
      </c>
    </row>
    <row r="11" spans="1:19" x14ac:dyDescent="0.2">
      <c r="A11" s="1" t="d">
        <v>2025-08-25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 t="str">
        <f t="shared" si="1"/>
        <v>[</v>
      </c>
      <c r="K11" t="str">
        <f t="shared" si="2"/>
        <v>[0],</v>
      </c>
      <c r="L11" t="str">
        <f t="shared" si="3"/>
        <v>[0],</v>
      </c>
      <c r="M11" t="str">
        <f t="shared" si="4"/>
        <v>[0],</v>
      </c>
      <c r="N11" t="str">
        <f t="shared" si="5"/>
        <v>[0],</v>
      </c>
      <c r="O11" t="str">
        <f t="shared" si="6"/>
        <v>[0],</v>
      </c>
      <c r="P11" t="str">
        <f t="shared" si="7"/>
        <v>[0],</v>
      </c>
      <c r="Q11" t="str">
        <f t="shared" si="8"/>
        <v>[0]</v>
      </c>
      <c r="R11" t="str">
        <f t="shared" si="9"/>
        <v>]</v>
      </c>
      <c r="S11" t="str">
        <f t="shared" si="10"/>
        <v>[[0],[0],[0],[0],[0],[0],[0]]</v>
      </c>
    </row>
    <row r="12" spans="1:19" x14ac:dyDescent="0.2">
      <c r="A12" s="1" t="d">
        <v>2025-08-26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 t="str">
        <f t="shared" si="1"/>
        <v>[</v>
      </c>
      <c r="K12" t="str">
        <f t="shared" si="2"/>
        <v>[0],</v>
      </c>
      <c r="L12" t="str">
        <f t="shared" si="3"/>
        <v>[0],</v>
      </c>
      <c r="M12" t="str">
        <f t="shared" si="4"/>
        <v>[0],</v>
      </c>
      <c r="N12" t="str">
        <f t="shared" si="5"/>
        <v>[0],</v>
      </c>
      <c r="O12" t="str">
        <f t="shared" si="6"/>
        <v>[0],</v>
      </c>
      <c r="P12" t="str">
        <f t="shared" si="7"/>
        <v>[0],</v>
      </c>
      <c r="Q12" t="str">
        <f t="shared" si="8"/>
        <v>[0]</v>
      </c>
      <c r="R12" t="str">
        <f t="shared" si="9"/>
        <v>]</v>
      </c>
      <c r="S12" t="str">
        <f t="shared" si="10"/>
        <v>[[0],[0],[0],[0],[0],[0],[0]]</v>
      </c>
    </row>
    <row r="13" spans="1:19" x14ac:dyDescent="0.2">
      <c r="A13" s="1" t="d">
        <v>2025-08-27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 t="str">
        <f t="shared" si="1"/>
        <v>[</v>
      </c>
      <c r="K13" t="str">
        <f t="shared" si="2"/>
        <v>[0],</v>
      </c>
      <c r="L13" t="str">
        <f t="shared" si="3"/>
        <v>[0],</v>
      </c>
      <c r="M13" t="str">
        <f t="shared" si="4"/>
        <v>[0],</v>
      </c>
      <c r="N13" t="str">
        <f t="shared" si="5"/>
        <v>[0],</v>
      </c>
      <c r="O13" t="str">
        <f t="shared" si="6"/>
        <v>[0],</v>
      </c>
      <c r="P13" t="str">
        <f t="shared" si="7"/>
        <v>[0],</v>
      </c>
      <c r="Q13" t="str">
        <f t="shared" si="8"/>
        <v>[0]</v>
      </c>
      <c r="R13" t="str">
        <f t="shared" si="9"/>
        <v>]</v>
      </c>
      <c r="S13" t="str">
        <f t="shared" si="10"/>
        <v>[[0],[0],[0],[0],[0],[0],[0]]</v>
      </c>
    </row>
    <row r="14" spans="1:19" x14ac:dyDescent="0.2">
      <c r="A14" s="1" t="d">
        <v>2025-08-28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 t="str">
        <f t="shared" si="1"/>
        <v>[</v>
      </c>
      <c r="K14" t="str">
        <f t="shared" si="2"/>
        <v>[0],</v>
      </c>
      <c r="L14" t="str">
        <f t="shared" si="3"/>
        <v>[0],</v>
      </c>
      <c r="M14" t="str">
        <f t="shared" si="4"/>
        <v>[0],</v>
      </c>
      <c r="N14" t="str">
        <f t="shared" si="5"/>
        <v>[0],</v>
      </c>
      <c r="O14" t="str">
        <f t="shared" si="6"/>
        <v>[0],</v>
      </c>
      <c r="P14" t="str">
        <f t="shared" si="7"/>
        <v>[0],</v>
      </c>
      <c r="Q14" t="str">
        <f t="shared" si="8"/>
        <v>[0]</v>
      </c>
      <c r="R14" t="str">
        <f t="shared" si="9"/>
        <v>]</v>
      </c>
      <c r="S14" t="str">
        <f t="shared" si="10"/>
        <v>[[0],[0],[0],[0],[0],[0],[0]]</v>
      </c>
    </row>
    <row r="15" spans="1:19" x14ac:dyDescent="0.2">
      <c r="A15" s="1" t="d">
        <v>2025-08-29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 t="str">
        <f t="shared" si="1"/>
        <v>[</v>
      </c>
      <c r="K15" t="str">
        <f t="shared" si="2"/>
        <v>[0],</v>
      </c>
      <c r="L15" t="str">
        <f t="shared" si="3"/>
        <v>[0],</v>
      </c>
      <c r="M15" t="str">
        <f t="shared" si="4"/>
        <v>[0],</v>
      </c>
      <c r="N15" t="str">
        <f t="shared" si="5"/>
        <v>[0],</v>
      </c>
      <c r="O15" t="str">
        <f t="shared" si="6"/>
        <v>[0],</v>
      </c>
      <c r="P15" t="str">
        <f t="shared" si="7"/>
        <v>[0],</v>
      </c>
      <c r="Q15" t="str">
        <f t="shared" si="8"/>
        <v>[0]</v>
      </c>
      <c r="R15" t="str">
        <f t="shared" si="9"/>
        <v>]</v>
      </c>
      <c r="S15" t="str">
        <f t="shared" si="10"/>
        <v>[[0],[0],[0],[0],[0],[0],[0]]</v>
      </c>
    </row>
    <row r="16" spans="1:19" x14ac:dyDescent="0.2">
      <c r="A16" s="1" t="d">
        <v>2025-08-30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tr">
        <f t="shared" si="1"/>
        <v>[</v>
      </c>
      <c r="K16" t="str">
        <f t="shared" si="2"/>
        <v>[0],</v>
      </c>
      <c r="L16" t="str">
        <f t="shared" si="3"/>
        <v>[0],</v>
      </c>
      <c r="M16" t="str">
        <f t="shared" si="4"/>
        <v>[0],</v>
      </c>
      <c r="N16" t="str">
        <f t="shared" si="5"/>
        <v>[0],</v>
      </c>
      <c r="O16" t="str">
        <f t="shared" si="6"/>
        <v>[0],</v>
      </c>
      <c r="P16" t="str">
        <f t="shared" si="7"/>
        <v>[0],</v>
      </c>
      <c r="Q16" t="str">
        <f t="shared" si="8"/>
        <v>[0]</v>
      </c>
      <c r="R16" t="str">
        <f t="shared" si="9"/>
        <v>]</v>
      </c>
      <c r="S16" t="str">
        <f t="shared" si="10"/>
        <v>[[0],[0],[0],[0],[0],[0],[0]]</v>
      </c>
    </row>
    <row r="17" spans="1:19" x14ac:dyDescent="0.2">
      <c r="A17" s="1" t="d">
        <v>2025-08-31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 t="str">
        <f t="shared" si="1"/>
        <v>[</v>
      </c>
      <c r="K17" t="str">
        <f t="shared" si="2"/>
        <v>[0],</v>
      </c>
      <c r="L17" t="str">
        <f t="shared" si="3"/>
        <v>[0],</v>
      </c>
      <c r="M17" t="str">
        <f t="shared" si="4"/>
        <v>[0],</v>
      </c>
      <c r="N17" t="str">
        <f t="shared" si="5"/>
        <v>[0],</v>
      </c>
      <c r="O17" t="str">
        <f t="shared" si="6"/>
        <v>[0],</v>
      </c>
      <c r="P17" t="str">
        <f t="shared" si="7"/>
        <v>[0],</v>
      </c>
      <c r="Q17" t="str">
        <f t="shared" si="8"/>
        <v>[0]</v>
      </c>
      <c r="R17" t="str">
        <f t="shared" si="9"/>
        <v>]</v>
      </c>
      <c r="S17" t="str">
        <f t="shared" si="10"/>
        <v>[[0],[0],[0],[0],[0],[0],[0]]</v>
      </c>
    </row>
    <row r="18" spans="1:19" x14ac:dyDescent="0.2">
      <c r="A18" s="1" t="d">
        <v>2025-09-01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tr">
        <f t="shared" si="1"/>
        <v>[</v>
      </c>
      <c r="K18" t="str">
        <f t="shared" si="2"/>
        <v>[0],</v>
      </c>
      <c r="L18" t="str">
        <f t="shared" si="3"/>
        <v>[0],</v>
      </c>
      <c r="M18" t="str">
        <f t="shared" si="4"/>
        <v>[0],</v>
      </c>
      <c r="N18" t="str">
        <f t="shared" si="5"/>
        <v>[0],</v>
      </c>
      <c r="O18" t="str">
        <f t="shared" si="6"/>
        <v>[0],</v>
      </c>
      <c r="P18" t="str">
        <f t="shared" si="7"/>
        <v>[0],</v>
      </c>
      <c r="Q18" t="str">
        <f t="shared" si="8"/>
        <v>[0]</v>
      </c>
      <c r="R18" t="str">
        <f t="shared" si="9"/>
        <v>]</v>
      </c>
      <c r="S18" t="str">
        <f t="shared" si="10"/>
        <v>[[0],[0],[0],[0],[0],[0],[0]]</v>
      </c>
    </row>
    <row r="19" spans="1:19" x14ac:dyDescent="0.2">
      <c r="A19" s="1" t="d">
        <v>2025-09-02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 t="str">
        <f t="shared" si="1"/>
        <v>[</v>
      </c>
      <c r="K19" t="str">
        <f t="shared" si="2"/>
        <v>[0],</v>
      </c>
      <c r="L19" t="str">
        <f t="shared" si="3"/>
        <v>[0],</v>
      </c>
      <c r="M19" t="str">
        <f t="shared" si="4"/>
        <v>[0],</v>
      </c>
      <c r="N19" t="str">
        <f t="shared" si="5"/>
        <v>[0],</v>
      </c>
      <c r="O19" t="str">
        <f t="shared" si="6"/>
        <v>[0],</v>
      </c>
      <c r="P19" t="str">
        <f t="shared" si="7"/>
        <v>[0],</v>
      </c>
      <c r="Q19" t="str">
        <f t="shared" si="8"/>
        <v>[0]</v>
      </c>
      <c r="R19" t="str">
        <f t="shared" si="9"/>
        <v>]</v>
      </c>
      <c r="S19" t="str">
        <f t="shared" si="10"/>
        <v>[[0],[0],[0],[0],[0],[0],[0]]</v>
      </c>
    </row>
    <row r="20" spans="1:19" x14ac:dyDescent="0.2">
      <c r="A20" s="1" t="d">
        <v>2025-09-03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 t="str">
        <f t="shared" si="1"/>
        <v>[</v>
      </c>
      <c r="K20" t="str">
        <f t="shared" si="2"/>
        <v>[0],</v>
      </c>
      <c r="L20" t="str">
        <f t="shared" si="3"/>
        <v>[0],</v>
      </c>
      <c r="M20" t="str">
        <f t="shared" si="4"/>
        <v>[0],</v>
      </c>
      <c r="N20" t="str">
        <f t="shared" si="5"/>
        <v>[0],</v>
      </c>
      <c r="O20" t="str">
        <f t="shared" si="6"/>
        <v>[0],</v>
      </c>
      <c r="P20" t="str">
        <f t="shared" si="7"/>
        <v>[0],</v>
      </c>
      <c r="Q20" t="str">
        <f t="shared" si="8"/>
        <v>[0]</v>
      </c>
      <c r="R20" t="str">
        <f t="shared" si="9"/>
        <v>]</v>
      </c>
      <c r="S20" t="str">
        <f t="shared" si="10"/>
        <v>[[0],[0],[0],[0],[0],[0],[0]]</v>
      </c>
    </row>
    <row r="21" spans="1:19" x14ac:dyDescent="0.2">
      <c r="A21" s="1" t="d">
        <v>2025-09-04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 t="str">
        <f t="shared" si="1"/>
        <v>[</v>
      </c>
      <c r="K21" t="str">
        <f t="shared" si="2"/>
        <v>[0],</v>
      </c>
      <c r="L21" t="str">
        <f t="shared" si="3"/>
        <v>[0],</v>
      </c>
      <c r="M21" t="str">
        <f t="shared" si="4"/>
        <v>[0],</v>
      </c>
      <c r="N21" t="str">
        <f t="shared" si="5"/>
        <v>[0],</v>
      </c>
      <c r="O21" t="str">
        <f t="shared" si="6"/>
        <v>[0],</v>
      </c>
      <c r="P21" t="str">
        <f t="shared" si="7"/>
        <v>[0],</v>
      </c>
      <c r="Q21" t="str">
        <f t="shared" si="8"/>
        <v>[0]</v>
      </c>
      <c r="R21" t="str">
        <f t="shared" si="9"/>
        <v>]</v>
      </c>
      <c r="S21" t="str">
        <f t="shared" si="10"/>
        <v>[[0],[0],[0],[0],[0],[0],[0]]</v>
      </c>
    </row>
    <row r="22" spans="1:19" x14ac:dyDescent="0.2">
      <c r="A22" s="1" t="d">
        <v>2025-09-05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 t="str">
        <f t="shared" si="1"/>
        <v>[</v>
      </c>
      <c r="K22" t="str">
        <f t="shared" si="2"/>
        <v>[0],</v>
      </c>
      <c r="L22" t="str">
        <f t="shared" si="3"/>
        <v>[0],</v>
      </c>
      <c r="M22" t="str">
        <f t="shared" si="4"/>
        <v>[0],</v>
      </c>
      <c r="N22" t="str">
        <f t="shared" si="5"/>
        <v>[0],</v>
      </c>
      <c r="O22" t="str">
        <f t="shared" si="6"/>
        <v>[0],</v>
      </c>
      <c r="P22" t="str">
        <f t="shared" si="7"/>
        <v>[0],</v>
      </c>
      <c r="Q22" t="str">
        <f t="shared" si="8"/>
        <v>[0]</v>
      </c>
      <c r="R22" t="str">
        <f t="shared" si="9"/>
        <v>]</v>
      </c>
      <c r="S22" t="str">
        <f t="shared" si="10"/>
        <v>[[0],[0],[0],[0],[0],[0],[0]]</v>
      </c>
    </row>
    <row r="23" spans="1:19" x14ac:dyDescent="0.2">
      <c r="A23" s="1" t="d">
        <v>2025-09-06</v>
      </c>
      <c r="B23">
        <v>5.1738490000000003E-3</v>
      </c>
      <c r="C23">
        <v>5.1738490000000003E-3</v>
      </c>
      <c r="D23">
        <v>2.6232479999999999E-3</v>
      </c>
      <c r="E23">
        <v>2.088548E-3</v>
      </c>
      <c r="F23">
        <v>8.08798E-4</v>
      </c>
      <c r="G23">
        <v>9.2039499999999996E-4</v>
      </c>
      <c r="H23">
        <v>1.7633589999999999E-3</v>
      </c>
      <c r="J23" t="str">
        <f t="shared" si="1"/>
        <v>[</v>
      </c>
      <c r="K23" t="str">
        <f t="shared" si="2"/>
        <v>[0.0025869245],</v>
      </c>
      <c r="L23" t="str">
        <f t="shared" si="3"/>
        <v>[0.005173849],</v>
      </c>
      <c r="M23" t="str">
        <f t="shared" si="4"/>
        <v>[0.002623248],</v>
      </c>
      <c r="N23" t="str">
        <f t="shared" si="5"/>
        <v>[0.002088548],</v>
      </c>
      <c r="O23" t="str">
        <f t="shared" si="6"/>
        <v>[0.000808798],</v>
      </c>
      <c r="P23" t="str">
        <f t="shared" si="7"/>
        <v>[0.000920395],</v>
      </c>
      <c r="Q23" t="str">
        <f t="shared" si="8"/>
        <v>[0.001763359]</v>
      </c>
      <c r="R23" t="str">
        <f t="shared" si="9"/>
        <v>]</v>
      </c>
      <c r="S23" t="str">
        <f t="shared" si="10"/>
        <v>[[0.0025869245],[0.005173849],[0.002623248],[0.002088548],[0.000808798],[0.000920395],[0.001763359]]</v>
      </c>
    </row>
    <row r="24" spans="1:19" x14ac:dyDescent="0.2">
      <c r="A24" s="1" t="d">
        <v>2025-09-07</v>
      </c>
      <c r="B24">
        <v>5.1738490000000003E-3</v>
      </c>
      <c r="C24">
        <v>5.1738490000000003E-3</v>
      </c>
      <c r="D24">
        <v>2.6232479999999999E-3</v>
      </c>
      <c r="E24">
        <v>2.088548E-3</v>
      </c>
      <c r="F24">
        <v>8.08798E-4</v>
      </c>
      <c r="G24">
        <v>9.2039499999999996E-4</v>
      </c>
      <c r="H24">
        <v>1.7633589999999999E-3</v>
      </c>
      <c r="J24" t="str">
        <f t="shared" si="1"/>
        <v>[</v>
      </c>
      <c r="K24" t="str">
        <f t="shared" si="2"/>
        <v>[0.0025869245],</v>
      </c>
      <c r="L24" t="str">
        <f t="shared" si="3"/>
        <v>[0.005173849],</v>
      </c>
      <c r="M24" t="str">
        <f t="shared" si="4"/>
        <v>[0.002623248],</v>
      </c>
      <c r="N24" t="str">
        <f t="shared" si="5"/>
        <v>[0.002088548],</v>
      </c>
      <c r="O24" t="str">
        <f t="shared" si="6"/>
        <v>[0.000808798],</v>
      </c>
      <c r="P24" t="str">
        <f t="shared" si="7"/>
        <v>[0.000920395],</v>
      </c>
      <c r="Q24" t="str">
        <f t="shared" si="8"/>
        <v>[0.001763359]</v>
      </c>
      <c r="R24" t="str">
        <f t="shared" si="9"/>
        <v>]</v>
      </c>
      <c r="S24" t="str">
        <f t="shared" si="10"/>
        <v>[[0.0025869245],[0.005173849],[0.002623248],[0.002088548],[0.000808798],[0.000920395],[0.001763359]]</v>
      </c>
    </row>
    <row r="25" spans="1:19" x14ac:dyDescent="0.2">
      <c r="A25" s="1" t="d">
        <v>2025-09-08</v>
      </c>
      <c r="B25">
        <v>5.1738490000000003E-3</v>
      </c>
      <c r="C25">
        <v>5.1738490000000003E-3</v>
      </c>
      <c r="D25">
        <v>2.6232479999999999E-3</v>
      </c>
      <c r="E25">
        <v>2.088548E-3</v>
      </c>
      <c r="F25">
        <v>8.08798E-4</v>
      </c>
      <c r="G25">
        <v>9.2039499999999996E-4</v>
      </c>
      <c r="H25">
        <v>1.7633589999999999E-3</v>
      </c>
      <c r="J25" t="str">
        <f t="shared" si="1"/>
        <v>[</v>
      </c>
      <c r="K25" t="str">
        <f t="shared" si="2"/>
        <v>[0.0025869245],</v>
      </c>
      <c r="L25" t="str">
        <f t="shared" si="3"/>
        <v>[0.005173849],</v>
      </c>
      <c r="M25" t="str">
        <f t="shared" si="4"/>
        <v>[0.002623248],</v>
      </c>
      <c r="N25" t="str">
        <f t="shared" si="5"/>
        <v>[0.002088548],</v>
      </c>
      <c r="O25" t="str">
        <f t="shared" si="6"/>
        <v>[0.000808798],</v>
      </c>
      <c r="P25" t="str">
        <f t="shared" si="7"/>
        <v>[0.000920395],</v>
      </c>
      <c r="Q25" t="str">
        <f t="shared" si="8"/>
        <v>[0.001763359]</v>
      </c>
      <c r="R25" t="str">
        <f t="shared" si="9"/>
        <v>]</v>
      </c>
      <c r="S25" t="str">
        <f t="shared" si="10"/>
        <v>[[0.0025869245],[0.005173849],[0.002623248],[0.002088548],[0.000808798],[0.000920395],[0.001763359]]</v>
      </c>
    </row>
    <row r="26" spans="1:19" x14ac:dyDescent="0.2">
      <c r="A26" s="1" t="d">
        <v>2025-09-09</v>
      </c>
      <c r="B26">
        <v>5.1738490000000003E-3</v>
      </c>
      <c r="C26">
        <v>5.1738490000000003E-3</v>
      </c>
      <c r="D26">
        <v>2.6232479999999999E-3</v>
      </c>
      <c r="E26">
        <v>2.088548E-3</v>
      </c>
      <c r="F26">
        <v>8.08798E-4</v>
      </c>
      <c r="G26">
        <v>9.2039499999999996E-4</v>
      </c>
      <c r="H26">
        <v>1.7633589999999999E-3</v>
      </c>
      <c r="J26" t="str">
        <f t="shared" si="1"/>
        <v>[</v>
      </c>
      <c r="K26" t="str">
        <f t="shared" si="2"/>
        <v>[0.0025869245],</v>
      </c>
      <c r="L26" t="str">
        <f t="shared" si="3"/>
        <v>[0.005173849],</v>
      </c>
      <c r="M26" t="str">
        <f t="shared" si="4"/>
        <v>[0.002623248],</v>
      </c>
      <c r="N26" t="str">
        <f t="shared" si="5"/>
        <v>[0.002088548],</v>
      </c>
      <c r="O26" t="str">
        <f t="shared" si="6"/>
        <v>[0.000808798],</v>
      </c>
      <c r="P26" t="str">
        <f t="shared" si="7"/>
        <v>[0.000920395],</v>
      </c>
      <c r="Q26" t="str">
        <f t="shared" si="8"/>
        <v>[0.001763359]</v>
      </c>
      <c r="R26" t="str">
        <f t="shared" si="9"/>
        <v>]</v>
      </c>
      <c r="S26" t="str">
        <f t="shared" si="10"/>
        <v>[[0.0025869245],[0.005173849],[0.002623248],[0.002088548],[0.000808798],[0.000920395],[0.001763359]]</v>
      </c>
    </row>
    <row r="27" spans="1:19" x14ac:dyDescent="0.2">
      <c r="A27" s="1" t="d">
        <v>2025-09-10</v>
      </c>
      <c r="B27">
        <v>5.1738490000000003E-3</v>
      </c>
      <c r="C27">
        <v>5.1738490000000003E-3</v>
      </c>
      <c r="D27">
        <v>2.6232479999999999E-3</v>
      </c>
      <c r="E27">
        <v>2.088548E-3</v>
      </c>
      <c r="F27">
        <v>8.08798E-4</v>
      </c>
      <c r="G27">
        <v>9.2039499999999996E-4</v>
      </c>
      <c r="H27">
        <v>1.7633589999999999E-3</v>
      </c>
      <c r="J27" t="str">
        <f t="shared" si="1"/>
        <v>[</v>
      </c>
      <c r="K27" t="str">
        <f t="shared" si="2"/>
        <v>[0.0025869245],</v>
      </c>
      <c r="L27" t="str">
        <f t="shared" si="3"/>
        <v>[0.005173849],</v>
      </c>
      <c r="M27" t="str">
        <f t="shared" si="4"/>
        <v>[0.002623248],</v>
      </c>
      <c r="N27" t="str">
        <f t="shared" si="5"/>
        <v>[0.002088548],</v>
      </c>
      <c r="O27" t="str">
        <f t="shared" si="6"/>
        <v>[0.000808798],</v>
      </c>
      <c r="P27" t="str">
        <f t="shared" si="7"/>
        <v>[0.000920395],</v>
      </c>
      <c r="Q27" t="str">
        <f t="shared" si="8"/>
        <v>[0.001763359]</v>
      </c>
      <c r="R27" t="str">
        <f t="shared" si="9"/>
        <v>]</v>
      </c>
      <c r="S27" t="str">
        <f t="shared" si="10"/>
        <v>[[0.0025869245],[0.005173849],[0.002623248],[0.002088548],[0.000808798],[0.000920395],[0.001763359]]</v>
      </c>
    </row>
    <row r="28" spans="1:19" x14ac:dyDescent="0.2">
      <c r="A28" s="1" t="d">
        <v>2025-09-11</v>
      </c>
      <c r="B28">
        <v>5.1738490000000003E-3</v>
      </c>
      <c r="C28">
        <v>5.1738490000000003E-3</v>
      </c>
      <c r="D28">
        <v>2.6232479999999999E-3</v>
      </c>
      <c r="E28">
        <v>2.088548E-3</v>
      </c>
      <c r="F28">
        <v>8.08798E-4</v>
      </c>
      <c r="G28">
        <v>9.2039499999999996E-4</v>
      </c>
      <c r="H28">
        <v>1.7633589999999999E-3</v>
      </c>
      <c r="J28" t="str">
        <f t="shared" si="1"/>
        <v>[</v>
      </c>
      <c r="K28" t="str">
        <f t="shared" si="2"/>
        <v>[0.0025869245],</v>
      </c>
      <c r="L28" t="str">
        <f t="shared" si="3"/>
        <v>[0.005173849],</v>
      </c>
      <c r="M28" t="str">
        <f t="shared" si="4"/>
        <v>[0.002623248],</v>
      </c>
      <c r="N28" t="str">
        <f t="shared" si="5"/>
        <v>[0.002088548],</v>
      </c>
      <c r="O28" t="str">
        <f t="shared" si="6"/>
        <v>[0.000808798],</v>
      </c>
      <c r="P28" t="str">
        <f t="shared" si="7"/>
        <v>[0.000920395],</v>
      </c>
      <c r="Q28" t="str">
        <f t="shared" si="8"/>
        <v>[0.001763359]</v>
      </c>
      <c r="R28" t="str">
        <f t="shared" si="9"/>
        <v>]</v>
      </c>
      <c r="S28" t="str">
        <f t="shared" si="10"/>
        <v>[[0.0025869245],[0.005173849],[0.002623248],[0.002088548],[0.000808798],[0.000920395],[0.001763359]]</v>
      </c>
    </row>
    <row r="29" spans="1:19" x14ac:dyDescent="0.2">
      <c r="A29" s="1" t="d">
        <v>2025-09-12</v>
      </c>
      <c r="B29">
        <v>5.1738490000000003E-3</v>
      </c>
      <c r="C29">
        <v>5.1738490000000003E-3</v>
      </c>
      <c r="D29">
        <v>2.6232479999999999E-3</v>
      </c>
      <c r="E29">
        <v>2.088548E-3</v>
      </c>
      <c r="F29">
        <v>8.08798E-4</v>
      </c>
      <c r="G29">
        <v>9.2039499999999996E-4</v>
      </c>
      <c r="H29">
        <v>1.7633589999999999E-3</v>
      </c>
      <c r="J29" t="str">
        <f t="shared" si="1"/>
        <v>[</v>
      </c>
      <c r="K29" t="str">
        <f t="shared" si="2"/>
        <v>[0.0025869245],</v>
      </c>
      <c r="L29" t="str">
        <f t="shared" si="3"/>
        <v>[0.005173849],</v>
      </c>
      <c r="M29" t="str">
        <f t="shared" si="4"/>
        <v>[0.002623248],</v>
      </c>
      <c r="N29" t="str">
        <f t="shared" si="5"/>
        <v>[0.002088548],</v>
      </c>
      <c r="O29" t="str">
        <f t="shared" si="6"/>
        <v>[0.000808798],</v>
      </c>
      <c r="P29" t="str">
        <f t="shared" si="7"/>
        <v>[0.000920395],</v>
      </c>
      <c r="Q29" t="str">
        <f t="shared" si="8"/>
        <v>[0.001763359]</v>
      </c>
      <c r="R29" t="str">
        <f t="shared" si="9"/>
        <v>]</v>
      </c>
      <c r="S29" t="str">
        <f t="shared" si="10"/>
        <v>[[0.0025869245],[0.005173849],[0.002623248],[0.002088548],[0.000808798],[0.000920395],[0.001763359]]</v>
      </c>
    </row>
    <row r="30" spans="1:19" x14ac:dyDescent="0.2">
      <c r="A30" s="1" t="d">
        <v>2025-09-13</v>
      </c>
      <c r="B30">
        <v>4.9616629999999998E-3</v>
      </c>
      <c r="C30">
        <v>4.9616629999999998E-3</v>
      </c>
      <c r="D30">
        <v>2.764168E-3</v>
      </c>
      <c r="E30">
        <v>2.3062579999999998E-3</v>
      </c>
      <c r="F30">
        <v>5.6333299999999995E-4</v>
      </c>
      <c r="G30">
        <v>1.2041039999999999E-3</v>
      </c>
      <c r="H30">
        <v>2.910185E-3</v>
      </c>
      <c r="J30" t="str">
        <f t="shared" si="1"/>
        <v>[</v>
      </c>
      <c r="K30" t="str">
        <f t="shared" si="2"/>
        <v>[0.0024808315],</v>
      </c>
      <c r="L30" t="str">
        <f t="shared" si="3"/>
        <v>[0.004961663],</v>
      </c>
      <c r="M30" t="str">
        <f t="shared" si="4"/>
        <v>[0.002764168],</v>
      </c>
      <c r="N30" t="str">
        <f t="shared" si="5"/>
        <v>[0.002306258],</v>
      </c>
      <c r="O30" t="str">
        <f t="shared" si="6"/>
        <v>[0.000563333],</v>
      </c>
      <c r="P30" t="str">
        <f t="shared" si="7"/>
        <v>[0.001204104],</v>
      </c>
      <c r="Q30" t="str">
        <f t="shared" si="8"/>
        <v>[0.002910185]</v>
      </c>
      <c r="R30" t="str">
        <f t="shared" si="9"/>
        <v>]</v>
      </c>
      <c r="S30" t="str">
        <f t="shared" si="10"/>
        <v>[[0.0024808315],[0.004961663],[0.002764168],[0.002306258],[0.000563333],[0.001204104],[0.002910185]]</v>
      </c>
    </row>
    <row r="31" spans="1:19" x14ac:dyDescent="0.2">
      <c r="A31" s="1" t="d">
        <v>2025-09-14</v>
      </c>
      <c r="B31">
        <v>4.9616629999999998E-3</v>
      </c>
      <c r="C31">
        <v>4.9616629999999998E-3</v>
      </c>
      <c r="D31">
        <v>2.764168E-3</v>
      </c>
      <c r="E31">
        <v>2.3062579999999998E-3</v>
      </c>
      <c r="F31">
        <v>5.6333299999999995E-4</v>
      </c>
      <c r="G31">
        <v>1.2041039999999999E-3</v>
      </c>
      <c r="H31">
        <v>2.910185E-3</v>
      </c>
      <c r="J31" t="str">
        <f t="shared" si="1"/>
        <v>[</v>
      </c>
      <c r="K31" t="str">
        <f t="shared" si="2"/>
        <v>[0.0024808315],</v>
      </c>
      <c r="L31" t="str">
        <f t="shared" si="3"/>
        <v>[0.004961663],</v>
      </c>
      <c r="M31" t="str">
        <f t="shared" si="4"/>
        <v>[0.002764168],</v>
      </c>
      <c r="N31" t="str">
        <f t="shared" si="5"/>
        <v>[0.002306258],</v>
      </c>
      <c r="O31" t="str">
        <f t="shared" si="6"/>
        <v>[0.000563333],</v>
      </c>
      <c r="P31" t="str">
        <f t="shared" si="7"/>
        <v>[0.001204104],</v>
      </c>
      <c r="Q31" t="str">
        <f t="shared" si="8"/>
        <v>[0.002910185]</v>
      </c>
      <c r="R31" t="str">
        <f t="shared" si="9"/>
        <v>]</v>
      </c>
      <c r="S31" t="str">
        <f t="shared" si="10"/>
        <v>[[0.0024808315],[0.004961663],[0.002764168],[0.002306258],[0.000563333],[0.001204104],[0.002910185]]</v>
      </c>
    </row>
    <row r="32" spans="1:19" x14ac:dyDescent="0.2">
      <c r="A32" s="1" t="d">
        <v>2025-09-15</v>
      </c>
      <c r="B32">
        <v>4.9616629999999998E-3</v>
      </c>
      <c r="C32">
        <v>4.9616629999999998E-3</v>
      </c>
      <c r="D32">
        <v>2.764168E-3</v>
      </c>
      <c r="E32">
        <v>2.3062579999999998E-3</v>
      </c>
      <c r="F32">
        <v>5.6333299999999995E-4</v>
      </c>
      <c r="G32">
        <v>1.2041039999999999E-3</v>
      </c>
      <c r="H32">
        <v>2.910185E-3</v>
      </c>
      <c r="J32" t="str">
        <f t="shared" si="1"/>
        <v>[</v>
      </c>
      <c r="K32" t="str">
        <f t="shared" si="2"/>
        <v>[0.0024808315],</v>
      </c>
      <c r="L32" t="str">
        <f t="shared" si="3"/>
        <v>[0.004961663],</v>
      </c>
      <c r="M32" t="str">
        <f t="shared" si="4"/>
        <v>[0.002764168],</v>
      </c>
      <c r="N32" t="str">
        <f t="shared" si="5"/>
        <v>[0.002306258],</v>
      </c>
      <c r="O32" t="str">
        <f t="shared" si="6"/>
        <v>[0.000563333],</v>
      </c>
      <c r="P32" t="str">
        <f t="shared" si="7"/>
        <v>[0.001204104],</v>
      </c>
      <c r="Q32" t="str">
        <f t="shared" si="8"/>
        <v>[0.002910185]</v>
      </c>
      <c r="R32" t="str">
        <f t="shared" si="9"/>
        <v>]</v>
      </c>
      <c r="S32" t="str">
        <f t="shared" si="10"/>
        <v>[[0.0024808315],[0.004961663],[0.002764168],[0.002306258],[0.000563333],[0.001204104],[0.002910185]]</v>
      </c>
    </row>
    <row r="33" spans="1:19" x14ac:dyDescent="0.2">
      <c r="A33" s="1" t="d">
        <v>2025-09-16</v>
      </c>
      <c r="B33">
        <v>4.9616629999999998E-3</v>
      </c>
      <c r="C33">
        <v>4.9616629999999998E-3</v>
      </c>
      <c r="D33">
        <v>2.764168E-3</v>
      </c>
      <c r="E33">
        <v>2.3062579999999998E-3</v>
      </c>
      <c r="F33">
        <v>5.6333299999999995E-4</v>
      </c>
      <c r="G33">
        <v>1.2041039999999999E-3</v>
      </c>
      <c r="H33">
        <v>2.910185E-3</v>
      </c>
      <c r="J33" t="str">
        <f t="shared" si="1"/>
        <v>[</v>
      </c>
      <c r="K33" t="str">
        <f t="shared" si="2"/>
        <v>[0.0024808315],</v>
      </c>
      <c r="L33" t="str">
        <f t="shared" si="3"/>
        <v>[0.004961663],</v>
      </c>
      <c r="M33" t="str">
        <f t="shared" si="4"/>
        <v>[0.002764168],</v>
      </c>
      <c r="N33" t="str">
        <f t="shared" si="5"/>
        <v>[0.002306258],</v>
      </c>
      <c r="O33" t="str">
        <f t="shared" si="6"/>
        <v>[0.000563333],</v>
      </c>
      <c r="P33" t="str">
        <f t="shared" si="7"/>
        <v>[0.001204104],</v>
      </c>
      <c r="Q33" t="str">
        <f t="shared" si="8"/>
        <v>[0.002910185]</v>
      </c>
      <c r="R33" t="str">
        <f t="shared" si="9"/>
        <v>]</v>
      </c>
      <c r="S33" t="str">
        <f t="shared" si="10"/>
        <v>[[0.0024808315],[0.004961663],[0.002764168],[0.002306258],[0.000563333],[0.001204104],[0.002910185]]</v>
      </c>
    </row>
    <row r="34" spans="1:19" x14ac:dyDescent="0.2">
      <c r="A34" s="1" t="d">
        <v>2025-09-17</v>
      </c>
      <c r="B34">
        <v>4.9616629999999998E-3</v>
      </c>
      <c r="C34">
        <v>4.9616629999999998E-3</v>
      </c>
      <c r="D34">
        <v>2.764168E-3</v>
      </c>
      <c r="E34">
        <v>2.3062579999999998E-3</v>
      </c>
      <c r="F34">
        <v>5.6333299999999995E-4</v>
      </c>
      <c r="G34">
        <v>1.2041039999999999E-3</v>
      </c>
      <c r="H34">
        <v>2.910185E-3</v>
      </c>
      <c r="J34" t="str">
        <f t="shared" si="1"/>
        <v>[</v>
      </c>
      <c r="K34" t="str">
        <f t="shared" si="2"/>
        <v>[0.0024808315],</v>
      </c>
      <c r="L34" t="str">
        <f t="shared" si="3"/>
        <v>[0.004961663],</v>
      </c>
      <c r="M34" t="str">
        <f t="shared" si="4"/>
        <v>[0.002764168],</v>
      </c>
      <c r="N34" t="str">
        <f t="shared" si="5"/>
        <v>[0.002306258],</v>
      </c>
      <c r="O34" t="str">
        <f t="shared" si="6"/>
        <v>[0.000563333],</v>
      </c>
      <c r="P34" t="str">
        <f t="shared" si="7"/>
        <v>[0.001204104],</v>
      </c>
      <c r="Q34" t="str">
        <f t="shared" si="8"/>
        <v>[0.002910185]</v>
      </c>
      <c r="R34" t="str">
        <f t="shared" si="9"/>
        <v>]</v>
      </c>
      <c r="S34" t="str">
        <f t="shared" si="10"/>
        <v>[[0.0024808315],[0.004961663],[0.002764168],[0.002306258],[0.000563333],[0.001204104],[0.002910185]]</v>
      </c>
    </row>
    <row r="35" spans="1:19" x14ac:dyDescent="0.2">
      <c r="A35" s="1" t="d">
        <v>2025-09-18</v>
      </c>
      <c r="B35">
        <v>4.9616629999999998E-3</v>
      </c>
      <c r="C35">
        <v>4.9616629999999998E-3</v>
      </c>
      <c r="D35">
        <v>2.764168E-3</v>
      </c>
      <c r="E35">
        <v>2.3062579999999998E-3</v>
      </c>
      <c r="F35">
        <v>5.6333299999999995E-4</v>
      </c>
      <c r="G35">
        <v>1.2041039999999999E-3</v>
      </c>
      <c r="H35">
        <v>2.910185E-3</v>
      </c>
      <c r="J35" t="str">
        <f t="shared" si="1"/>
        <v>[</v>
      </c>
      <c r="K35" t="str">
        <f t="shared" si="2"/>
        <v>[0.0024808315],</v>
      </c>
      <c r="L35" t="str">
        <f t="shared" si="3"/>
        <v>[0.004961663],</v>
      </c>
      <c r="M35" t="str">
        <f t="shared" si="4"/>
        <v>[0.002764168],</v>
      </c>
      <c r="N35" t="str">
        <f t="shared" si="5"/>
        <v>[0.002306258],</v>
      </c>
      <c r="O35" t="str">
        <f t="shared" si="6"/>
        <v>[0.000563333],</v>
      </c>
      <c r="P35" t="str">
        <f t="shared" si="7"/>
        <v>[0.001204104],</v>
      </c>
      <c r="Q35" t="str">
        <f t="shared" si="8"/>
        <v>[0.002910185]</v>
      </c>
      <c r="R35" t="str">
        <f t="shared" si="9"/>
        <v>]</v>
      </c>
      <c r="S35" t="str">
        <f t="shared" si="10"/>
        <v>[[0.0024808315],[0.004961663],[0.002764168],[0.002306258],[0.000563333],[0.001204104],[0.002910185]]</v>
      </c>
    </row>
    <row r="36" spans="1:19" x14ac:dyDescent="0.2">
      <c r="A36" s="1" t="d">
        <v>2025-09-19</v>
      </c>
      <c r="B36">
        <v>4.9616629999999998E-3</v>
      </c>
      <c r="C36">
        <v>4.9616629999999998E-3</v>
      </c>
      <c r="D36">
        <v>2.764168E-3</v>
      </c>
      <c r="E36">
        <v>2.3062579999999998E-3</v>
      </c>
      <c r="F36">
        <v>5.6333299999999995E-4</v>
      </c>
      <c r="G36">
        <v>1.2041039999999999E-3</v>
      </c>
      <c r="H36">
        <v>2.910185E-3</v>
      </c>
      <c r="J36" t="str">
        <f t="shared" si="1"/>
        <v>[</v>
      </c>
      <c r="K36" t="str">
        <f t="shared" si="2"/>
        <v>[0.0024808315],</v>
      </c>
      <c r="L36" t="str">
        <f t="shared" si="3"/>
        <v>[0.004961663],</v>
      </c>
      <c r="M36" t="str">
        <f t="shared" si="4"/>
        <v>[0.002764168],</v>
      </c>
      <c r="N36" t="str">
        <f t="shared" si="5"/>
        <v>[0.002306258],</v>
      </c>
      <c r="O36" t="str">
        <f t="shared" si="6"/>
        <v>[0.000563333],</v>
      </c>
      <c r="P36" t="str">
        <f t="shared" si="7"/>
        <v>[0.001204104],</v>
      </c>
      <c r="Q36" t="str">
        <f t="shared" si="8"/>
        <v>[0.002910185]</v>
      </c>
      <c r="R36" t="str">
        <f t="shared" si="9"/>
        <v>]</v>
      </c>
      <c r="S36" t="str">
        <f t="shared" si="10"/>
        <v>[[0.0024808315],[0.004961663],[0.002764168],[0.002306258],[0.000563333],[0.001204104],[0.002910185]]</v>
      </c>
    </row>
    <row r="37" spans="1:19" x14ac:dyDescent="0.2">
      <c r="A37" s="1" t="d">
        <v>2025-09-20</v>
      </c>
      <c r="B37">
        <v>5.4889559999999997E-3</v>
      </c>
      <c r="C37">
        <v>5.4889559999999997E-3</v>
      </c>
      <c r="D37">
        <v>3.37916E-3</v>
      </c>
      <c r="E37">
        <v>2.88017E-3</v>
      </c>
      <c r="F37">
        <v>1.220308E-3</v>
      </c>
      <c r="G37">
        <v>2.1639570000000002E-3</v>
      </c>
      <c r="H37">
        <v>4.193876E-3</v>
      </c>
      <c r="J37" t="str">
        <f t="shared" si="1"/>
        <v>[</v>
      </c>
      <c r="K37" t="str">
        <f t="shared" si="2"/>
        <v>[0.002744478],</v>
      </c>
      <c r="L37" t="str">
        <f t="shared" si="3"/>
        <v>[0.005488956],</v>
      </c>
      <c r="M37" t="str">
        <f t="shared" si="4"/>
        <v>[0.00337916],</v>
      </c>
      <c r="N37" t="str">
        <f t="shared" si="5"/>
        <v>[0.00288017],</v>
      </c>
      <c r="O37" t="str">
        <f t="shared" si="6"/>
        <v>[0.001220308],</v>
      </c>
      <c r="P37" t="str">
        <f t="shared" si="7"/>
        <v>[0.002163957],</v>
      </c>
      <c r="Q37" t="str">
        <f t="shared" si="8"/>
        <v>[0.004193876]</v>
      </c>
      <c r="R37" t="str">
        <f t="shared" si="9"/>
        <v>]</v>
      </c>
      <c r="S37" t="str">
        <f t="shared" si="10"/>
        <v>[[0.002744478],[0.005488956],[0.00337916],[0.00288017],[0.001220308],[0.002163957],[0.004193876]]</v>
      </c>
    </row>
    <row r="38" spans="1:19" x14ac:dyDescent="0.2">
      <c r="A38" s="1" t="d">
        <v>2025-09-21</v>
      </c>
      <c r="B38">
        <v>5.4889559999999997E-3</v>
      </c>
      <c r="C38">
        <v>5.4889559999999997E-3</v>
      </c>
      <c r="D38">
        <v>3.37916E-3</v>
      </c>
      <c r="E38">
        <v>2.88017E-3</v>
      </c>
      <c r="F38">
        <v>1.220308E-3</v>
      </c>
      <c r="G38">
        <v>2.1639570000000002E-3</v>
      </c>
      <c r="H38">
        <v>4.193876E-3</v>
      </c>
      <c r="J38" t="str">
        <f t="shared" si="1"/>
        <v>[</v>
      </c>
      <c r="K38" t="str">
        <f t="shared" si="2"/>
        <v>[0.002744478],</v>
      </c>
      <c r="L38" t="str">
        <f t="shared" si="3"/>
        <v>[0.005488956],</v>
      </c>
      <c r="M38" t="str">
        <f t="shared" si="4"/>
        <v>[0.00337916],</v>
      </c>
      <c r="N38" t="str">
        <f t="shared" si="5"/>
        <v>[0.00288017],</v>
      </c>
      <c r="O38" t="str">
        <f t="shared" si="6"/>
        <v>[0.001220308],</v>
      </c>
      <c r="P38" t="str">
        <f t="shared" si="7"/>
        <v>[0.002163957],</v>
      </c>
      <c r="Q38" t="str">
        <f t="shared" si="8"/>
        <v>[0.004193876]</v>
      </c>
      <c r="R38" t="str">
        <f t="shared" si="9"/>
        <v>]</v>
      </c>
      <c r="S38" t="str">
        <f t="shared" si="10"/>
        <v>[[0.002744478],[0.005488956],[0.00337916],[0.00288017],[0.001220308],[0.002163957],[0.004193876]]</v>
      </c>
    </row>
    <row r="39" spans="1:19" x14ac:dyDescent="0.2">
      <c r="A39" s="1" t="d">
        <v>2025-09-22</v>
      </c>
      <c r="B39">
        <v>5.4889559999999997E-3</v>
      </c>
      <c r="C39">
        <v>5.4889559999999997E-3</v>
      </c>
      <c r="D39">
        <v>3.37916E-3</v>
      </c>
      <c r="E39">
        <v>2.88017E-3</v>
      </c>
      <c r="F39">
        <v>1.220308E-3</v>
      </c>
      <c r="G39">
        <v>2.1639570000000002E-3</v>
      </c>
      <c r="H39">
        <v>4.193876E-3</v>
      </c>
      <c r="J39" t="str">
        <f t="shared" si="1"/>
        <v>[</v>
      </c>
      <c r="K39" t="str">
        <f t="shared" si="2"/>
        <v>[0.002744478],</v>
      </c>
      <c r="L39" t="str">
        <f t="shared" si="3"/>
        <v>[0.005488956],</v>
      </c>
      <c r="M39" t="str">
        <f t="shared" si="4"/>
        <v>[0.00337916],</v>
      </c>
      <c r="N39" t="str">
        <f t="shared" si="5"/>
        <v>[0.00288017],</v>
      </c>
      <c r="O39" t="str">
        <f t="shared" si="6"/>
        <v>[0.001220308],</v>
      </c>
      <c r="P39" t="str">
        <f t="shared" si="7"/>
        <v>[0.002163957],</v>
      </c>
      <c r="Q39" t="str">
        <f t="shared" si="8"/>
        <v>[0.004193876]</v>
      </c>
      <c r="R39" t="str">
        <f t="shared" si="9"/>
        <v>]</v>
      </c>
      <c r="S39" t="str">
        <f t="shared" si="10"/>
        <v>[[0.002744478],[0.005488956],[0.00337916],[0.00288017],[0.001220308],[0.002163957],[0.004193876]]</v>
      </c>
    </row>
    <row r="40" spans="1:19" x14ac:dyDescent="0.2">
      <c r="A40" s="1" t="d">
        <v>2025-09-23</v>
      </c>
      <c r="B40">
        <v>5.4889559999999997E-3</v>
      </c>
      <c r="C40">
        <v>5.4889559999999997E-3</v>
      </c>
      <c r="D40">
        <v>3.37916E-3</v>
      </c>
      <c r="E40">
        <v>2.88017E-3</v>
      </c>
      <c r="F40">
        <v>1.220308E-3</v>
      </c>
      <c r="G40">
        <v>2.1639570000000002E-3</v>
      </c>
      <c r="H40">
        <v>4.193876E-3</v>
      </c>
      <c r="J40" t="str">
        <f t="shared" si="1"/>
        <v>[</v>
      </c>
      <c r="K40" t="str">
        <f t="shared" si="2"/>
        <v>[0.002744478],</v>
      </c>
      <c r="L40" t="str">
        <f t="shared" si="3"/>
        <v>[0.005488956],</v>
      </c>
      <c r="M40" t="str">
        <f t="shared" si="4"/>
        <v>[0.00337916],</v>
      </c>
      <c r="N40" t="str">
        <f t="shared" si="5"/>
        <v>[0.00288017],</v>
      </c>
      <c r="O40" t="str">
        <f t="shared" si="6"/>
        <v>[0.001220308],</v>
      </c>
      <c r="P40" t="str">
        <f t="shared" si="7"/>
        <v>[0.002163957],</v>
      </c>
      <c r="Q40" t="str">
        <f t="shared" si="8"/>
        <v>[0.004193876]</v>
      </c>
      <c r="R40" t="str">
        <f t="shared" si="9"/>
        <v>]</v>
      </c>
      <c r="S40" t="str">
        <f t="shared" si="10"/>
        <v>[[0.002744478],[0.005488956],[0.00337916],[0.00288017],[0.001220308],[0.002163957],[0.004193876]]</v>
      </c>
    </row>
    <row r="41" spans="1:19" x14ac:dyDescent="0.2">
      <c r="A41" s="1" t="d">
        <v>2025-09-24</v>
      </c>
      <c r="B41">
        <v>5.4889559999999997E-3</v>
      </c>
      <c r="C41">
        <v>5.4889559999999997E-3</v>
      </c>
      <c r="D41">
        <v>3.37916E-3</v>
      </c>
      <c r="E41">
        <v>2.88017E-3</v>
      </c>
      <c r="F41">
        <v>1.220308E-3</v>
      </c>
      <c r="G41">
        <v>2.1639570000000002E-3</v>
      </c>
      <c r="H41">
        <v>4.193876E-3</v>
      </c>
      <c r="J41" t="str">
        <f t="shared" si="1"/>
        <v>[</v>
      </c>
      <c r="K41" t="str">
        <f t="shared" si="2"/>
        <v>[0.002744478],</v>
      </c>
      <c r="L41" t="str">
        <f t="shared" si="3"/>
        <v>[0.005488956],</v>
      </c>
      <c r="M41" t="str">
        <f t="shared" si="4"/>
        <v>[0.00337916],</v>
      </c>
      <c r="N41" t="str">
        <f t="shared" si="5"/>
        <v>[0.00288017],</v>
      </c>
      <c r="O41" t="str">
        <f t="shared" si="6"/>
        <v>[0.001220308],</v>
      </c>
      <c r="P41" t="str">
        <f t="shared" si="7"/>
        <v>[0.002163957],</v>
      </c>
      <c r="Q41" t="str">
        <f t="shared" si="8"/>
        <v>[0.004193876]</v>
      </c>
      <c r="R41" t="str">
        <f t="shared" si="9"/>
        <v>]</v>
      </c>
      <c r="S41" t="str">
        <f t="shared" si="10"/>
        <v>[[0.002744478],[0.005488956],[0.00337916],[0.00288017],[0.001220308],[0.002163957],[0.004193876]]</v>
      </c>
    </row>
    <row r="42" spans="1:19" x14ac:dyDescent="0.2">
      <c r="A42" s="1" t="d">
        <v>2025-09-25</v>
      </c>
      <c r="B42">
        <v>5.4889559999999997E-3</v>
      </c>
      <c r="C42">
        <v>5.4889559999999997E-3</v>
      </c>
      <c r="D42">
        <v>3.37916E-3</v>
      </c>
      <c r="E42">
        <v>2.88017E-3</v>
      </c>
      <c r="F42">
        <v>1.220308E-3</v>
      </c>
      <c r="G42">
        <v>2.1639570000000002E-3</v>
      </c>
      <c r="H42">
        <v>4.193876E-3</v>
      </c>
      <c r="J42" t="str">
        <f t="shared" si="1"/>
        <v>[</v>
      </c>
      <c r="K42" t="str">
        <f t="shared" si="2"/>
        <v>[0.002744478],</v>
      </c>
      <c r="L42" t="str">
        <f t="shared" si="3"/>
        <v>[0.005488956],</v>
      </c>
      <c r="M42" t="str">
        <f t="shared" si="4"/>
        <v>[0.00337916],</v>
      </c>
      <c r="N42" t="str">
        <f t="shared" si="5"/>
        <v>[0.00288017],</v>
      </c>
      <c r="O42" t="str">
        <f t="shared" si="6"/>
        <v>[0.001220308],</v>
      </c>
      <c r="P42" t="str">
        <f t="shared" si="7"/>
        <v>[0.002163957],</v>
      </c>
      <c r="Q42" t="str">
        <f t="shared" si="8"/>
        <v>[0.004193876]</v>
      </c>
      <c r="R42" t="str">
        <f t="shared" si="9"/>
        <v>]</v>
      </c>
      <c r="S42" t="str">
        <f t="shared" si="10"/>
        <v>[[0.002744478],[0.005488956],[0.00337916],[0.00288017],[0.001220308],[0.002163957],[0.004193876]]</v>
      </c>
    </row>
    <row r="43" spans="1:19" x14ac:dyDescent="0.2">
      <c r="A43" s="1" t="d">
        <v>2025-09-26</v>
      </c>
      <c r="B43">
        <v>5.4889559999999997E-3</v>
      </c>
      <c r="C43">
        <v>5.4889559999999997E-3</v>
      </c>
      <c r="D43">
        <v>3.37916E-3</v>
      </c>
      <c r="E43">
        <v>2.88017E-3</v>
      </c>
      <c r="F43">
        <v>1.220308E-3</v>
      </c>
      <c r="G43">
        <v>2.1639570000000002E-3</v>
      </c>
      <c r="H43">
        <v>4.193876E-3</v>
      </c>
      <c r="J43" t="str">
        <f t="shared" si="1"/>
        <v>[</v>
      </c>
      <c r="K43" t="str">
        <f t="shared" si="2"/>
        <v>[0.002744478],</v>
      </c>
      <c r="L43" t="str">
        <f t="shared" si="3"/>
        <v>[0.005488956],</v>
      </c>
      <c r="M43" t="str">
        <f t="shared" si="4"/>
        <v>[0.00337916],</v>
      </c>
      <c r="N43" t="str">
        <f t="shared" si="5"/>
        <v>[0.00288017],</v>
      </c>
      <c r="O43" t="str">
        <f t="shared" si="6"/>
        <v>[0.001220308],</v>
      </c>
      <c r="P43" t="str">
        <f t="shared" si="7"/>
        <v>[0.002163957],</v>
      </c>
      <c r="Q43" t="str">
        <f t="shared" si="8"/>
        <v>[0.004193876]</v>
      </c>
      <c r="R43" t="str">
        <f t="shared" si="9"/>
        <v>]</v>
      </c>
      <c r="S43" t="str">
        <f t="shared" si="10"/>
        <v>[[0.002744478],[0.005488956],[0.00337916],[0.00288017],[0.001220308],[0.002163957],[0.004193876]]</v>
      </c>
    </row>
    <row r="44" spans="1:19" x14ac:dyDescent="0.2">
      <c r="A44" s="1" t="d">
        <v>2025-09-27</v>
      </c>
      <c r="B44">
        <v>1.1698037999999999E-2</v>
      </c>
      <c r="C44">
        <v>1.1698037999999999E-2</v>
      </c>
      <c r="D44">
        <v>7.5435199999999997E-3</v>
      </c>
      <c r="E44">
        <v>6.4865909999999999E-3</v>
      </c>
      <c r="F44">
        <v>3.1720839999999999E-3</v>
      </c>
      <c r="G44">
        <v>5.4253900000000004E-3</v>
      </c>
      <c r="H44">
        <v>9.3291490000000001E-3</v>
      </c>
      <c r="J44" t="str">
        <f t="shared" si="1"/>
        <v>[</v>
      </c>
      <c r="K44" t="str">
        <f t="shared" si="2"/>
        <v>[0.005849019],</v>
      </c>
      <c r="L44" t="str">
        <f t="shared" si="3"/>
        <v>[0.011698038],</v>
      </c>
      <c r="M44" t="str">
        <f t="shared" si="4"/>
        <v>[0.00754352],</v>
      </c>
      <c r="N44" t="str">
        <f t="shared" si="5"/>
        <v>[0.006486591],</v>
      </c>
      <c r="O44" t="str">
        <f t="shared" si="6"/>
        <v>[0.003172084],</v>
      </c>
      <c r="P44" t="str">
        <f t="shared" si="7"/>
        <v>[0.00542539],</v>
      </c>
      <c r="Q44" t="str">
        <f t="shared" si="8"/>
        <v>[0.009329149]</v>
      </c>
      <c r="R44" t="str">
        <f t="shared" si="9"/>
        <v>]</v>
      </c>
      <c r="S44" t="str">
        <f t="shared" si="10"/>
        <v>[[0.005849019],[0.011698038],[0.00754352],[0.006486591],[0.003172084],[0.00542539],[0.009329149]]</v>
      </c>
    </row>
    <row r="45" spans="1:19" x14ac:dyDescent="0.2">
      <c r="A45" s="1" t="d">
        <v>2025-09-28</v>
      </c>
      <c r="B45">
        <v>1.1698037999999999E-2</v>
      </c>
      <c r="C45">
        <v>1.1698037999999999E-2</v>
      </c>
      <c r="D45">
        <v>7.5435199999999997E-3</v>
      </c>
      <c r="E45">
        <v>6.4865909999999999E-3</v>
      </c>
      <c r="F45">
        <v>3.1720839999999999E-3</v>
      </c>
      <c r="G45">
        <v>5.4253900000000004E-3</v>
      </c>
      <c r="H45">
        <v>9.3291490000000001E-3</v>
      </c>
      <c r="J45" t="str">
        <f t="shared" si="1"/>
        <v>[</v>
      </c>
      <c r="K45" t="str">
        <f t="shared" si="2"/>
        <v>[0.005849019],</v>
      </c>
      <c r="L45" t="str">
        <f t="shared" si="3"/>
        <v>[0.011698038],</v>
      </c>
      <c r="M45" t="str">
        <f t="shared" si="4"/>
        <v>[0.00754352],</v>
      </c>
      <c r="N45" t="str">
        <f t="shared" si="5"/>
        <v>[0.006486591],</v>
      </c>
      <c r="O45" t="str">
        <f t="shared" si="6"/>
        <v>[0.003172084],</v>
      </c>
      <c r="P45" t="str">
        <f t="shared" si="7"/>
        <v>[0.00542539],</v>
      </c>
      <c r="Q45" t="str">
        <f t="shared" si="8"/>
        <v>[0.009329149]</v>
      </c>
      <c r="R45" t="str">
        <f t="shared" si="9"/>
        <v>]</v>
      </c>
      <c r="S45" t="str">
        <f t="shared" si="10"/>
        <v>[[0.005849019],[0.011698038],[0.00754352],[0.006486591],[0.003172084],[0.00542539],[0.009329149]]</v>
      </c>
    </row>
    <row r="46" spans="1:19" x14ac:dyDescent="0.2">
      <c r="A46" s="1" t="d">
        <v>2025-09-29</v>
      </c>
      <c r="B46">
        <v>1.1698037999999999E-2</v>
      </c>
      <c r="C46">
        <v>1.1698037999999999E-2</v>
      </c>
      <c r="D46">
        <v>7.5435199999999997E-3</v>
      </c>
      <c r="E46">
        <v>6.4865909999999999E-3</v>
      </c>
      <c r="F46">
        <v>3.1720839999999999E-3</v>
      </c>
      <c r="G46">
        <v>5.4253900000000004E-3</v>
      </c>
      <c r="H46">
        <v>9.3291490000000001E-3</v>
      </c>
      <c r="J46" t="str">
        <f t="shared" si="1"/>
        <v>[</v>
      </c>
      <c r="K46" t="str">
        <f t="shared" si="2"/>
        <v>[0.005849019],</v>
      </c>
      <c r="L46" t="str">
        <f t="shared" si="3"/>
        <v>[0.011698038],</v>
      </c>
      <c r="M46" t="str">
        <f t="shared" si="4"/>
        <v>[0.00754352],</v>
      </c>
      <c r="N46" t="str">
        <f t="shared" si="5"/>
        <v>[0.006486591],</v>
      </c>
      <c r="O46" t="str">
        <f t="shared" si="6"/>
        <v>[0.003172084],</v>
      </c>
      <c r="P46" t="str">
        <f t="shared" si="7"/>
        <v>[0.00542539],</v>
      </c>
      <c r="Q46" t="str">
        <f t="shared" si="8"/>
        <v>[0.009329149]</v>
      </c>
      <c r="R46" t="str">
        <f t="shared" si="9"/>
        <v>]</v>
      </c>
      <c r="S46" t="str">
        <f t="shared" si="10"/>
        <v>[[0.005849019],[0.011698038],[0.00754352],[0.006486591],[0.003172084],[0.00542539],[0.009329149]]</v>
      </c>
    </row>
    <row r="47" spans="1:19" x14ac:dyDescent="0.2">
      <c r="A47" s="1" t="d">
        <v>2025-09-30</v>
      </c>
      <c r="B47">
        <v>1.1698037999999999E-2</v>
      </c>
      <c r="C47">
        <v>1.1698037999999999E-2</v>
      </c>
      <c r="D47">
        <v>7.5435199999999997E-3</v>
      </c>
      <c r="E47">
        <v>6.4865909999999999E-3</v>
      </c>
      <c r="F47">
        <v>3.1720839999999999E-3</v>
      </c>
      <c r="G47">
        <v>5.4253900000000004E-3</v>
      </c>
      <c r="H47">
        <v>9.3291490000000001E-3</v>
      </c>
      <c r="J47" t="str">
        <f t="shared" si="1"/>
        <v>[</v>
      </c>
      <c r="K47" t="str">
        <f t="shared" si="2"/>
        <v>[0.005849019],</v>
      </c>
      <c r="L47" t="str">
        <f t="shared" si="3"/>
        <v>[0.011698038],</v>
      </c>
      <c r="M47" t="str">
        <f t="shared" si="4"/>
        <v>[0.00754352],</v>
      </c>
      <c r="N47" t="str">
        <f t="shared" si="5"/>
        <v>[0.006486591],</v>
      </c>
      <c r="O47" t="str">
        <f t="shared" si="6"/>
        <v>[0.003172084],</v>
      </c>
      <c r="P47" t="str">
        <f t="shared" si="7"/>
        <v>[0.00542539],</v>
      </c>
      <c r="Q47" t="str">
        <f t="shared" si="8"/>
        <v>[0.009329149]</v>
      </c>
      <c r="R47" t="str">
        <f t="shared" si="9"/>
        <v>]</v>
      </c>
      <c r="S47" t="str">
        <f t="shared" si="10"/>
        <v>[[0.005849019],[0.011698038],[0.00754352],[0.006486591],[0.003172084],[0.00542539],[0.009329149]]</v>
      </c>
    </row>
    <row r="48" spans="1:19" x14ac:dyDescent="0.2">
      <c r="A48" s="1" t="d">
        <v>2025-10-01</v>
      </c>
      <c r="B48">
        <v>1.1698037999999999E-2</v>
      </c>
      <c r="C48">
        <v>1.1698037999999999E-2</v>
      </c>
      <c r="D48">
        <v>7.5435199999999997E-3</v>
      </c>
      <c r="E48">
        <v>6.4865909999999999E-3</v>
      </c>
      <c r="F48">
        <v>3.1720839999999999E-3</v>
      </c>
      <c r="G48">
        <v>5.4253900000000004E-3</v>
      </c>
      <c r="H48">
        <v>9.3291490000000001E-3</v>
      </c>
      <c r="J48" t="str">
        <f t="shared" si="1"/>
        <v>[</v>
      </c>
      <c r="K48" t="str">
        <f t="shared" si="2"/>
        <v>[0.005849019],</v>
      </c>
      <c r="L48" t="str">
        <f t="shared" si="3"/>
        <v>[0.011698038],</v>
      </c>
      <c r="M48" t="str">
        <f t="shared" si="4"/>
        <v>[0.00754352],</v>
      </c>
      <c r="N48" t="str">
        <f t="shared" si="5"/>
        <v>[0.006486591],</v>
      </c>
      <c r="O48" t="str">
        <f t="shared" si="6"/>
        <v>[0.003172084],</v>
      </c>
      <c r="P48" t="str">
        <f t="shared" si="7"/>
        <v>[0.00542539],</v>
      </c>
      <c r="Q48" t="str">
        <f t="shared" si="8"/>
        <v>[0.009329149]</v>
      </c>
      <c r="R48" t="str">
        <f t="shared" si="9"/>
        <v>]</v>
      </c>
      <c r="S48" t="str">
        <f t="shared" si="10"/>
        <v>[[0.005849019],[0.011698038],[0.00754352],[0.006486591],[0.003172084],[0.00542539],[0.009329149]]</v>
      </c>
    </row>
    <row r="49" spans="1:19" x14ac:dyDescent="0.2">
      <c r="A49" s="1" t="d">
        <v>2025-10-02</v>
      </c>
      <c r="B49">
        <v>1.1698037999999999E-2</v>
      </c>
      <c r="C49">
        <v>1.1698037999999999E-2</v>
      </c>
      <c r="D49">
        <v>7.5435199999999997E-3</v>
      </c>
      <c r="E49">
        <v>6.4865909999999999E-3</v>
      </c>
      <c r="F49">
        <v>3.1720839999999999E-3</v>
      </c>
      <c r="G49">
        <v>5.4253900000000004E-3</v>
      </c>
      <c r="H49">
        <v>9.3291490000000001E-3</v>
      </c>
      <c r="J49" t="str">
        <f t="shared" si="1"/>
        <v>[</v>
      </c>
      <c r="K49" t="str">
        <f t="shared" si="2"/>
        <v>[0.005849019],</v>
      </c>
      <c r="L49" t="str">
        <f t="shared" si="3"/>
        <v>[0.011698038],</v>
      </c>
      <c r="M49" t="str">
        <f t="shared" si="4"/>
        <v>[0.00754352],</v>
      </c>
      <c r="N49" t="str">
        <f t="shared" si="5"/>
        <v>[0.006486591],</v>
      </c>
      <c r="O49" t="str">
        <f t="shared" si="6"/>
        <v>[0.003172084],</v>
      </c>
      <c r="P49" t="str">
        <f t="shared" si="7"/>
        <v>[0.00542539],</v>
      </c>
      <c r="Q49" t="str">
        <f t="shared" si="8"/>
        <v>[0.009329149]</v>
      </c>
      <c r="R49" t="str">
        <f t="shared" si="9"/>
        <v>]</v>
      </c>
      <c r="S49" t="str">
        <f t="shared" si="10"/>
        <v>[[0.005849019],[0.011698038],[0.00754352],[0.006486591],[0.003172084],[0.00542539],[0.009329149]]</v>
      </c>
    </row>
    <row r="50" spans="1:19" x14ac:dyDescent="0.2">
      <c r="A50" s="1" t="d">
        <v>2025-10-03</v>
      </c>
      <c r="B50">
        <v>1.1698037999999999E-2</v>
      </c>
      <c r="C50">
        <v>1.1698037999999999E-2</v>
      </c>
      <c r="D50">
        <v>7.5435199999999997E-3</v>
      </c>
      <c r="E50">
        <v>6.4865909999999999E-3</v>
      </c>
      <c r="F50">
        <v>3.1720839999999999E-3</v>
      </c>
      <c r="G50">
        <v>5.4253900000000004E-3</v>
      </c>
      <c r="H50">
        <v>9.3291490000000001E-3</v>
      </c>
      <c r="J50" t="str">
        <f t="shared" si="1"/>
        <v>[</v>
      </c>
      <c r="K50" t="str">
        <f t="shared" si="2"/>
        <v>[0.005849019],</v>
      </c>
      <c r="L50" t="str">
        <f t="shared" si="3"/>
        <v>[0.011698038],</v>
      </c>
      <c r="M50" t="str">
        <f t="shared" si="4"/>
        <v>[0.00754352],</v>
      </c>
      <c r="N50" t="str">
        <f t="shared" si="5"/>
        <v>[0.006486591],</v>
      </c>
      <c r="O50" t="str">
        <f t="shared" si="6"/>
        <v>[0.003172084],</v>
      </c>
      <c r="P50" t="str">
        <f t="shared" si="7"/>
        <v>[0.00542539],</v>
      </c>
      <c r="Q50" t="str">
        <f t="shared" si="8"/>
        <v>[0.009329149]</v>
      </c>
      <c r="R50" t="str">
        <f t="shared" si="9"/>
        <v>]</v>
      </c>
      <c r="S50" t="str">
        <f t="shared" si="10"/>
        <v>[[0.005849019],[0.011698038],[0.00754352],[0.006486591],[0.003172084],[0.00542539],[0.009329149]]</v>
      </c>
    </row>
    <row r="51" spans="1:19" x14ac:dyDescent="0.2">
      <c r="A51" s="1" t="d">
        <v>2025-10-04</v>
      </c>
      <c r="B51">
        <v>6.6486219999999999E-3</v>
      </c>
      <c r="C51">
        <v>6.6486219999999999E-3</v>
      </c>
      <c r="D51">
        <v>4.5382959999999998E-3</v>
      </c>
      <c r="E51">
        <v>3.9847040000000004E-3</v>
      </c>
      <c r="F51">
        <v>2.2998350000000001E-3</v>
      </c>
      <c r="G51">
        <v>3.8186320000000002E-3</v>
      </c>
      <c r="H51">
        <v>5.675622E-3</v>
      </c>
      <c r="J51" t="str">
        <f t="shared" si="1"/>
        <v>[</v>
      </c>
      <c r="K51" t="str">
        <f t="shared" si="2"/>
        <v>[0.003324311],</v>
      </c>
      <c r="L51" t="str">
        <f t="shared" si="3"/>
        <v>[0.006648622],</v>
      </c>
      <c r="M51" t="str">
        <f t="shared" si="4"/>
        <v>[0.004538296],</v>
      </c>
      <c r="N51" t="str">
        <f t="shared" si="5"/>
        <v>[0.003984704],</v>
      </c>
      <c r="O51" t="str">
        <f t="shared" si="6"/>
        <v>[0.002299835],</v>
      </c>
      <c r="P51" t="str">
        <f t="shared" si="7"/>
        <v>[0.003818632],</v>
      </c>
      <c r="Q51" t="str">
        <f t="shared" si="8"/>
        <v>[0.005675622]</v>
      </c>
      <c r="R51" t="str">
        <f t="shared" si="9"/>
        <v>]</v>
      </c>
      <c r="S51" t="str">
        <f t="shared" si="10"/>
        <v>[[0.003324311],[0.006648622],[0.004538296],[0.003984704],[0.002299835],[0.003818632],[0.005675622]]</v>
      </c>
    </row>
    <row r="52" spans="1:19" x14ac:dyDescent="0.2">
      <c r="A52" s="1" t="d">
        <v>2025-10-05</v>
      </c>
      <c r="B52">
        <v>6.6486219999999999E-3</v>
      </c>
      <c r="C52">
        <v>6.6486219999999999E-3</v>
      </c>
      <c r="D52">
        <v>4.5382959999999998E-3</v>
      </c>
      <c r="E52">
        <v>3.9847040000000004E-3</v>
      </c>
      <c r="F52">
        <v>2.2998350000000001E-3</v>
      </c>
      <c r="G52">
        <v>3.8186320000000002E-3</v>
      </c>
      <c r="H52">
        <v>5.675622E-3</v>
      </c>
      <c r="J52" t="str">
        <f t="shared" si="1"/>
        <v>[</v>
      </c>
      <c r="K52" t="str">
        <f t="shared" si="2"/>
        <v>[0.003324311],</v>
      </c>
      <c r="L52" t="str">
        <f t="shared" si="3"/>
        <v>[0.006648622],</v>
      </c>
      <c r="M52" t="str">
        <f t="shared" si="4"/>
        <v>[0.004538296],</v>
      </c>
      <c r="N52" t="str">
        <f t="shared" si="5"/>
        <v>[0.003984704],</v>
      </c>
      <c r="O52" t="str">
        <f t="shared" si="6"/>
        <v>[0.002299835],</v>
      </c>
      <c r="P52" t="str">
        <f t="shared" si="7"/>
        <v>[0.003818632],</v>
      </c>
      <c r="Q52" t="str">
        <f t="shared" si="8"/>
        <v>[0.005675622]</v>
      </c>
      <c r="R52" t="str">
        <f t="shared" si="9"/>
        <v>]</v>
      </c>
      <c r="S52" t="str">
        <f t="shared" si="10"/>
        <v>[[0.003324311],[0.006648622],[0.004538296],[0.003984704],[0.002299835],[0.003818632],[0.005675622]]</v>
      </c>
    </row>
    <row r="53" spans="1:19" x14ac:dyDescent="0.2">
      <c r="A53" s="1" t="d">
        <v>2025-10-06</v>
      </c>
      <c r="B53">
        <v>6.6486219999999999E-3</v>
      </c>
      <c r="C53">
        <v>6.6486219999999999E-3</v>
      </c>
      <c r="D53">
        <v>4.5382959999999998E-3</v>
      </c>
      <c r="E53">
        <v>3.9847040000000004E-3</v>
      </c>
      <c r="F53">
        <v>2.2998350000000001E-3</v>
      </c>
      <c r="G53">
        <v>3.8186320000000002E-3</v>
      </c>
      <c r="H53">
        <v>5.675622E-3</v>
      </c>
      <c r="J53" t="str">
        <f t="shared" si="1"/>
        <v>[</v>
      </c>
      <c r="K53" t="str">
        <f t="shared" si="2"/>
        <v>[0.003324311],</v>
      </c>
      <c r="L53" t="str">
        <f t="shared" si="3"/>
        <v>[0.006648622],</v>
      </c>
      <c r="M53" t="str">
        <f t="shared" si="4"/>
        <v>[0.004538296],</v>
      </c>
      <c r="N53" t="str">
        <f t="shared" si="5"/>
        <v>[0.003984704],</v>
      </c>
      <c r="O53" t="str">
        <f t="shared" si="6"/>
        <v>[0.002299835],</v>
      </c>
      <c r="P53" t="str">
        <f t="shared" si="7"/>
        <v>[0.003818632],</v>
      </c>
      <c r="Q53" t="str">
        <f t="shared" si="8"/>
        <v>[0.005675622]</v>
      </c>
      <c r="R53" t="str">
        <f t="shared" si="9"/>
        <v>]</v>
      </c>
      <c r="S53" t="str">
        <f t="shared" si="10"/>
        <v>[[0.003324311],[0.006648622],[0.004538296],[0.003984704],[0.002299835],[0.003818632],[0.005675622]]</v>
      </c>
    </row>
    <row r="54" spans="1:19" x14ac:dyDescent="0.2">
      <c r="A54" s="1" t="d">
        <v>2025-10-07</v>
      </c>
      <c r="B54">
        <v>6.6486219999999999E-3</v>
      </c>
      <c r="C54">
        <v>6.6486219999999999E-3</v>
      </c>
      <c r="D54">
        <v>4.5382959999999998E-3</v>
      </c>
      <c r="E54">
        <v>3.9847040000000004E-3</v>
      </c>
      <c r="F54">
        <v>2.2998350000000001E-3</v>
      </c>
      <c r="G54">
        <v>3.8186320000000002E-3</v>
      </c>
      <c r="H54">
        <v>5.675622E-3</v>
      </c>
      <c r="J54" t="str">
        <f t="shared" si="1"/>
        <v>[</v>
      </c>
      <c r="K54" t="str">
        <f t="shared" si="2"/>
        <v>[0.003324311],</v>
      </c>
      <c r="L54" t="str">
        <f t="shared" si="3"/>
        <v>[0.006648622],</v>
      </c>
      <c r="M54" t="str">
        <f t="shared" si="4"/>
        <v>[0.004538296],</v>
      </c>
      <c r="N54" t="str">
        <f t="shared" si="5"/>
        <v>[0.003984704],</v>
      </c>
      <c r="O54" t="str">
        <f t="shared" si="6"/>
        <v>[0.002299835],</v>
      </c>
      <c r="P54" t="str">
        <f t="shared" si="7"/>
        <v>[0.003818632],</v>
      </c>
      <c r="Q54" t="str">
        <f t="shared" si="8"/>
        <v>[0.005675622]</v>
      </c>
      <c r="R54" t="str">
        <f t="shared" si="9"/>
        <v>]</v>
      </c>
      <c r="S54" t="str">
        <f t="shared" si="10"/>
        <v>[[0.003324311],[0.006648622],[0.004538296],[0.003984704],[0.002299835],[0.003818632],[0.005675622]]</v>
      </c>
    </row>
    <row r="55" spans="1:19" x14ac:dyDescent="0.2">
      <c r="A55" s="1" t="d">
        <v>2025-10-08</v>
      </c>
      <c r="B55">
        <v>6.6486219999999999E-3</v>
      </c>
      <c r="C55">
        <v>6.6486219999999999E-3</v>
      </c>
      <c r="D55">
        <v>4.5382959999999998E-3</v>
      </c>
      <c r="E55">
        <v>3.9847040000000004E-3</v>
      </c>
      <c r="F55">
        <v>2.2998350000000001E-3</v>
      </c>
      <c r="G55">
        <v>3.8186320000000002E-3</v>
      </c>
      <c r="H55">
        <v>5.675622E-3</v>
      </c>
      <c r="J55" t="str">
        <f t="shared" si="1"/>
        <v>[</v>
      </c>
      <c r="K55" t="str">
        <f t="shared" si="2"/>
        <v>[0.003324311],</v>
      </c>
      <c r="L55" t="str">
        <f t="shared" si="3"/>
        <v>[0.006648622],</v>
      </c>
      <c r="M55" t="str">
        <f t="shared" si="4"/>
        <v>[0.004538296],</v>
      </c>
      <c r="N55" t="str">
        <f t="shared" si="5"/>
        <v>[0.003984704],</v>
      </c>
      <c r="O55" t="str">
        <f t="shared" si="6"/>
        <v>[0.002299835],</v>
      </c>
      <c r="P55" t="str">
        <f t="shared" si="7"/>
        <v>[0.003818632],</v>
      </c>
      <c r="Q55" t="str">
        <f t="shared" si="8"/>
        <v>[0.005675622]</v>
      </c>
      <c r="R55" t="str">
        <f t="shared" si="9"/>
        <v>]</v>
      </c>
      <c r="S55" t="str">
        <f t="shared" si="10"/>
        <v>[[0.003324311],[0.006648622],[0.004538296],[0.003984704],[0.002299835],[0.003818632],[0.005675622]]</v>
      </c>
    </row>
    <row r="56" spans="1:19" x14ac:dyDescent="0.2">
      <c r="A56" s="1" t="d">
        <v>2025-10-09</v>
      </c>
      <c r="B56">
        <v>6.6486219999999999E-3</v>
      </c>
      <c r="C56">
        <v>6.6486219999999999E-3</v>
      </c>
      <c r="D56">
        <v>4.5382959999999998E-3</v>
      </c>
      <c r="E56">
        <v>3.9847040000000004E-3</v>
      </c>
      <c r="F56">
        <v>2.2998350000000001E-3</v>
      </c>
      <c r="G56">
        <v>3.8186320000000002E-3</v>
      </c>
      <c r="H56">
        <v>5.675622E-3</v>
      </c>
      <c r="J56" t="str">
        <f t="shared" si="1"/>
        <v>[</v>
      </c>
      <c r="K56" t="str">
        <f t="shared" si="2"/>
        <v>[0.003324311],</v>
      </c>
      <c r="L56" t="str">
        <f t="shared" si="3"/>
        <v>[0.006648622],</v>
      </c>
      <c r="M56" t="str">
        <f t="shared" si="4"/>
        <v>[0.004538296],</v>
      </c>
      <c r="N56" t="str">
        <f t="shared" si="5"/>
        <v>[0.003984704],</v>
      </c>
      <c r="O56" t="str">
        <f t="shared" si="6"/>
        <v>[0.002299835],</v>
      </c>
      <c r="P56" t="str">
        <f t="shared" si="7"/>
        <v>[0.003818632],</v>
      </c>
      <c r="Q56" t="str">
        <f t="shared" si="8"/>
        <v>[0.005675622]</v>
      </c>
      <c r="R56" t="str">
        <f t="shared" si="9"/>
        <v>]</v>
      </c>
      <c r="S56" t="str">
        <f t="shared" si="10"/>
        <v>[[0.003324311],[0.006648622],[0.004538296],[0.003984704],[0.002299835],[0.003818632],[0.005675622]]</v>
      </c>
    </row>
    <row r="57" spans="1:19" x14ac:dyDescent="0.2">
      <c r="A57" s="1" t="d">
        <v>2025-10-10</v>
      </c>
      <c r="B57">
        <v>6.6486219999999999E-3</v>
      </c>
      <c r="C57">
        <v>6.6486219999999999E-3</v>
      </c>
      <c r="D57">
        <v>4.5382959999999998E-3</v>
      </c>
      <c r="E57">
        <v>3.9847040000000004E-3</v>
      </c>
      <c r="F57">
        <v>2.2998350000000001E-3</v>
      </c>
      <c r="G57">
        <v>3.8186320000000002E-3</v>
      </c>
      <c r="H57">
        <v>5.675622E-3</v>
      </c>
      <c r="J57" t="str">
        <f t="shared" si="1"/>
        <v>[</v>
      </c>
      <c r="K57" t="str">
        <f t="shared" si="2"/>
        <v>[0.003324311],</v>
      </c>
      <c r="L57" t="str">
        <f t="shared" si="3"/>
        <v>[0.006648622],</v>
      </c>
      <c r="M57" t="str">
        <f t="shared" si="4"/>
        <v>[0.004538296],</v>
      </c>
      <c r="N57" t="str">
        <f t="shared" si="5"/>
        <v>[0.003984704],</v>
      </c>
      <c r="O57" t="str">
        <f t="shared" si="6"/>
        <v>[0.002299835],</v>
      </c>
      <c r="P57" t="str">
        <f t="shared" si="7"/>
        <v>[0.003818632],</v>
      </c>
      <c r="Q57" t="str">
        <f t="shared" si="8"/>
        <v>[0.005675622]</v>
      </c>
      <c r="R57" t="str">
        <f t="shared" si="9"/>
        <v>]</v>
      </c>
      <c r="S57" t="str">
        <f t="shared" si="10"/>
        <v>[[0.003324311],[0.006648622],[0.004538296],[0.003984704],[0.002299835],[0.003818632],[0.005675622]]</v>
      </c>
    </row>
    <row r="58" spans="1:19" x14ac:dyDescent="0.2">
      <c r="A58" s="1" t="d">
        <v>2025-10-11</v>
      </c>
      <c r="B58">
        <v>7.4500080000000002E-3</v>
      </c>
      <c r="C58">
        <v>7.4500080000000002E-3</v>
      </c>
      <c r="D58">
        <v>5.2738949999999998E-3</v>
      </c>
      <c r="E58">
        <v>4.7160429999999996E-3</v>
      </c>
      <c r="F58">
        <v>3.0253189999999998E-3</v>
      </c>
      <c r="G58">
        <v>4.9469600000000002E-3</v>
      </c>
      <c r="H58">
        <v>6.6924380000000002E-3</v>
      </c>
      <c r="J58" t="str">
        <f t="shared" si="1"/>
        <v>[</v>
      </c>
      <c r="K58" t="str">
        <f t="shared" si="2"/>
        <v>[0.003725004],</v>
      </c>
      <c r="L58" t="str">
        <f t="shared" si="3"/>
        <v>[0.007450008],</v>
      </c>
      <c r="M58" t="str">
        <f t="shared" si="4"/>
        <v>[0.005273895],</v>
      </c>
      <c r="N58" t="str">
        <f t="shared" si="5"/>
        <v>[0.004716043],</v>
      </c>
      <c r="O58" t="str">
        <f t="shared" si="6"/>
        <v>[0.003025319],</v>
      </c>
      <c r="P58" t="str">
        <f t="shared" si="7"/>
        <v>[0.00494696],</v>
      </c>
      <c r="Q58" t="str">
        <f t="shared" si="8"/>
        <v>[0.006692438]</v>
      </c>
      <c r="R58" t="str">
        <f t="shared" si="9"/>
        <v>]</v>
      </c>
      <c r="S58" t="str">
        <f t="shared" si="10"/>
        <v>[[0.003725004],[0.007450008],[0.005273895],[0.004716043],[0.003025319],[0.00494696],[0.006692438]]</v>
      </c>
    </row>
    <row r="59" spans="1:19" x14ac:dyDescent="0.2">
      <c r="A59" s="1" t="d">
        <v>2025-10-12</v>
      </c>
      <c r="B59">
        <v>7.4500080000000002E-3</v>
      </c>
      <c r="C59">
        <v>7.4500080000000002E-3</v>
      </c>
      <c r="D59">
        <v>5.2738949999999998E-3</v>
      </c>
      <c r="E59">
        <v>4.7160429999999996E-3</v>
      </c>
      <c r="F59">
        <v>3.0253189999999998E-3</v>
      </c>
      <c r="G59">
        <v>4.9469600000000002E-3</v>
      </c>
      <c r="H59">
        <v>6.6924380000000002E-3</v>
      </c>
      <c r="J59" t="str">
        <f t="shared" si="1"/>
        <v>[</v>
      </c>
      <c r="K59" t="str">
        <f t="shared" si="2"/>
        <v>[0.003725004],</v>
      </c>
      <c r="L59" t="str">
        <f t="shared" si="3"/>
        <v>[0.007450008],</v>
      </c>
      <c r="M59" t="str">
        <f t="shared" si="4"/>
        <v>[0.005273895],</v>
      </c>
      <c r="N59" t="str">
        <f t="shared" si="5"/>
        <v>[0.004716043],</v>
      </c>
      <c r="O59" t="str">
        <f t="shared" si="6"/>
        <v>[0.003025319],</v>
      </c>
      <c r="P59" t="str">
        <f t="shared" si="7"/>
        <v>[0.00494696],</v>
      </c>
      <c r="Q59" t="str">
        <f t="shared" si="8"/>
        <v>[0.006692438]</v>
      </c>
      <c r="R59" t="str">
        <f t="shared" si="9"/>
        <v>]</v>
      </c>
      <c r="S59" t="str">
        <f t="shared" si="10"/>
        <v>[[0.003725004],[0.007450008],[0.005273895],[0.004716043],[0.003025319],[0.00494696],[0.006692438]]</v>
      </c>
    </row>
    <row r="60" spans="1:19" x14ac:dyDescent="0.2">
      <c r="A60" s="1" t="d">
        <v>2025-10-13</v>
      </c>
      <c r="B60">
        <v>7.4500080000000002E-3</v>
      </c>
      <c r="C60">
        <v>7.4500080000000002E-3</v>
      </c>
      <c r="D60">
        <v>5.2738949999999998E-3</v>
      </c>
      <c r="E60">
        <v>4.7160429999999996E-3</v>
      </c>
      <c r="F60">
        <v>3.0253189999999998E-3</v>
      </c>
      <c r="G60">
        <v>4.9469600000000002E-3</v>
      </c>
      <c r="H60">
        <v>6.6924380000000002E-3</v>
      </c>
      <c r="J60" t="str">
        <f t="shared" si="1"/>
        <v>[</v>
      </c>
      <c r="K60" t="str">
        <f t="shared" si="2"/>
        <v>[0.003725004],</v>
      </c>
      <c r="L60" t="str">
        <f t="shared" si="3"/>
        <v>[0.007450008],</v>
      </c>
      <c r="M60" t="str">
        <f t="shared" si="4"/>
        <v>[0.005273895],</v>
      </c>
      <c r="N60" t="str">
        <f t="shared" si="5"/>
        <v>[0.004716043],</v>
      </c>
      <c r="O60" t="str">
        <f t="shared" si="6"/>
        <v>[0.003025319],</v>
      </c>
      <c r="P60" t="str">
        <f t="shared" si="7"/>
        <v>[0.00494696],</v>
      </c>
      <c r="Q60" t="str">
        <f t="shared" si="8"/>
        <v>[0.006692438]</v>
      </c>
      <c r="R60" t="str">
        <f t="shared" si="9"/>
        <v>]</v>
      </c>
      <c r="S60" t="str">
        <f t="shared" si="10"/>
        <v>[[0.003725004],[0.007450008],[0.005273895],[0.004716043],[0.003025319],[0.00494696],[0.006692438]]</v>
      </c>
    </row>
    <row r="61" spans="1:19" x14ac:dyDescent="0.2">
      <c r="A61" s="1" t="d">
        <v>2025-10-14</v>
      </c>
      <c r="B61">
        <v>7.4500080000000002E-3</v>
      </c>
      <c r="C61">
        <v>7.4500080000000002E-3</v>
      </c>
      <c r="D61">
        <v>5.2738949999999998E-3</v>
      </c>
      <c r="E61">
        <v>4.7160429999999996E-3</v>
      </c>
      <c r="F61">
        <v>3.0253189999999998E-3</v>
      </c>
      <c r="G61">
        <v>4.9469600000000002E-3</v>
      </c>
      <c r="H61">
        <v>6.6924380000000002E-3</v>
      </c>
      <c r="J61" t="str">
        <f t="shared" si="1"/>
        <v>[</v>
      </c>
      <c r="K61" t="str">
        <f t="shared" si="2"/>
        <v>[0.003725004],</v>
      </c>
      <c r="L61" t="str">
        <f t="shared" si="3"/>
        <v>[0.007450008],</v>
      </c>
      <c r="M61" t="str">
        <f t="shared" si="4"/>
        <v>[0.005273895],</v>
      </c>
      <c r="N61" t="str">
        <f t="shared" si="5"/>
        <v>[0.004716043],</v>
      </c>
      <c r="O61" t="str">
        <f t="shared" si="6"/>
        <v>[0.003025319],</v>
      </c>
      <c r="P61" t="str">
        <f t="shared" si="7"/>
        <v>[0.00494696],</v>
      </c>
      <c r="Q61" t="str">
        <f t="shared" si="8"/>
        <v>[0.006692438]</v>
      </c>
      <c r="R61" t="str">
        <f t="shared" si="9"/>
        <v>]</v>
      </c>
      <c r="S61" t="str">
        <f t="shared" si="10"/>
        <v>[[0.003725004],[0.007450008],[0.005273895],[0.004716043],[0.003025319],[0.00494696],[0.006692438]]</v>
      </c>
    </row>
    <row r="62" spans="1:19" x14ac:dyDescent="0.2">
      <c r="A62" s="1" t="d">
        <v>2025-10-15</v>
      </c>
      <c r="B62">
        <v>7.4500080000000002E-3</v>
      </c>
      <c r="C62">
        <v>7.4500080000000002E-3</v>
      </c>
      <c r="D62">
        <v>5.2738949999999998E-3</v>
      </c>
      <c r="E62">
        <v>4.7160429999999996E-3</v>
      </c>
      <c r="F62">
        <v>3.0253189999999998E-3</v>
      </c>
      <c r="G62">
        <v>4.9469600000000002E-3</v>
      </c>
      <c r="H62">
        <v>6.6924380000000002E-3</v>
      </c>
      <c r="J62" t="str">
        <f t="shared" si="1"/>
        <v>[</v>
      </c>
      <c r="K62" t="str">
        <f t="shared" si="2"/>
        <v>[0.003725004],</v>
      </c>
      <c r="L62" t="str">
        <f t="shared" si="3"/>
        <v>[0.007450008],</v>
      </c>
      <c r="M62" t="str">
        <f t="shared" si="4"/>
        <v>[0.005273895],</v>
      </c>
      <c r="N62" t="str">
        <f t="shared" si="5"/>
        <v>[0.004716043],</v>
      </c>
      <c r="O62" t="str">
        <f t="shared" si="6"/>
        <v>[0.003025319],</v>
      </c>
      <c r="P62" t="str">
        <f t="shared" si="7"/>
        <v>[0.00494696],</v>
      </c>
      <c r="Q62" t="str">
        <f t="shared" si="8"/>
        <v>[0.006692438]</v>
      </c>
      <c r="R62" t="str">
        <f t="shared" si="9"/>
        <v>]</v>
      </c>
      <c r="S62" t="str">
        <f t="shared" si="10"/>
        <v>[[0.003725004],[0.007450008],[0.005273895],[0.004716043],[0.003025319],[0.00494696],[0.006692438]]</v>
      </c>
    </row>
    <row r="63" spans="1:19" x14ac:dyDescent="0.2">
      <c r="A63" s="1" t="d">
        <v>2025-10-16</v>
      </c>
      <c r="B63">
        <v>7.4500080000000002E-3</v>
      </c>
      <c r="C63">
        <v>7.4500080000000002E-3</v>
      </c>
      <c r="D63">
        <v>5.2738949999999998E-3</v>
      </c>
      <c r="E63">
        <v>4.7160429999999996E-3</v>
      </c>
      <c r="F63">
        <v>3.0253189999999998E-3</v>
      </c>
      <c r="G63">
        <v>4.9469600000000002E-3</v>
      </c>
      <c r="H63">
        <v>6.6924380000000002E-3</v>
      </c>
      <c r="J63" t="str">
        <f t="shared" si="1"/>
        <v>[</v>
      </c>
      <c r="K63" t="str">
        <f t="shared" si="2"/>
        <v>[0.003725004],</v>
      </c>
      <c r="L63" t="str">
        <f t="shared" si="3"/>
        <v>[0.007450008],</v>
      </c>
      <c r="M63" t="str">
        <f t="shared" si="4"/>
        <v>[0.005273895],</v>
      </c>
      <c r="N63" t="str">
        <f t="shared" si="5"/>
        <v>[0.004716043],</v>
      </c>
      <c r="O63" t="str">
        <f t="shared" si="6"/>
        <v>[0.003025319],</v>
      </c>
      <c r="P63" t="str">
        <f t="shared" si="7"/>
        <v>[0.00494696],</v>
      </c>
      <c r="Q63" t="str">
        <f t="shared" si="8"/>
        <v>[0.006692438]</v>
      </c>
      <c r="R63" t="str">
        <f t="shared" si="9"/>
        <v>]</v>
      </c>
      <c r="S63" t="str">
        <f t="shared" si="10"/>
        <v>[[0.003725004],[0.007450008],[0.005273895],[0.004716043],[0.003025319],[0.00494696],[0.006692438]]</v>
      </c>
    </row>
    <row r="64" spans="1:19" x14ac:dyDescent="0.2">
      <c r="A64" s="1" t="d">
        <v>2025-10-17</v>
      </c>
      <c r="B64">
        <v>7.4500080000000002E-3</v>
      </c>
      <c r="C64">
        <v>7.4500080000000002E-3</v>
      </c>
      <c r="D64">
        <v>5.2738949999999998E-3</v>
      </c>
      <c r="E64">
        <v>4.7160429999999996E-3</v>
      </c>
      <c r="F64">
        <v>3.0253189999999998E-3</v>
      </c>
      <c r="G64">
        <v>4.9469600000000002E-3</v>
      </c>
      <c r="H64">
        <v>6.6924380000000002E-3</v>
      </c>
      <c r="J64" t="str">
        <f t="shared" si="1"/>
        <v>[</v>
      </c>
      <c r="K64" t="str">
        <f t="shared" si="2"/>
        <v>[0.003725004],</v>
      </c>
      <c r="L64" t="str">
        <f t="shared" si="3"/>
        <v>[0.007450008],</v>
      </c>
      <c r="M64" t="str">
        <f t="shared" si="4"/>
        <v>[0.005273895],</v>
      </c>
      <c r="N64" t="str">
        <f t="shared" si="5"/>
        <v>[0.004716043],</v>
      </c>
      <c r="O64" t="str">
        <f t="shared" si="6"/>
        <v>[0.003025319],</v>
      </c>
      <c r="P64" t="str">
        <f t="shared" si="7"/>
        <v>[0.00494696],</v>
      </c>
      <c r="Q64" t="str">
        <f t="shared" si="8"/>
        <v>[0.006692438]</v>
      </c>
      <c r="R64" t="str">
        <f t="shared" si="9"/>
        <v>]</v>
      </c>
      <c r="S64" t="str">
        <f t="shared" si="10"/>
        <v>[[0.003725004],[0.007450008],[0.005273895],[0.004716043],[0.003025319],[0.00494696],[0.006692438]]</v>
      </c>
    </row>
    <row r="65" spans="1:19" x14ac:dyDescent="0.2">
      <c r="A65" s="1" t="d">
        <v>2025-10-18</v>
      </c>
      <c r="B65">
        <v>8.0751109999999994E-3</v>
      </c>
      <c r="C65">
        <v>8.0751109999999994E-3</v>
      </c>
      <c r="D65">
        <v>5.9325280000000003E-3</v>
      </c>
      <c r="E65">
        <v>5.3466649999999996E-3</v>
      </c>
      <c r="F65">
        <v>3.7080820000000001E-3</v>
      </c>
      <c r="G65">
        <v>5.9686280000000001E-3</v>
      </c>
      <c r="H65">
        <v>7.5262549999999999E-3</v>
      </c>
      <c r="J65" t="str">
        <f t="shared" si="1"/>
        <v>[</v>
      </c>
      <c r="K65" t="str">
        <f t="shared" si="2"/>
        <v>[0.0040375555],</v>
      </c>
      <c r="L65" t="str">
        <f t="shared" si="3"/>
        <v>[0.008075111],</v>
      </c>
      <c r="M65" t="str">
        <f t="shared" si="4"/>
        <v>[0.005932528],</v>
      </c>
      <c r="N65" t="str">
        <f t="shared" si="5"/>
        <v>[0.005346665],</v>
      </c>
      <c r="O65" t="str">
        <f t="shared" si="6"/>
        <v>[0.003708082],</v>
      </c>
      <c r="P65" t="str">
        <f t="shared" si="7"/>
        <v>[0.005968628],</v>
      </c>
      <c r="Q65" t="str">
        <f t="shared" si="8"/>
        <v>[0.007526255]</v>
      </c>
      <c r="R65" t="str">
        <f t="shared" si="9"/>
        <v>]</v>
      </c>
      <c r="S65" t="str">
        <f t="shared" si="10"/>
        <v>[[0.0040375555],[0.008075111],[0.005932528],[0.005346665],[0.003708082],[0.005968628],[0.007526255]]</v>
      </c>
    </row>
    <row r="66" spans="1:19" x14ac:dyDescent="0.2">
      <c r="A66" s="1" t="d">
        <v>2025-10-19</v>
      </c>
      <c r="B66">
        <v>8.0751109999999994E-3</v>
      </c>
      <c r="C66">
        <v>8.0751109999999994E-3</v>
      </c>
      <c r="D66">
        <v>5.9325280000000003E-3</v>
      </c>
      <c r="E66">
        <v>5.3466649999999996E-3</v>
      </c>
      <c r="F66">
        <v>3.7080820000000001E-3</v>
      </c>
      <c r="G66">
        <v>5.9686280000000001E-3</v>
      </c>
      <c r="H66">
        <v>7.5262549999999999E-3</v>
      </c>
      <c r="J66" t="str">
        <f t="shared" si="1"/>
        <v>[</v>
      </c>
      <c r="K66" t="str">
        <f t="shared" si="2"/>
        <v>[0.0040375555],</v>
      </c>
      <c r="L66" t="str">
        <f t="shared" si="3"/>
        <v>[0.008075111],</v>
      </c>
      <c r="M66" t="str">
        <f t="shared" si="4"/>
        <v>[0.005932528],</v>
      </c>
      <c r="N66" t="str">
        <f t="shared" si="5"/>
        <v>[0.005346665],</v>
      </c>
      <c r="O66" t="str">
        <f t="shared" si="6"/>
        <v>[0.003708082],</v>
      </c>
      <c r="P66" t="str">
        <f t="shared" si="7"/>
        <v>[0.005968628],</v>
      </c>
      <c r="Q66" t="str">
        <f t="shared" si="8"/>
        <v>[0.007526255]</v>
      </c>
      <c r="R66" t="str">
        <f t="shared" si="9"/>
        <v>]</v>
      </c>
      <c r="S66" t="str">
        <f t="shared" si="10"/>
        <v>[[0.0040375555],[0.008075111],[0.005932528],[0.005346665],[0.003708082],[0.005968628],[0.007526255]]</v>
      </c>
    </row>
    <row r="67" spans="1:19" x14ac:dyDescent="0.2">
      <c r="A67" s="1" t="d">
        <v>2025-10-20</v>
      </c>
      <c r="B67">
        <v>8.0751109999999994E-3</v>
      </c>
      <c r="C67">
        <v>8.0751109999999994E-3</v>
      </c>
      <c r="D67">
        <v>5.9325280000000003E-3</v>
      </c>
      <c r="E67">
        <v>5.3466649999999996E-3</v>
      </c>
      <c r="F67">
        <v>3.7080820000000001E-3</v>
      </c>
      <c r="G67">
        <v>5.9686280000000001E-3</v>
      </c>
      <c r="H67">
        <v>7.5262549999999999E-3</v>
      </c>
      <c r="J67" t="str">
        <f t="shared" ref="J67:J130" si="11">"["</f>
        <v>[</v>
      </c>
      <c r="K67" t="str">
        <f t="shared" ref="K67:K130" si="12">"["&amp;B67/2&amp;"],"</f>
        <v>[0.0040375555],</v>
      </c>
      <c r="L67" t="str">
        <f t="shared" ref="L67:L130" si="13">"["&amp;C67&amp;"],"</f>
        <v>[0.008075111],</v>
      </c>
      <c r="M67" t="str">
        <f t="shared" ref="M67:M130" si="14">"["&amp;D67&amp;"],"</f>
        <v>[0.005932528],</v>
      </c>
      <c r="N67" t="str">
        <f t="shared" ref="N67:N130" si="15">"["&amp;E67&amp;"],"</f>
        <v>[0.005346665],</v>
      </c>
      <c r="O67" t="str">
        <f t="shared" ref="O67:O130" si="16">"["&amp;F67&amp;"],"</f>
        <v>[0.003708082],</v>
      </c>
      <c r="P67" t="str">
        <f t="shared" ref="P67:P130" si="17">"["&amp;G67&amp;"],"</f>
        <v>[0.005968628],</v>
      </c>
      <c r="Q67" t="str">
        <f t="shared" ref="Q67:Q130" si="18">"["&amp;H67&amp;"]"</f>
        <v>[0.007526255]</v>
      </c>
      <c r="R67" t="str">
        <f t="shared" ref="R67:R130" si="19">"]"</f>
        <v>]</v>
      </c>
      <c r="S67" t="str">
        <f t="shared" ref="S67:S130" si="20">J67&amp;K67&amp;L67&amp;M67&amp;N67&amp;O67&amp;P67&amp;Q67&amp;R67</f>
        <v>[[0.0040375555],[0.008075111],[0.005932528],[0.005346665],[0.003708082],[0.005968628],[0.007526255]]</v>
      </c>
    </row>
    <row r="68" spans="1:19" x14ac:dyDescent="0.2">
      <c r="A68" s="1" t="d">
        <v>2025-10-21</v>
      </c>
      <c r="B68">
        <v>8.0751109999999994E-3</v>
      </c>
      <c r="C68">
        <v>8.0751109999999994E-3</v>
      </c>
      <c r="D68">
        <v>5.9325280000000003E-3</v>
      </c>
      <c r="E68">
        <v>5.3466649999999996E-3</v>
      </c>
      <c r="F68">
        <v>3.7080820000000001E-3</v>
      </c>
      <c r="G68">
        <v>5.9686280000000001E-3</v>
      </c>
      <c r="H68">
        <v>7.5262549999999999E-3</v>
      </c>
      <c r="J68" t="str">
        <f t="shared" si="11"/>
        <v>[</v>
      </c>
      <c r="K68" t="str">
        <f t="shared" si="12"/>
        <v>[0.0040375555],</v>
      </c>
      <c r="L68" t="str">
        <f t="shared" si="13"/>
        <v>[0.008075111],</v>
      </c>
      <c r="M68" t="str">
        <f t="shared" si="14"/>
        <v>[0.005932528],</v>
      </c>
      <c r="N68" t="str">
        <f t="shared" si="15"/>
        <v>[0.005346665],</v>
      </c>
      <c r="O68" t="str">
        <f t="shared" si="16"/>
        <v>[0.003708082],</v>
      </c>
      <c r="P68" t="str">
        <f t="shared" si="17"/>
        <v>[0.005968628],</v>
      </c>
      <c r="Q68" t="str">
        <f t="shared" si="18"/>
        <v>[0.007526255]</v>
      </c>
      <c r="R68" t="str">
        <f t="shared" si="19"/>
        <v>]</v>
      </c>
      <c r="S68" t="str">
        <f t="shared" si="20"/>
        <v>[[0.0040375555],[0.008075111],[0.005932528],[0.005346665],[0.003708082],[0.005968628],[0.007526255]]</v>
      </c>
    </row>
    <row r="69" spans="1:19" x14ac:dyDescent="0.2">
      <c r="A69" s="1" t="d">
        <v>2025-10-22</v>
      </c>
      <c r="B69">
        <v>8.0751109999999994E-3</v>
      </c>
      <c r="C69">
        <v>8.0751109999999994E-3</v>
      </c>
      <c r="D69">
        <v>5.9325280000000003E-3</v>
      </c>
      <c r="E69">
        <v>5.3466649999999996E-3</v>
      </c>
      <c r="F69">
        <v>3.7080820000000001E-3</v>
      </c>
      <c r="G69">
        <v>5.9686280000000001E-3</v>
      </c>
      <c r="H69">
        <v>7.5262549999999999E-3</v>
      </c>
      <c r="J69" t="str">
        <f t="shared" si="11"/>
        <v>[</v>
      </c>
      <c r="K69" t="str">
        <f t="shared" si="12"/>
        <v>[0.0040375555],</v>
      </c>
      <c r="L69" t="str">
        <f t="shared" si="13"/>
        <v>[0.008075111],</v>
      </c>
      <c r="M69" t="str">
        <f t="shared" si="14"/>
        <v>[0.005932528],</v>
      </c>
      <c r="N69" t="str">
        <f t="shared" si="15"/>
        <v>[0.005346665],</v>
      </c>
      <c r="O69" t="str">
        <f t="shared" si="16"/>
        <v>[0.003708082],</v>
      </c>
      <c r="P69" t="str">
        <f t="shared" si="17"/>
        <v>[0.005968628],</v>
      </c>
      <c r="Q69" t="str">
        <f t="shared" si="18"/>
        <v>[0.007526255]</v>
      </c>
      <c r="R69" t="str">
        <f t="shared" si="19"/>
        <v>]</v>
      </c>
      <c r="S69" t="str">
        <f t="shared" si="20"/>
        <v>[[0.0040375555],[0.008075111],[0.005932528],[0.005346665],[0.003708082],[0.005968628],[0.007526255]]</v>
      </c>
    </row>
    <row r="70" spans="1:19" x14ac:dyDescent="0.2">
      <c r="A70" s="1" t="d">
        <v>2025-10-23</v>
      </c>
      <c r="B70">
        <v>8.0751109999999994E-3</v>
      </c>
      <c r="C70">
        <v>8.0751109999999994E-3</v>
      </c>
      <c r="D70">
        <v>5.9325280000000003E-3</v>
      </c>
      <c r="E70">
        <v>5.3466649999999996E-3</v>
      </c>
      <c r="F70">
        <v>3.7080820000000001E-3</v>
      </c>
      <c r="G70">
        <v>5.9686280000000001E-3</v>
      </c>
      <c r="H70">
        <v>7.5262549999999999E-3</v>
      </c>
      <c r="J70" t="str">
        <f t="shared" si="11"/>
        <v>[</v>
      </c>
      <c r="K70" t="str">
        <f t="shared" si="12"/>
        <v>[0.0040375555],</v>
      </c>
      <c r="L70" t="str">
        <f t="shared" si="13"/>
        <v>[0.008075111],</v>
      </c>
      <c r="M70" t="str">
        <f t="shared" si="14"/>
        <v>[0.005932528],</v>
      </c>
      <c r="N70" t="str">
        <f t="shared" si="15"/>
        <v>[0.005346665],</v>
      </c>
      <c r="O70" t="str">
        <f t="shared" si="16"/>
        <v>[0.003708082],</v>
      </c>
      <c r="P70" t="str">
        <f t="shared" si="17"/>
        <v>[0.005968628],</v>
      </c>
      <c r="Q70" t="str">
        <f t="shared" si="18"/>
        <v>[0.007526255]</v>
      </c>
      <c r="R70" t="str">
        <f t="shared" si="19"/>
        <v>]</v>
      </c>
      <c r="S70" t="str">
        <f t="shared" si="20"/>
        <v>[[0.0040375555],[0.008075111],[0.005932528],[0.005346665],[0.003708082],[0.005968628],[0.007526255]]</v>
      </c>
    </row>
    <row r="71" spans="1:19" x14ac:dyDescent="0.2">
      <c r="A71" s="1" t="d">
        <v>2025-10-24</v>
      </c>
      <c r="B71">
        <v>8.0751109999999994E-3</v>
      </c>
      <c r="C71">
        <v>8.0751109999999994E-3</v>
      </c>
      <c r="D71">
        <v>5.9325280000000003E-3</v>
      </c>
      <c r="E71">
        <v>5.3466649999999996E-3</v>
      </c>
      <c r="F71">
        <v>3.7080820000000001E-3</v>
      </c>
      <c r="G71">
        <v>5.9686280000000001E-3</v>
      </c>
      <c r="H71">
        <v>7.5262549999999999E-3</v>
      </c>
      <c r="J71" t="str">
        <f t="shared" si="11"/>
        <v>[</v>
      </c>
      <c r="K71" t="str">
        <f t="shared" si="12"/>
        <v>[0.0040375555],</v>
      </c>
      <c r="L71" t="str">
        <f t="shared" si="13"/>
        <v>[0.008075111],</v>
      </c>
      <c r="M71" t="str">
        <f t="shared" si="14"/>
        <v>[0.005932528],</v>
      </c>
      <c r="N71" t="str">
        <f t="shared" si="15"/>
        <v>[0.005346665],</v>
      </c>
      <c r="O71" t="str">
        <f t="shared" si="16"/>
        <v>[0.003708082],</v>
      </c>
      <c r="P71" t="str">
        <f t="shared" si="17"/>
        <v>[0.005968628],</v>
      </c>
      <c r="Q71" t="str">
        <f t="shared" si="18"/>
        <v>[0.007526255]</v>
      </c>
      <c r="R71" t="str">
        <f t="shared" si="19"/>
        <v>]</v>
      </c>
      <c r="S71" t="str">
        <f t="shared" si="20"/>
        <v>[[0.0040375555],[0.008075111],[0.005932528],[0.005346665],[0.003708082],[0.005968628],[0.007526255]]</v>
      </c>
    </row>
    <row r="72" spans="1:19" x14ac:dyDescent="0.2">
      <c r="A72" s="1" t="d">
        <v>2025-10-25</v>
      </c>
      <c r="B72">
        <v>9.0496640000000007E-3</v>
      </c>
      <c r="C72">
        <v>9.0496640000000007E-3</v>
      </c>
      <c r="D72">
        <v>6.9051310000000001E-3</v>
      </c>
      <c r="E72">
        <v>6.1578650000000002E-3</v>
      </c>
      <c r="F72">
        <v>4.4453169999999998E-3</v>
      </c>
      <c r="G72">
        <v>7.0274090000000001E-3</v>
      </c>
      <c r="H72">
        <v>8.5290739999999993E-3</v>
      </c>
      <c r="J72" t="str">
        <f t="shared" si="11"/>
        <v>[</v>
      </c>
      <c r="K72" t="str">
        <f t="shared" si="12"/>
        <v>[0.004524832],</v>
      </c>
      <c r="L72" t="str">
        <f t="shared" si="13"/>
        <v>[0.009049664],</v>
      </c>
      <c r="M72" t="str">
        <f t="shared" si="14"/>
        <v>[0.006905131],</v>
      </c>
      <c r="N72" t="str">
        <f t="shared" si="15"/>
        <v>[0.006157865],</v>
      </c>
      <c r="O72" t="str">
        <f t="shared" si="16"/>
        <v>[0.004445317],</v>
      </c>
      <c r="P72" t="str">
        <f t="shared" si="17"/>
        <v>[0.007027409],</v>
      </c>
      <c r="Q72" t="str">
        <f t="shared" si="18"/>
        <v>[0.008529074]</v>
      </c>
      <c r="R72" t="str">
        <f t="shared" si="19"/>
        <v>]</v>
      </c>
      <c r="S72" t="str">
        <f t="shared" si="20"/>
        <v>[[0.004524832],[0.009049664],[0.006905131],[0.006157865],[0.004445317],[0.007027409],[0.008529074]]</v>
      </c>
    </row>
    <row r="73" spans="1:19" x14ac:dyDescent="0.2">
      <c r="A73" s="1" t="d">
        <v>2025-10-26</v>
      </c>
      <c r="B73">
        <v>9.0496640000000007E-3</v>
      </c>
      <c r="C73">
        <v>9.0496640000000007E-3</v>
      </c>
      <c r="D73">
        <v>6.9051310000000001E-3</v>
      </c>
      <c r="E73">
        <v>6.1578650000000002E-3</v>
      </c>
      <c r="F73">
        <v>4.4453169999999998E-3</v>
      </c>
      <c r="G73">
        <v>7.0274090000000001E-3</v>
      </c>
      <c r="H73">
        <v>8.5290739999999993E-3</v>
      </c>
      <c r="J73" t="str">
        <f t="shared" si="11"/>
        <v>[</v>
      </c>
      <c r="K73" t="str">
        <f t="shared" si="12"/>
        <v>[0.004524832],</v>
      </c>
      <c r="L73" t="str">
        <f t="shared" si="13"/>
        <v>[0.009049664],</v>
      </c>
      <c r="M73" t="str">
        <f t="shared" si="14"/>
        <v>[0.006905131],</v>
      </c>
      <c r="N73" t="str">
        <f t="shared" si="15"/>
        <v>[0.006157865],</v>
      </c>
      <c r="O73" t="str">
        <f t="shared" si="16"/>
        <v>[0.004445317],</v>
      </c>
      <c r="P73" t="str">
        <f t="shared" si="17"/>
        <v>[0.007027409],</v>
      </c>
      <c r="Q73" t="str">
        <f t="shared" si="18"/>
        <v>[0.008529074]</v>
      </c>
      <c r="R73" t="str">
        <f t="shared" si="19"/>
        <v>]</v>
      </c>
      <c r="S73" t="str">
        <f t="shared" si="20"/>
        <v>[[0.004524832],[0.009049664],[0.006905131],[0.006157865],[0.004445317],[0.007027409],[0.008529074]]</v>
      </c>
    </row>
    <row r="74" spans="1:19" x14ac:dyDescent="0.2">
      <c r="A74" s="1" t="d">
        <v>2025-10-27</v>
      </c>
      <c r="B74">
        <v>9.0496640000000007E-3</v>
      </c>
      <c r="C74">
        <v>9.0496640000000007E-3</v>
      </c>
      <c r="D74">
        <v>6.9051310000000001E-3</v>
      </c>
      <c r="E74">
        <v>6.1578650000000002E-3</v>
      </c>
      <c r="F74">
        <v>4.4453169999999998E-3</v>
      </c>
      <c r="G74">
        <v>7.0274090000000001E-3</v>
      </c>
      <c r="H74">
        <v>8.5290739999999993E-3</v>
      </c>
      <c r="J74" t="str">
        <f t="shared" si="11"/>
        <v>[</v>
      </c>
      <c r="K74" t="str">
        <f t="shared" si="12"/>
        <v>[0.004524832],</v>
      </c>
      <c r="L74" t="str">
        <f t="shared" si="13"/>
        <v>[0.009049664],</v>
      </c>
      <c r="M74" t="str">
        <f t="shared" si="14"/>
        <v>[0.006905131],</v>
      </c>
      <c r="N74" t="str">
        <f t="shared" si="15"/>
        <v>[0.006157865],</v>
      </c>
      <c r="O74" t="str">
        <f t="shared" si="16"/>
        <v>[0.004445317],</v>
      </c>
      <c r="P74" t="str">
        <f t="shared" si="17"/>
        <v>[0.007027409],</v>
      </c>
      <c r="Q74" t="str">
        <f t="shared" si="18"/>
        <v>[0.008529074]</v>
      </c>
      <c r="R74" t="str">
        <f t="shared" si="19"/>
        <v>]</v>
      </c>
      <c r="S74" t="str">
        <f t="shared" si="20"/>
        <v>[[0.004524832],[0.009049664],[0.006905131],[0.006157865],[0.004445317],[0.007027409],[0.008529074]]</v>
      </c>
    </row>
    <row r="75" spans="1:19" x14ac:dyDescent="0.2">
      <c r="A75" s="1" t="d">
        <v>2025-10-28</v>
      </c>
      <c r="B75">
        <v>9.0496640000000007E-3</v>
      </c>
      <c r="C75">
        <v>9.0496640000000007E-3</v>
      </c>
      <c r="D75">
        <v>6.9051310000000001E-3</v>
      </c>
      <c r="E75">
        <v>6.1578650000000002E-3</v>
      </c>
      <c r="F75">
        <v>4.4453169999999998E-3</v>
      </c>
      <c r="G75">
        <v>7.0274090000000001E-3</v>
      </c>
      <c r="H75">
        <v>8.5290739999999993E-3</v>
      </c>
      <c r="J75" t="str">
        <f t="shared" si="11"/>
        <v>[</v>
      </c>
      <c r="K75" t="str">
        <f t="shared" si="12"/>
        <v>[0.004524832],</v>
      </c>
      <c r="L75" t="str">
        <f t="shared" si="13"/>
        <v>[0.009049664],</v>
      </c>
      <c r="M75" t="str">
        <f t="shared" si="14"/>
        <v>[0.006905131],</v>
      </c>
      <c r="N75" t="str">
        <f t="shared" si="15"/>
        <v>[0.006157865],</v>
      </c>
      <c r="O75" t="str">
        <f t="shared" si="16"/>
        <v>[0.004445317],</v>
      </c>
      <c r="P75" t="str">
        <f t="shared" si="17"/>
        <v>[0.007027409],</v>
      </c>
      <c r="Q75" t="str">
        <f t="shared" si="18"/>
        <v>[0.008529074]</v>
      </c>
      <c r="R75" t="str">
        <f t="shared" si="19"/>
        <v>]</v>
      </c>
      <c r="S75" t="str">
        <f t="shared" si="20"/>
        <v>[[0.004524832],[0.009049664],[0.006905131],[0.006157865],[0.004445317],[0.007027409],[0.008529074]]</v>
      </c>
    </row>
    <row r="76" spans="1:19" x14ac:dyDescent="0.2">
      <c r="A76" s="1" t="d">
        <v>2025-10-29</v>
      </c>
      <c r="B76">
        <v>9.0496640000000007E-3</v>
      </c>
      <c r="C76">
        <v>9.0496640000000007E-3</v>
      </c>
      <c r="D76">
        <v>6.9051310000000001E-3</v>
      </c>
      <c r="E76">
        <v>6.1578650000000002E-3</v>
      </c>
      <c r="F76">
        <v>4.4453169999999998E-3</v>
      </c>
      <c r="G76">
        <v>7.0274090000000001E-3</v>
      </c>
      <c r="H76">
        <v>8.5290739999999993E-3</v>
      </c>
      <c r="J76" t="str">
        <f t="shared" si="11"/>
        <v>[</v>
      </c>
      <c r="K76" t="str">
        <f t="shared" si="12"/>
        <v>[0.004524832],</v>
      </c>
      <c r="L76" t="str">
        <f t="shared" si="13"/>
        <v>[0.009049664],</v>
      </c>
      <c r="M76" t="str">
        <f t="shared" si="14"/>
        <v>[0.006905131],</v>
      </c>
      <c r="N76" t="str">
        <f t="shared" si="15"/>
        <v>[0.006157865],</v>
      </c>
      <c r="O76" t="str">
        <f t="shared" si="16"/>
        <v>[0.004445317],</v>
      </c>
      <c r="P76" t="str">
        <f t="shared" si="17"/>
        <v>[0.007027409],</v>
      </c>
      <c r="Q76" t="str">
        <f t="shared" si="18"/>
        <v>[0.008529074]</v>
      </c>
      <c r="R76" t="str">
        <f t="shared" si="19"/>
        <v>]</v>
      </c>
      <c r="S76" t="str">
        <f t="shared" si="20"/>
        <v>[[0.004524832],[0.009049664],[0.006905131],[0.006157865],[0.004445317],[0.007027409],[0.008529074]]</v>
      </c>
    </row>
    <row r="77" spans="1:19" x14ac:dyDescent="0.2">
      <c r="A77" s="1" t="d">
        <v>2025-10-30</v>
      </c>
      <c r="B77">
        <v>9.0496640000000007E-3</v>
      </c>
      <c r="C77">
        <v>9.0496640000000007E-3</v>
      </c>
      <c r="D77">
        <v>6.9051310000000001E-3</v>
      </c>
      <c r="E77">
        <v>6.1578650000000002E-3</v>
      </c>
      <c r="F77">
        <v>4.4453169999999998E-3</v>
      </c>
      <c r="G77">
        <v>7.0274090000000001E-3</v>
      </c>
      <c r="H77">
        <v>8.5290739999999993E-3</v>
      </c>
      <c r="J77" t="str">
        <f t="shared" si="11"/>
        <v>[</v>
      </c>
      <c r="K77" t="str">
        <f t="shared" si="12"/>
        <v>[0.004524832],</v>
      </c>
      <c r="L77" t="str">
        <f t="shared" si="13"/>
        <v>[0.009049664],</v>
      </c>
      <c r="M77" t="str">
        <f t="shared" si="14"/>
        <v>[0.006905131],</v>
      </c>
      <c r="N77" t="str">
        <f t="shared" si="15"/>
        <v>[0.006157865],</v>
      </c>
      <c r="O77" t="str">
        <f t="shared" si="16"/>
        <v>[0.004445317],</v>
      </c>
      <c r="P77" t="str">
        <f t="shared" si="17"/>
        <v>[0.007027409],</v>
      </c>
      <c r="Q77" t="str">
        <f t="shared" si="18"/>
        <v>[0.008529074]</v>
      </c>
      <c r="R77" t="str">
        <f t="shared" si="19"/>
        <v>]</v>
      </c>
      <c r="S77" t="str">
        <f t="shared" si="20"/>
        <v>[[0.004524832],[0.009049664],[0.006905131],[0.006157865],[0.004445317],[0.007027409],[0.008529074]]</v>
      </c>
    </row>
    <row r="78" spans="1:19" x14ac:dyDescent="0.2">
      <c r="A78" s="1" t="d">
        <v>2025-10-31</v>
      </c>
      <c r="B78">
        <v>9.0496640000000007E-3</v>
      </c>
      <c r="C78">
        <v>9.0496640000000007E-3</v>
      </c>
      <c r="D78">
        <v>6.9051310000000001E-3</v>
      </c>
      <c r="E78">
        <v>6.1578650000000002E-3</v>
      </c>
      <c r="F78">
        <v>4.4453169999999998E-3</v>
      </c>
      <c r="G78">
        <v>7.0274090000000001E-3</v>
      </c>
      <c r="H78">
        <v>8.5290739999999993E-3</v>
      </c>
      <c r="J78" t="str">
        <f t="shared" si="11"/>
        <v>[</v>
      </c>
      <c r="K78" t="str">
        <f t="shared" si="12"/>
        <v>[0.004524832],</v>
      </c>
      <c r="L78" t="str">
        <f t="shared" si="13"/>
        <v>[0.009049664],</v>
      </c>
      <c r="M78" t="str">
        <f t="shared" si="14"/>
        <v>[0.006905131],</v>
      </c>
      <c r="N78" t="str">
        <f t="shared" si="15"/>
        <v>[0.006157865],</v>
      </c>
      <c r="O78" t="str">
        <f t="shared" si="16"/>
        <v>[0.004445317],</v>
      </c>
      <c r="P78" t="str">
        <f t="shared" si="17"/>
        <v>[0.007027409],</v>
      </c>
      <c r="Q78" t="str">
        <f t="shared" si="18"/>
        <v>[0.008529074]</v>
      </c>
      <c r="R78" t="str">
        <f t="shared" si="19"/>
        <v>]</v>
      </c>
      <c r="S78" t="str">
        <f t="shared" si="20"/>
        <v>[[0.004524832],[0.009049664],[0.006905131],[0.006157865],[0.004445317],[0.007027409],[0.008529074]]</v>
      </c>
    </row>
    <row r="79" spans="1:19" x14ac:dyDescent="0.2">
      <c r="A79" s="1" t="d">
        <v>2025-11-01</v>
      </c>
      <c r="B79">
        <v>1.6369547000000002E-2</v>
      </c>
      <c r="C79">
        <v>1.6369547000000002E-2</v>
      </c>
      <c r="D79">
        <v>1.3206235E-2</v>
      </c>
      <c r="E79">
        <v>1.1506294E-2</v>
      </c>
      <c r="F79">
        <v>8.6198360000000005E-3</v>
      </c>
      <c r="G79">
        <v>1.3276008000000001E-2</v>
      </c>
      <c r="H79">
        <v>1.552719E-2</v>
      </c>
      <c r="J79" t="str">
        <f t="shared" si="11"/>
        <v>[</v>
      </c>
      <c r="K79" t="str">
        <f t="shared" si="12"/>
        <v>[0.0081847735],</v>
      </c>
      <c r="L79" t="str">
        <f t="shared" si="13"/>
        <v>[0.016369547],</v>
      </c>
      <c r="M79" t="str">
        <f t="shared" si="14"/>
        <v>[0.013206235],</v>
      </c>
      <c r="N79" t="str">
        <f t="shared" si="15"/>
        <v>[0.011506294],</v>
      </c>
      <c r="O79" t="str">
        <f t="shared" si="16"/>
        <v>[0.008619836],</v>
      </c>
      <c r="P79" t="str">
        <f t="shared" si="17"/>
        <v>[0.013276008],</v>
      </c>
      <c r="Q79" t="str">
        <f t="shared" si="18"/>
        <v>[0.01552719]</v>
      </c>
      <c r="R79" t="str">
        <f t="shared" si="19"/>
        <v>]</v>
      </c>
      <c r="S79" t="str">
        <f t="shared" si="20"/>
        <v>[[0.0081847735],[0.016369547],[0.013206235],[0.011506294],[0.008619836],[0.013276008],[0.01552719]]</v>
      </c>
    </row>
    <row r="80" spans="1:19" x14ac:dyDescent="0.2">
      <c r="A80" s="1" t="d">
        <v>2025-11-02</v>
      </c>
      <c r="B80">
        <v>1.6369547000000002E-2</v>
      </c>
      <c r="C80">
        <v>1.6369547000000002E-2</v>
      </c>
      <c r="D80">
        <v>1.3206235E-2</v>
      </c>
      <c r="E80">
        <v>1.1506294E-2</v>
      </c>
      <c r="F80">
        <v>8.6198360000000005E-3</v>
      </c>
      <c r="G80">
        <v>1.3276008000000001E-2</v>
      </c>
      <c r="H80">
        <v>1.552719E-2</v>
      </c>
      <c r="J80" t="str">
        <f t="shared" si="11"/>
        <v>[</v>
      </c>
      <c r="K80" t="str">
        <f t="shared" si="12"/>
        <v>[0.0081847735],</v>
      </c>
      <c r="L80" t="str">
        <f t="shared" si="13"/>
        <v>[0.016369547],</v>
      </c>
      <c r="M80" t="str">
        <f t="shared" si="14"/>
        <v>[0.013206235],</v>
      </c>
      <c r="N80" t="str">
        <f t="shared" si="15"/>
        <v>[0.011506294],</v>
      </c>
      <c r="O80" t="str">
        <f t="shared" si="16"/>
        <v>[0.008619836],</v>
      </c>
      <c r="P80" t="str">
        <f t="shared" si="17"/>
        <v>[0.013276008],</v>
      </c>
      <c r="Q80" t="str">
        <f t="shared" si="18"/>
        <v>[0.01552719]</v>
      </c>
      <c r="R80" t="str">
        <f t="shared" si="19"/>
        <v>]</v>
      </c>
      <c r="S80" t="str">
        <f t="shared" si="20"/>
        <v>[[0.0081847735],[0.016369547],[0.013206235],[0.011506294],[0.008619836],[0.013276008],[0.01552719]]</v>
      </c>
    </row>
    <row r="81" spans="1:19" x14ac:dyDescent="0.2">
      <c r="A81" s="1" t="d">
        <v>2025-11-03</v>
      </c>
      <c r="B81">
        <v>1.6369547000000002E-2</v>
      </c>
      <c r="C81">
        <v>1.6369547000000002E-2</v>
      </c>
      <c r="D81">
        <v>1.3206235E-2</v>
      </c>
      <c r="E81">
        <v>1.1506294E-2</v>
      </c>
      <c r="F81">
        <v>8.6198360000000005E-3</v>
      </c>
      <c r="G81">
        <v>1.3276008000000001E-2</v>
      </c>
      <c r="H81">
        <v>1.552719E-2</v>
      </c>
      <c r="J81" t="str">
        <f t="shared" si="11"/>
        <v>[</v>
      </c>
      <c r="K81" t="str">
        <f t="shared" si="12"/>
        <v>[0.0081847735],</v>
      </c>
      <c r="L81" t="str">
        <f t="shared" si="13"/>
        <v>[0.016369547],</v>
      </c>
      <c r="M81" t="str">
        <f t="shared" si="14"/>
        <v>[0.013206235],</v>
      </c>
      <c r="N81" t="str">
        <f t="shared" si="15"/>
        <v>[0.011506294],</v>
      </c>
      <c r="O81" t="str">
        <f t="shared" si="16"/>
        <v>[0.008619836],</v>
      </c>
      <c r="P81" t="str">
        <f t="shared" si="17"/>
        <v>[0.013276008],</v>
      </c>
      <c r="Q81" t="str">
        <f t="shared" si="18"/>
        <v>[0.01552719]</v>
      </c>
      <c r="R81" t="str">
        <f t="shared" si="19"/>
        <v>]</v>
      </c>
      <c r="S81" t="str">
        <f t="shared" si="20"/>
        <v>[[0.0081847735],[0.016369547],[0.013206235],[0.011506294],[0.008619836],[0.013276008],[0.01552719]]</v>
      </c>
    </row>
    <row r="82" spans="1:19" x14ac:dyDescent="0.2">
      <c r="A82" s="1" t="d">
        <v>2025-11-04</v>
      </c>
      <c r="B82">
        <v>1.6369547000000002E-2</v>
      </c>
      <c r="C82">
        <v>1.6369547000000002E-2</v>
      </c>
      <c r="D82">
        <v>1.3206235E-2</v>
      </c>
      <c r="E82">
        <v>1.1506294E-2</v>
      </c>
      <c r="F82">
        <v>8.6198360000000005E-3</v>
      </c>
      <c r="G82">
        <v>1.3276008000000001E-2</v>
      </c>
      <c r="H82">
        <v>1.552719E-2</v>
      </c>
      <c r="J82" t="str">
        <f t="shared" si="11"/>
        <v>[</v>
      </c>
      <c r="K82" t="str">
        <f t="shared" si="12"/>
        <v>[0.0081847735],</v>
      </c>
      <c r="L82" t="str">
        <f t="shared" si="13"/>
        <v>[0.016369547],</v>
      </c>
      <c r="M82" t="str">
        <f t="shared" si="14"/>
        <v>[0.013206235],</v>
      </c>
      <c r="N82" t="str">
        <f t="shared" si="15"/>
        <v>[0.011506294],</v>
      </c>
      <c r="O82" t="str">
        <f t="shared" si="16"/>
        <v>[0.008619836],</v>
      </c>
      <c r="P82" t="str">
        <f t="shared" si="17"/>
        <v>[0.013276008],</v>
      </c>
      <c r="Q82" t="str">
        <f t="shared" si="18"/>
        <v>[0.01552719]</v>
      </c>
      <c r="R82" t="str">
        <f t="shared" si="19"/>
        <v>]</v>
      </c>
      <c r="S82" t="str">
        <f t="shared" si="20"/>
        <v>[[0.0081847735],[0.016369547],[0.013206235],[0.011506294],[0.008619836],[0.013276008],[0.01552719]]</v>
      </c>
    </row>
    <row r="83" spans="1:19" x14ac:dyDescent="0.2">
      <c r="A83" s="1" t="d">
        <v>2025-11-05</v>
      </c>
      <c r="B83">
        <v>1.6369547000000002E-2</v>
      </c>
      <c r="C83">
        <v>1.6369547000000002E-2</v>
      </c>
      <c r="D83">
        <v>1.3206235E-2</v>
      </c>
      <c r="E83">
        <v>1.1506294E-2</v>
      </c>
      <c r="F83">
        <v>8.6198360000000005E-3</v>
      </c>
      <c r="G83">
        <v>1.3276008000000001E-2</v>
      </c>
      <c r="H83">
        <v>1.552719E-2</v>
      </c>
      <c r="J83" t="str">
        <f t="shared" si="11"/>
        <v>[</v>
      </c>
      <c r="K83" t="str">
        <f t="shared" si="12"/>
        <v>[0.0081847735],</v>
      </c>
      <c r="L83" t="str">
        <f t="shared" si="13"/>
        <v>[0.016369547],</v>
      </c>
      <c r="M83" t="str">
        <f t="shared" si="14"/>
        <v>[0.013206235],</v>
      </c>
      <c r="N83" t="str">
        <f t="shared" si="15"/>
        <v>[0.011506294],</v>
      </c>
      <c r="O83" t="str">
        <f t="shared" si="16"/>
        <v>[0.008619836],</v>
      </c>
      <c r="P83" t="str">
        <f t="shared" si="17"/>
        <v>[0.013276008],</v>
      </c>
      <c r="Q83" t="str">
        <f t="shared" si="18"/>
        <v>[0.01552719]</v>
      </c>
      <c r="R83" t="str">
        <f t="shared" si="19"/>
        <v>]</v>
      </c>
      <c r="S83" t="str">
        <f t="shared" si="20"/>
        <v>[[0.0081847735],[0.016369547],[0.013206235],[0.011506294],[0.008619836],[0.013276008],[0.01552719]]</v>
      </c>
    </row>
    <row r="84" spans="1:19" x14ac:dyDescent="0.2">
      <c r="A84" s="1" t="d">
        <v>2025-11-06</v>
      </c>
      <c r="B84">
        <v>1.6369547000000002E-2</v>
      </c>
      <c r="C84">
        <v>1.6369547000000002E-2</v>
      </c>
      <c r="D84">
        <v>1.3206235E-2</v>
      </c>
      <c r="E84">
        <v>1.1506294E-2</v>
      </c>
      <c r="F84">
        <v>8.6198360000000005E-3</v>
      </c>
      <c r="G84">
        <v>1.3276008000000001E-2</v>
      </c>
      <c r="H84">
        <v>1.552719E-2</v>
      </c>
      <c r="J84" t="str">
        <f t="shared" si="11"/>
        <v>[</v>
      </c>
      <c r="K84" t="str">
        <f t="shared" si="12"/>
        <v>[0.0081847735],</v>
      </c>
      <c r="L84" t="str">
        <f t="shared" si="13"/>
        <v>[0.016369547],</v>
      </c>
      <c r="M84" t="str">
        <f t="shared" si="14"/>
        <v>[0.013206235],</v>
      </c>
      <c r="N84" t="str">
        <f t="shared" si="15"/>
        <v>[0.011506294],</v>
      </c>
      <c r="O84" t="str">
        <f t="shared" si="16"/>
        <v>[0.008619836],</v>
      </c>
      <c r="P84" t="str">
        <f t="shared" si="17"/>
        <v>[0.013276008],</v>
      </c>
      <c r="Q84" t="str">
        <f t="shared" si="18"/>
        <v>[0.01552719]</v>
      </c>
      <c r="R84" t="str">
        <f t="shared" si="19"/>
        <v>]</v>
      </c>
      <c r="S84" t="str">
        <f t="shared" si="20"/>
        <v>[[0.0081847735],[0.016369547],[0.013206235],[0.011506294],[0.008619836],[0.013276008],[0.01552719]]</v>
      </c>
    </row>
    <row r="85" spans="1:19" x14ac:dyDescent="0.2">
      <c r="A85" s="1" t="d">
        <v>2025-11-07</v>
      </c>
      <c r="B85">
        <v>1.6369547000000002E-2</v>
      </c>
      <c r="C85">
        <v>1.6369547000000002E-2</v>
      </c>
      <c r="D85">
        <v>1.3206235E-2</v>
      </c>
      <c r="E85">
        <v>1.1506294E-2</v>
      </c>
      <c r="F85">
        <v>8.6198360000000005E-3</v>
      </c>
      <c r="G85">
        <v>1.3276008000000001E-2</v>
      </c>
      <c r="H85">
        <v>1.552719E-2</v>
      </c>
      <c r="J85" t="str">
        <f t="shared" si="11"/>
        <v>[</v>
      </c>
      <c r="K85" t="str">
        <f t="shared" si="12"/>
        <v>[0.0081847735],</v>
      </c>
      <c r="L85" t="str">
        <f t="shared" si="13"/>
        <v>[0.016369547],</v>
      </c>
      <c r="M85" t="str">
        <f t="shared" si="14"/>
        <v>[0.013206235],</v>
      </c>
      <c r="N85" t="str">
        <f t="shared" si="15"/>
        <v>[0.011506294],</v>
      </c>
      <c r="O85" t="str">
        <f t="shared" si="16"/>
        <v>[0.008619836],</v>
      </c>
      <c r="P85" t="str">
        <f t="shared" si="17"/>
        <v>[0.013276008],</v>
      </c>
      <c r="Q85" t="str">
        <f t="shared" si="18"/>
        <v>[0.01552719]</v>
      </c>
      <c r="R85" t="str">
        <f t="shared" si="19"/>
        <v>]</v>
      </c>
      <c r="S85" t="str">
        <f t="shared" si="20"/>
        <v>[[0.0081847735],[0.016369547],[0.013206235],[0.011506294],[0.008619836],[0.013276008],[0.01552719]]</v>
      </c>
    </row>
    <row r="86" spans="1:19" x14ac:dyDescent="0.2">
      <c r="A86" s="1" t="d">
        <v>2025-11-08</v>
      </c>
      <c r="B86">
        <v>6.3425879999999997E-3</v>
      </c>
      <c r="C86">
        <v>6.3425879999999997E-3</v>
      </c>
      <c r="D86">
        <v>5.8211519999999996E-3</v>
      </c>
      <c r="E86">
        <v>4.7146109999999996E-3</v>
      </c>
      <c r="F86">
        <v>3.6531770000000001E-3</v>
      </c>
      <c r="G86">
        <v>5.2779289999999998E-3</v>
      </c>
      <c r="H86">
        <v>5.9469379999999997E-3</v>
      </c>
      <c r="J86" t="str">
        <f t="shared" si="11"/>
        <v>[</v>
      </c>
      <c r="K86" t="str">
        <f t="shared" si="12"/>
        <v>[0.003171294],</v>
      </c>
      <c r="L86" t="str">
        <f t="shared" si="13"/>
        <v>[0.006342588],</v>
      </c>
      <c r="M86" t="str">
        <f t="shared" si="14"/>
        <v>[0.005821152],</v>
      </c>
      <c r="N86" t="str">
        <f t="shared" si="15"/>
        <v>[0.004714611],</v>
      </c>
      <c r="O86" t="str">
        <f t="shared" si="16"/>
        <v>[0.003653177],</v>
      </c>
      <c r="P86" t="str">
        <f t="shared" si="17"/>
        <v>[0.005277929],</v>
      </c>
      <c r="Q86" t="str">
        <f t="shared" si="18"/>
        <v>[0.005946938]</v>
      </c>
      <c r="R86" t="str">
        <f t="shared" si="19"/>
        <v>]</v>
      </c>
      <c r="S86" t="str">
        <f t="shared" si="20"/>
        <v>[[0.003171294],[0.006342588],[0.005821152],[0.004714611],[0.003653177],[0.005277929],[0.005946938]]</v>
      </c>
    </row>
    <row r="87" spans="1:19" x14ac:dyDescent="0.2">
      <c r="A87" s="1" t="d">
        <v>2025-11-09</v>
      </c>
      <c r="B87">
        <v>6.3425879999999997E-3</v>
      </c>
      <c r="C87">
        <v>6.3425879999999997E-3</v>
      </c>
      <c r="D87">
        <v>5.8211519999999996E-3</v>
      </c>
      <c r="E87">
        <v>4.7146109999999996E-3</v>
      </c>
      <c r="F87">
        <v>3.6531770000000001E-3</v>
      </c>
      <c r="G87">
        <v>5.2779289999999998E-3</v>
      </c>
      <c r="H87">
        <v>5.9469379999999997E-3</v>
      </c>
      <c r="J87" t="str">
        <f t="shared" si="11"/>
        <v>[</v>
      </c>
      <c r="K87" t="str">
        <f t="shared" si="12"/>
        <v>[0.003171294],</v>
      </c>
      <c r="L87" t="str">
        <f t="shared" si="13"/>
        <v>[0.006342588],</v>
      </c>
      <c r="M87" t="str">
        <f t="shared" si="14"/>
        <v>[0.005821152],</v>
      </c>
      <c r="N87" t="str">
        <f t="shared" si="15"/>
        <v>[0.004714611],</v>
      </c>
      <c r="O87" t="str">
        <f t="shared" si="16"/>
        <v>[0.003653177],</v>
      </c>
      <c r="P87" t="str">
        <f t="shared" si="17"/>
        <v>[0.005277929],</v>
      </c>
      <c r="Q87" t="str">
        <f t="shared" si="18"/>
        <v>[0.005946938]</v>
      </c>
      <c r="R87" t="str">
        <f t="shared" si="19"/>
        <v>]</v>
      </c>
      <c r="S87" t="str">
        <f t="shared" si="20"/>
        <v>[[0.003171294],[0.006342588],[0.005821152],[0.004714611],[0.003653177],[0.005277929],[0.005946938]]</v>
      </c>
    </row>
    <row r="88" spans="1:19" x14ac:dyDescent="0.2">
      <c r="A88" s="1" t="d">
        <v>2025-11-10</v>
      </c>
      <c r="B88">
        <v>6.3425879999999997E-3</v>
      </c>
      <c r="C88">
        <v>6.3425879999999997E-3</v>
      </c>
      <c r="D88">
        <v>5.8211519999999996E-3</v>
      </c>
      <c r="E88">
        <v>4.7146109999999996E-3</v>
      </c>
      <c r="F88">
        <v>3.6531770000000001E-3</v>
      </c>
      <c r="G88">
        <v>5.2779289999999998E-3</v>
      </c>
      <c r="H88">
        <v>5.9469379999999997E-3</v>
      </c>
      <c r="J88" t="str">
        <f t="shared" si="11"/>
        <v>[</v>
      </c>
      <c r="K88" t="str">
        <f t="shared" si="12"/>
        <v>[0.003171294],</v>
      </c>
      <c r="L88" t="str">
        <f t="shared" si="13"/>
        <v>[0.006342588],</v>
      </c>
      <c r="M88" t="str">
        <f t="shared" si="14"/>
        <v>[0.005821152],</v>
      </c>
      <c r="N88" t="str">
        <f t="shared" si="15"/>
        <v>[0.004714611],</v>
      </c>
      <c r="O88" t="str">
        <f t="shared" si="16"/>
        <v>[0.003653177],</v>
      </c>
      <c r="P88" t="str">
        <f t="shared" si="17"/>
        <v>[0.005277929],</v>
      </c>
      <c r="Q88" t="str">
        <f t="shared" si="18"/>
        <v>[0.005946938]</v>
      </c>
      <c r="R88" t="str">
        <f t="shared" si="19"/>
        <v>]</v>
      </c>
      <c r="S88" t="str">
        <f t="shared" si="20"/>
        <v>[[0.003171294],[0.006342588],[0.005821152],[0.004714611],[0.003653177],[0.005277929],[0.005946938]]</v>
      </c>
    </row>
    <row r="89" spans="1:19" x14ac:dyDescent="0.2">
      <c r="A89" s="1" t="d">
        <v>2025-11-11</v>
      </c>
      <c r="B89">
        <v>6.3425879999999997E-3</v>
      </c>
      <c r="C89">
        <v>6.3425879999999997E-3</v>
      </c>
      <c r="D89">
        <v>5.8211519999999996E-3</v>
      </c>
      <c r="E89">
        <v>4.7146109999999996E-3</v>
      </c>
      <c r="F89">
        <v>3.6531770000000001E-3</v>
      </c>
      <c r="G89">
        <v>5.2779289999999998E-3</v>
      </c>
      <c r="H89">
        <v>5.9469379999999997E-3</v>
      </c>
      <c r="J89" t="str">
        <f t="shared" si="11"/>
        <v>[</v>
      </c>
      <c r="K89" t="str">
        <f t="shared" si="12"/>
        <v>[0.003171294],</v>
      </c>
      <c r="L89" t="str">
        <f t="shared" si="13"/>
        <v>[0.006342588],</v>
      </c>
      <c r="M89" t="str">
        <f t="shared" si="14"/>
        <v>[0.005821152],</v>
      </c>
      <c r="N89" t="str">
        <f t="shared" si="15"/>
        <v>[0.004714611],</v>
      </c>
      <c r="O89" t="str">
        <f t="shared" si="16"/>
        <v>[0.003653177],</v>
      </c>
      <c r="P89" t="str">
        <f t="shared" si="17"/>
        <v>[0.005277929],</v>
      </c>
      <c r="Q89" t="str">
        <f t="shared" si="18"/>
        <v>[0.005946938]</v>
      </c>
      <c r="R89" t="str">
        <f t="shared" si="19"/>
        <v>]</v>
      </c>
      <c r="S89" t="str">
        <f t="shared" si="20"/>
        <v>[[0.003171294],[0.006342588],[0.005821152],[0.004714611],[0.003653177],[0.005277929],[0.005946938]]</v>
      </c>
    </row>
    <row r="90" spans="1:19" x14ac:dyDescent="0.2">
      <c r="A90" s="1" t="d">
        <v>2025-11-12</v>
      </c>
      <c r="B90">
        <v>6.3425879999999997E-3</v>
      </c>
      <c r="C90">
        <v>6.3425879999999997E-3</v>
      </c>
      <c r="D90">
        <v>5.8211519999999996E-3</v>
      </c>
      <c r="E90">
        <v>4.7146109999999996E-3</v>
      </c>
      <c r="F90">
        <v>3.6531770000000001E-3</v>
      </c>
      <c r="G90">
        <v>5.2779289999999998E-3</v>
      </c>
      <c r="H90">
        <v>5.9469379999999997E-3</v>
      </c>
      <c r="J90" t="str">
        <f t="shared" si="11"/>
        <v>[</v>
      </c>
      <c r="K90" t="str">
        <f t="shared" si="12"/>
        <v>[0.003171294],</v>
      </c>
      <c r="L90" t="str">
        <f t="shared" si="13"/>
        <v>[0.006342588],</v>
      </c>
      <c r="M90" t="str">
        <f t="shared" si="14"/>
        <v>[0.005821152],</v>
      </c>
      <c r="N90" t="str">
        <f t="shared" si="15"/>
        <v>[0.004714611],</v>
      </c>
      <c r="O90" t="str">
        <f t="shared" si="16"/>
        <v>[0.003653177],</v>
      </c>
      <c r="P90" t="str">
        <f t="shared" si="17"/>
        <v>[0.005277929],</v>
      </c>
      <c r="Q90" t="str">
        <f t="shared" si="18"/>
        <v>[0.005946938]</v>
      </c>
      <c r="R90" t="str">
        <f t="shared" si="19"/>
        <v>]</v>
      </c>
      <c r="S90" t="str">
        <f t="shared" si="20"/>
        <v>[[0.003171294],[0.006342588],[0.005821152],[0.004714611],[0.003653177],[0.005277929],[0.005946938]]</v>
      </c>
    </row>
    <row r="91" spans="1:19" x14ac:dyDescent="0.2">
      <c r="A91" s="1" t="d">
        <v>2025-11-13</v>
      </c>
      <c r="B91">
        <v>6.3425879999999997E-3</v>
      </c>
      <c r="C91">
        <v>6.3425879999999997E-3</v>
      </c>
      <c r="D91">
        <v>5.8211519999999996E-3</v>
      </c>
      <c r="E91">
        <v>4.7146109999999996E-3</v>
      </c>
      <c r="F91">
        <v>3.6531770000000001E-3</v>
      </c>
      <c r="G91">
        <v>5.2779289999999998E-3</v>
      </c>
      <c r="H91">
        <v>5.9469379999999997E-3</v>
      </c>
      <c r="J91" t="str">
        <f t="shared" si="11"/>
        <v>[</v>
      </c>
      <c r="K91" t="str">
        <f t="shared" si="12"/>
        <v>[0.003171294],</v>
      </c>
      <c r="L91" t="str">
        <f t="shared" si="13"/>
        <v>[0.006342588],</v>
      </c>
      <c r="M91" t="str">
        <f t="shared" si="14"/>
        <v>[0.005821152],</v>
      </c>
      <c r="N91" t="str">
        <f t="shared" si="15"/>
        <v>[0.004714611],</v>
      </c>
      <c r="O91" t="str">
        <f t="shared" si="16"/>
        <v>[0.003653177],</v>
      </c>
      <c r="P91" t="str">
        <f t="shared" si="17"/>
        <v>[0.005277929],</v>
      </c>
      <c r="Q91" t="str">
        <f t="shared" si="18"/>
        <v>[0.005946938]</v>
      </c>
      <c r="R91" t="str">
        <f t="shared" si="19"/>
        <v>]</v>
      </c>
      <c r="S91" t="str">
        <f t="shared" si="20"/>
        <v>[[0.003171294],[0.006342588],[0.005821152],[0.004714611],[0.003653177],[0.005277929],[0.005946938]]</v>
      </c>
    </row>
    <row r="92" spans="1:19" x14ac:dyDescent="0.2">
      <c r="A92" s="1" t="d">
        <v>2025-11-14</v>
      </c>
      <c r="B92">
        <v>6.3425879999999997E-3</v>
      </c>
      <c r="C92">
        <v>6.3425879999999997E-3</v>
      </c>
      <c r="D92">
        <v>5.8211519999999996E-3</v>
      </c>
      <c r="E92">
        <v>4.7146109999999996E-3</v>
      </c>
      <c r="F92">
        <v>3.6531770000000001E-3</v>
      </c>
      <c r="G92">
        <v>5.2779289999999998E-3</v>
      </c>
      <c r="H92">
        <v>5.9469379999999997E-3</v>
      </c>
      <c r="J92" t="str">
        <f t="shared" si="11"/>
        <v>[</v>
      </c>
      <c r="K92" t="str">
        <f t="shared" si="12"/>
        <v>[0.003171294],</v>
      </c>
      <c r="L92" t="str">
        <f t="shared" si="13"/>
        <v>[0.006342588],</v>
      </c>
      <c r="M92" t="str">
        <f t="shared" si="14"/>
        <v>[0.005821152],</v>
      </c>
      <c r="N92" t="str">
        <f t="shared" si="15"/>
        <v>[0.004714611],</v>
      </c>
      <c r="O92" t="str">
        <f t="shared" si="16"/>
        <v>[0.003653177],</v>
      </c>
      <c r="P92" t="str">
        <f t="shared" si="17"/>
        <v>[0.005277929],</v>
      </c>
      <c r="Q92" t="str">
        <f t="shared" si="18"/>
        <v>[0.005946938]</v>
      </c>
      <c r="R92" t="str">
        <f t="shared" si="19"/>
        <v>]</v>
      </c>
      <c r="S92" t="str">
        <f t="shared" si="20"/>
        <v>[[0.003171294],[0.006342588],[0.005821152],[0.004714611],[0.003653177],[0.005277929],[0.005946938]]</v>
      </c>
    </row>
    <row r="93" spans="1:19" x14ac:dyDescent="0.2">
      <c r="A93" s="1" t="d">
        <v>2025-11-15</v>
      </c>
      <c r="B93">
        <v>5.096232E-3</v>
      </c>
      <c r="C93">
        <v>5.096232E-3</v>
      </c>
      <c r="D93">
        <v>5.2688789999999998E-3</v>
      </c>
      <c r="E93">
        <v>3.9527190000000004E-3</v>
      </c>
      <c r="F93">
        <v>3.0886339999999998E-3</v>
      </c>
      <c r="G93">
        <v>4.183394E-3</v>
      </c>
      <c r="H93">
        <v>4.6445899999999997E-3</v>
      </c>
      <c r="J93" t="str">
        <f t="shared" si="11"/>
        <v>[</v>
      </c>
      <c r="K93" t="str">
        <f t="shared" si="12"/>
        <v>[0.002548116],</v>
      </c>
      <c r="L93" t="str">
        <f t="shared" si="13"/>
        <v>[0.005096232],</v>
      </c>
      <c r="M93" t="str">
        <f t="shared" si="14"/>
        <v>[0.005268879],</v>
      </c>
      <c r="N93" t="str">
        <f t="shared" si="15"/>
        <v>[0.003952719],</v>
      </c>
      <c r="O93" t="str">
        <f t="shared" si="16"/>
        <v>[0.003088634],</v>
      </c>
      <c r="P93" t="str">
        <f t="shared" si="17"/>
        <v>[0.004183394],</v>
      </c>
      <c r="Q93" t="str">
        <f t="shared" si="18"/>
        <v>[0.00464459]</v>
      </c>
      <c r="R93" t="str">
        <f t="shared" si="19"/>
        <v>]</v>
      </c>
      <c r="S93" t="str">
        <f t="shared" si="20"/>
        <v>[[0.002548116],[0.005096232],[0.005268879],[0.003952719],[0.003088634],[0.004183394],[0.00464459]]</v>
      </c>
    </row>
    <row r="94" spans="1:19" x14ac:dyDescent="0.2">
      <c r="A94" s="1" t="d">
        <v>2025-11-16</v>
      </c>
      <c r="B94">
        <v>5.096232E-3</v>
      </c>
      <c r="C94">
        <v>5.096232E-3</v>
      </c>
      <c r="D94">
        <v>5.2688789999999998E-3</v>
      </c>
      <c r="E94">
        <v>3.9527190000000004E-3</v>
      </c>
      <c r="F94">
        <v>3.0886339999999998E-3</v>
      </c>
      <c r="G94">
        <v>4.183394E-3</v>
      </c>
      <c r="H94">
        <v>4.6445899999999997E-3</v>
      </c>
      <c r="J94" t="str">
        <f t="shared" si="11"/>
        <v>[</v>
      </c>
      <c r="K94" t="str">
        <f t="shared" si="12"/>
        <v>[0.002548116],</v>
      </c>
      <c r="L94" t="str">
        <f t="shared" si="13"/>
        <v>[0.005096232],</v>
      </c>
      <c r="M94" t="str">
        <f t="shared" si="14"/>
        <v>[0.005268879],</v>
      </c>
      <c r="N94" t="str">
        <f t="shared" si="15"/>
        <v>[0.003952719],</v>
      </c>
      <c r="O94" t="str">
        <f t="shared" si="16"/>
        <v>[0.003088634],</v>
      </c>
      <c r="P94" t="str">
        <f t="shared" si="17"/>
        <v>[0.004183394],</v>
      </c>
      <c r="Q94" t="str">
        <f t="shared" si="18"/>
        <v>[0.00464459]</v>
      </c>
      <c r="R94" t="str">
        <f t="shared" si="19"/>
        <v>]</v>
      </c>
      <c r="S94" t="str">
        <f t="shared" si="20"/>
        <v>[[0.002548116],[0.005096232],[0.005268879],[0.003952719],[0.003088634],[0.004183394],[0.00464459]]</v>
      </c>
    </row>
    <row r="95" spans="1:19" x14ac:dyDescent="0.2">
      <c r="A95" s="1" t="d">
        <v>2025-11-17</v>
      </c>
      <c r="B95">
        <v>5.096232E-3</v>
      </c>
      <c r="C95">
        <v>5.096232E-3</v>
      </c>
      <c r="D95">
        <v>5.2688789999999998E-3</v>
      </c>
      <c r="E95">
        <v>3.9527190000000004E-3</v>
      </c>
      <c r="F95">
        <v>3.0886339999999998E-3</v>
      </c>
      <c r="G95">
        <v>4.183394E-3</v>
      </c>
      <c r="H95">
        <v>4.6445899999999997E-3</v>
      </c>
      <c r="J95" t="str">
        <f t="shared" si="11"/>
        <v>[</v>
      </c>
      <c r="K95" t="str">
        <f t="shared" si="12"/>
        <v>[0.002548116],</v>
      </c>
      <c r="L95" t="str">
        <f t="shared" si="13"/>
        <v>[0.005096232],</v>
      </c>
      <c r="M95" t="str">
        <f t="shared" si="14"/>
        <v>[0.005268879],</v>
      </c>
      <c r="N95" t="str">
        <f t="shared" si="15"/>
        <v>[0.003952719],</v>
      </c>
      <c r="O95" t="str">
        <f t="shared" si="16"/>
        <v>[0.003088634],</v>
      </c>
      <c r="P95" t="str">
        <f t="shared" si="17"/>
        <v>[0.004183394],</v>
      </c>
      <c r="Q95" t="str">
        <f t="shared" si="18"/>
        <v>[0.00464459]</v>
      </c>
      <c r="R95" t="str">
        <f t="shared" si="19"/>
        <v>]</v>
      </c>
      <c r="S95" t="str">
        <f t="shared" si="20"/>
        <v>[[0.002548116],[0.005096232],[0.005268879],[0.003952719],[0.003088634],[0.004183394],[0.00464459]]</v>
      </c>
    </row>
    <row r="96" spans="1:19" x14ac:dyDescent="0.2">
      <c r="A96" s="1" t="d">
        <v>2025-11-18</v>
      </c>
      <c r="B96">
        <v>5.096232E-3</v>
      </c>
      <c r="C96">
        <v>5.096232E-3</v>
      </c>
      <c r="D96">
        <v>5.2688789999999998E-3</v>
      </c>
      <c r="E96">
        <v>3.9527190000000004E-3</v>
      </c>
      <c r="F96">
        <v>3.0886339999999998E-3</v>
      </c>
      <c r="G96">
        <v>4.183394E-3</v>
      </c>
      <c r="H96">
        <v>4.6445899999999997E-3</v>
      </c>
      <c r="J96" t="str">
        <f t="shared" si="11"/>
        <v>[</v>
      </c>
      <c r="K96" t="str">
        <f t="shared" si="12"/>
        <v>[0.002548116],</v>
      </c>
      <c r="L96" t="str">
        <f t="shared" si="13"/>
        <v>[0.005096232],</v>
      </c>
      <c r="M96" t="str">
        <f t="shared" si="14"/>
        <v>[0.005268879],</v>
      </c>
      <c r="N96" t="str">
        <f t="shared" si="15"/>
        <v>[0.003952719],</v>
      </c>
      <c r="O96" t="str">
        <f t="shared" si="16"/>
        <v>[0.003088634],</v>
      </c>
      <c r="P96" t="str">
        <f t="shared" si="17"/>
        <v>[0.004183394],</v>
      </c>
      <c r="Q96" t="str">
        <f t="shared" si="18"/>
        <v>[0.00464459]</v>
      </c>
      <c r="R96" t="str">
        <f t="shared" si="19"/>
        <v>]</v>
      </c>
      <c r="S96" t="str">
        <f t="shared" si="20"/>
        <v>[[0.002548116],[0.005096232],[0.005268879],[0.003952719],[0.003088634],[0.004183394],[0.00464459]]</v>
      </c>
    </row>
    <row r="97" spans="1:19" x14ac:dyDescent="0.2">
      <c r="A97" s="1" t="d">
        <v>2025-11-19</v>
      </c>
      <c r="B97">
        <v>5.096232E-3</v>
      </c>
      <c r="C97">
        <v>5.096232E-3</v>
      </c>
      <c r="D97">
        <v>5.2688789999999998E-3</v>
      </c>
      <c r="E97">
        <v>3.9527190000000004E-3</v>
      </c>
      <c r="F97">
        <v>3.0886339999999998E-3</v>
      </c>
      <c r="G97">
        <v>4.183394E-3</v>
      </c>
      <c r="H97">
        <v>4.6445899999999997E-3</v>
      </c>
      <c r="J97" t="str">
        <f t="shared" si="11"/>
        <v>[</v>
      </c>
      <c r="K97" t="str">
        <f t="shared" si="12"/>
        <v>[0.002548116],</v>
      </c>
      <c r="L97" t="str">
        <f t="shared" si="13"/>
        <v>[0.005096232],</v>
      </c>
      <c r="M97" t="str">
        <f t="shared" si="14"/>
        <v>[0.005268879],</v>
      </c>
      <c r="N97" t="str">
        <f t="shared" si="15"/>
        <v>[0.003952719],</v>
      </c>
      <c r="O97" t="str">
        <f t="shared" si="16"/>
        <v>[0.003088634],</v>
      </c>
      <c r="P97" t="str">
        <f t="shared" si="17"/>
        <v>[0.004183394],</v>
      </c>
      <c r="Q97" t="str">
        <f t="shared" si="18"/>
        <v>[0.00464459]</v>
      </c>
      <c r="R97" t="str">
        <f t="shared" si="19"/>
        <v>]</v>
      </c>
      <c r="S97" t="str">
        <f t="shared" si="20"/>
        <v>[[0.002548116],[0.005096232],[0.005268879],[0.003952719],[0.003088634],[0.004183394],[0.00464459]]</v>
      </c>
    </row>
    <row r="98" spans="1:19" x14ac:dyDescent="0.2">
      <c r="A98" s="1" t="d">
        <v>2025-11-20</v>
      </c>
      <c r="B98">
        <v>5.096232E-3</v>
      </c>
      <c r="C98">
        <v>5.096232E-3</v>
      </c>
      <c r="D98">
        <v>5.2688789999999998E-3</v>
      </c>
      <c r="E98">
        <v>3.9527190000000004E-3</v>
      </c>
      <c r="F98">
        <v>3.0886339999999998E-3</v>
      </c>
      <c r="G98">
        <v>4.183394E-3</v>
      </c>
      <c r="H98">
        <v>4.6445899999999997E-3</v>
      </c>
      <c r="J98" t="str">
        <f t="shared" si="11"/>
        <v>[</v>
      </c>
      <c r="K98" t="str">
        <f t="shared" si="12"/>
        <v>[0.002548116],</v>
      </c>
      <c r="L98" t="str">
        <f t="shared" si="13"/>
        <v>[0.005096232],</v>
      </c>
      <c r="M98" t="str">
        <f t="shared" si="14"/>
        <v>[0.005268879],</v>
      </c>
      <c r="N98" t="str">
        <f t="shared" si="15"/>
        <v>[0.003952719],</v>
      </c>
      <c r="O98" t="str">
        <f t="shared" si="16"/>
        <v>[0.003088634],</v>
      </c>
      <c r="P98" t="str">
        <f t="shared" si="17"/>
        <v>[0.004183394],</v>
      </c>
      <c r="Q98" t="str">
        <f t="shared" si="18"/>
        <v>[0.00464459]</v>
      </c>
      <c r="R98" t="str">
        <f t="shared" si="19"/>
        <v>]</v>
      </c>
      <c r="S98" t="str">
        <f t="shared" si="20"/>
        <v>[[0.002548116],[0.005096232],[0.005268879],[0.003952719],[0.003088634],[0.004183394],[0.00464459]]</v>
      </c>
    </row>
    <row r="99" spans="1:19" x14ac:dyDescent="0.2">
      <c r="A99" s="1" t="d">
        <v>2025-11-21</v>
      </c>
      <c r="B99">
        <v>5.096232E-3</v>
      </c>
      <c r="C99">
        <v>5.096232E-3</v>
      </c>
      <c r="D99">
        <v>5.2688789999999998E-3</v>
      </c>
      <c r="E99">
        <v>3.9527190000000004E-3</v>
      </c>
      <c r="F99">
        <v>3.0886339999999998E-3</v>
      </c>
      <c r="G99">
        <v>4.183394E-3</v>
      </c>
      <c r="H99">
        <v>4.6445899999999997E-3</v>
      </c>
      <c r="J99" t="str">
        <f t="shared" si="11"/>
        <v>[</v>
      </c>
      <c r="K99" t="str">
        <f t="shared" si="12"/>
        <v>[0.002548116],</v>
      </c>
      <c r="L99" t="str">
        <f t="shared" si="13"/>
        <v>[0.005096232],</v>
      </c>
      <c r="M99" t="str">
        <f t="shared" si="14"/>
        <v>[0.005268879],</v>
      </c>
      <c r="N99" t="str">
        <f t="shared" si="15"/>
        <v>[0.003952719],</v>
      </c>
      <c r="O99" t="str">
        <f t="shared" si="16"/>
        <v>[0.003088634],</v>
      </c>
      <c r="P99" t="str">
        <f t="shared" si="17"/>
        <v>[0.004183394],</v>
      </c>
      <c r="Q99" t="str">
        <f t="shared" si="18"/>
        <v>[0.00464459]</v>
      </c>
      <c r="R99" t="str">
        <f t="shared" si="19"/>
        <v>]</v>
      </c>
      <c r="S99" t="str">
        <f t="shared" si="20"/>
        <v>[[0.002548116],[0.005096232],[0.005268879],[0.003952719],[0.003088634],[0.004183394],[0.00464459]]</v>
      </c>
    </row>
    <row r="100" spans="1:19" x14ac:dyDescent="0.2">
      <c r="A100" s="1" t="d">
        <v>2025-11-22</v>
      </c>
      <c r="B100">
        <v>4.1171250000000001E-3</v>
      </c>
      <c r="C100">
        <v>4.1171250000000001E-3</v>
      </c>
      <c r="D100">
        <v>4.6738939999999996E-3</v>
      </c>
      <c r="E100">
        <v>3.2648550000000001E-3</v>
      </c>
      <c r="F100">
        <v>2.5518649999999999E-3</v>
      </c>
      <c r="G100">
        <v>3.2753209999999999E-3</v>
      </c>
      <c r="H100">
        <v>3.5716509999999999E-3</v>
      </c>
      <c r="J100" t="str">
        <f t="shared" si="11"/>
        <v>[</v>
      </c>
      <c r="K100" t="str">
        <f t="shared" si="12"/>
        <v>[0.0020585625],</v>
      </c>
      <c r="L100" t="str">
        <f t="shared" si="13"/>
        <v>[0.004117125],</v>
      </c>
      <c r="M100" t="str">
        <f t="shared" si="14"/>
        <v>[0.004673894],</v>
      </c>
      <c r="N100" t="str">
        <f t="shared" si="15"/>
        <v>[0.003264855],</v>
      </c>
      <c r="O100" t="str">
        <f t="shared" si="16"/>
        <v>[0.002551865],</v>
      </c>
      <c r="P100" t="str">
        <f t="shared" si="17"/>
        <v>[0.003275321],</v>
      </c>
      <c r="Q100" t="str">
        <f t="shared" si="18"/>
        <v>[0.003571651]</v>
      </c>
      <c r="R100" t="str">
        <f t="shared" si="19"/>
        <v>]</v>
      </c>
      <c r="S100" t="str">
        <f t="shared" si="20"/>
        <v>[[0.0020585625],[0.004117125],[0.004673894],[0.003264855],[0.002551865],[0.003275321],[0.003571651]]</v>
      </c>
    </row>
    <row r="101" spans="1:19" x14ac:dyDescent="0.2">
      <c r="A101" s="1" t="d">
        <v>2025-11-23</v>
      </c>
      <c r="B101">
        <v>4.1171250000000001E-3</v>
      </c>
      <c r="C101">
        <v>4.1171250000000001E-3</v>
      </c>
      <c r="D101">
        <v>4.6738939999999996E-3</v>
      </c>
      <c r="E101">
        <v>3.2648550000000001E-3</v>
      </c>
      <c r="F101">
        <v>2.5518649999999999E-3</v>
      </c>
      <c r="G101">
        <v>3.2753209999999999E-3</v>
      </c>
      <c r="H101">
        <v>3.5716509999999999E-3</v>
      </c>
      <c r="J101" t="str">
        <f t="shared" si="11"/>
        <v>[</v>
      </c>
      <c r="K101" t="str">
        <f t="shared" si="12"/>
        <v>[0.0020585625],</v>
      </c>
      <c r="L101" t="str">
        <f t="shared" si="13"/>
        <v>[0.004117125],</v>
      </c>
      <c r="M101" t="str">
        <f t="shared" si="14"/>
        <v>[0.004673894],</v>
      </c>
      <c r="N101" t="str">
        <f t="shared" si="15"/>
        <v>[0.003264855],</v>
      </c>
      <c r="O101" t="str">
        <f t="shared" si="16"/>
        <v>[0.002551865],</v>
      </c>
      <c r="P101" t="str">
        <f t="shared" si="17"/>
        <v>[0.003275321],</v>
      </c>
      <c r="Q101" t="str">
        <f t="shared" si="18"/>
        <v>[0.003571651]</v>
      </c>
      <c r="R101" t="str">
        <f t="shared" si="19"/>
        <v>]</v>
      </c>
      <c r="S101" t="str">
        <f t="shared" si="20"/>
        <v>[[0.0020585625],[0.004117125],[0.004673894],[0.003264855],[0.002551865],[0.003275321],[0.003571651]]</v>
      </c>
    </row>
    <row r="102" spans="1:19" x14ac:dyDescent="0.2">
      <c r="A102" s="1" t="d">
        <v>2025-11-24</v>
      </c>
      <c r="B102">
        <v>4.1171250000000001E-3</v>
      </c>
      <c r="C102">
        <v>4.1171250000000001E-3</v>
      </c>
      <c r="D102">
        <v>4.6738939999999996E-3</v>
      </c>
      <c r="E102">
        <v>3.2648550000000001E-3</v>
      </c>
      <c r="F102">
        <v>2.5518649999999999E-3</v>
      </c>
      <c r="G102">
        <v>3.2753209999999999E-3</v>
      </c>
      <c r="H102">
        <v>3.5716509999999999E-3</v>
      </c>
      <c r="J102" t="str">
        <f t="shared" si="11"/>
        <v>[</v>
      </c>
      <c r="K102" t="str">
        <f t="shared" si="12"/>
        <v>[0.0020585625],</v>
      </c>
      <c r="L102" t="str">
        <f t="shared" si="13"/>
        <v>[0.004117125],</v>
      </c>
      <c r="M102" t="str">
        <f t="shared" si="14"/>
        <v>[0.004673894],</v>
      </c>
      <c r="N102" t="str">
        <f t="shared" si="15"/>
        <v>[0.003264855],</v>
      </c>
      <c r="O102" t="str">
        <f t="shared" si="16"/>
        <v>[0.002551865],</v>
      </c>
      <c r="P102" t="str">
        <f t="shared" si="17"/>
        <v>[0.003275321],</v>
      </c>
      <c r="Q102" t="str">
        <f t="shared" si="18"/>
        <v>[0.003571651]</v>
      </c>
      <c r="R102" t="str">
        <f t="shared" si="19"/>
        <v>]</v>
      </c>
      <c r="S102" t="str">
        <f t="shared" si="20"/>
        <v>[[0.0020585625],[0.004117125],[0.004673894],[0.003264855],[0.002551865],[0.003275321],[0.003571651]]</v>
      </c>
    </row>
    <row r="103" spans="1:19" x14ac:dyDescent="0.2">
      <c r="A103" s="1" t="d">
        <v>2025-11-25</v>
      </c>
      <c r="B103">
        <v>4.1171250000000001E-3</v>
      </c>
      <c r="C103">
        <v>4.1171250000000001E-3</v>
      </c>
      <c r="D103">
        <v>4.6738939999999996E-3</v>
      </c>
      <c r="E103">
        <v>3.2648550000000001E-3</v>
      </c>
      <c r="F103">
        <v>2.5518649999999999E-3</v>
      </c>
      <c r="G103">
        <v>3.2753209999999999E-3</v>
      </c>
      <c r="H103">
        <v>3.5716509999999999E-3</v>
      </c>
      <c r="J103" t="str">
        <f t="shared" si="11"/>
        <v>[</v>
      </c>
      <c r="K103" t="str">
        <f t="shared" si="12"/>
        <v>[0.0020585625],</v>
      </c>
      <c r="L103" t="str">
        <f t="shared" si="13"/>
        <v>[0.004117125],</v>
      </c>
      <c r="M103" t="str">
        <f t="shared" si="14"/>
        <v>[0.004673894],</v>
      </c>
      <c r="N103" t="str">
        <f t="shared" si="15"/>
        <v>[0.003264855],</v>
      </c>
      <c r="O103" t="str">
        <f t="shared" si="16"/>
        <v>[0.002551865],</v>
      </c>
      <c r="P103" t="str">
        <f t="shared" si="17"/>
        <v>[0.003275321],</v>
      </c>
      <c r="Q103" t="str">
        <f t="shared" si="18"/>
        <v>[0.003571651]</v>
      </c>
      <c r="R103" t="str">
        <f t="shared" si="19"/>
        <v>]</v>
      </c>
      <c r="S103" t="str">
        <f t="shared" si="20"/>
        <v>[[0.0020585625],[0.004117125],[0.004673894],[0.003264855],[0.002551865],[0.003275321],[0.003571651]]</v>
      </c>
    </row>
    <row r="104" spans="1:19" x14ac:dyDescent="0.2">
      <c r="A104" s="1" t="d">
        <v>2025-11-26</v>
      </c>
      <c r="B104">
        <v>4.1171250000000001E-3</v>
      </c>
      <c r="C104">
        <v>4.1171250000000001E-3</v>
      </c>
      <c r="D104">
        <v>4.6738939999999996E-3</v>
      </c>
      <c r="E104">
        <v>3.2648550000000001E-3</v>
      </c>
      <c r="F104">
        <v>2.5518649999999999E-3</v>
      </c>
      <c r="G104">
        <v>3.2753209999999999E-3</v>
      </c>
      <c r="H104">
        <v>3.5716509999999999E-3</v>
      </c>
      <c r="J104" t="str">
        <f t="shared" si="11"/>
        <v>[</v>
      </c>
      <c r="K104" t="str">
        <f t="shared" si="12"/>
        <v>[0.0020585625],</v>
      </c>
      <c r="L104" t="str">
        <f t="shared" si="13"/>
        <v>[0.004117125],</v>
      </c>
      <c r="M104" t="str">
        <f t="shared" si="14"/>
        <v>[0.004673894],</v>
      </c>
      <c r="N104" t="str">
        <f t="shared" si="15"/>
        <v>[0.003264855],</v>
      </c>
      <c r="O104" t="str">
        <f t="shared" si="16"/>
        <v>[0.002551865],</v>
      </c>
      <c r="P104" t="str">
        <f t="shared" si="17"/>
        <v>[0.003275321],</v>
      </c>
      <c r="Q104" t="str">
        <f t="shared" si="18"/>
        <v>[0.003571651]</v>
      </c>
      <c r="R104" t="str">
        <f t="shared" si="19"/>
        <v>]</v>
      </c>
      <c r="S104" t="str">
        <f t="shared" si="20"/>
        <v>[[0.0020585625],[0.004117125],[0.004673894],[0.003264855],[0.002551865],[0.003275321],[0.003571651]]</v>
      </c>
    </row>
    <row r="105" spans="1:19" x14ac:dyDescent="0.2">
      <c r="A105" s="1" t="d">
        <v>2025-11-27</v>
      </c>
      <c r="B105">
        <v>4.1171250000000001E-3</v>
      </c>
      <c r="C105">
        <v>4.1171250000000001E-3</v>
      </c>
      <c r="D105">
        <v>4.6738939999999996E-3</v>
      </c>
      <c r="E105">
        <v>3.2648550000000001E-3</v>
      </c>
      <c r="F105">
        <v>2.5518649999999999E-3</v>
      </c>
      <c r="G105">
        <v>3.2753209999999999E-3</v>
      </c>
      <c r="H105">
        <v>3.5716509999999999E-3</v>
      </c>
      <c r="J105" t="str">
        <f t="shared" si="11"/>
        <v>[</v>
      </c>
      <c r="K105" t="str">
        <f t="shared" si="12"/>
        <v>[0.0020585625],</v>
      </c>
      <c r="L105" t="str">
        <f t="shared" si="13"/>
        <v>[0.004117125],</v>
      </c>
      <c r="M105" t="str">
        <f t="shared" si="14"/>
        <v>[0.004673894],</v>
      </c>
      <c r="N105" t="str">
        <f t="shared" si="15"/>
        <v>[0.003264855],</v>
      </c>
      <c r="O105" t="str">
        <f t="shared" si="16"/>
        <v>[0.002551865],</v>
      </c>
      <c r="P105" t="str">
        <f t="shared" si="17"/>
        <v>[0.003275321],</v>
      </c>
      <c r="Q105" t="str">
        <f t="shared" si="18"/>
        <v>[0.003571651]</v>
      </c>
      <c r="R105" t="str">
        <f t="shared" si="19"/>
        <v>]</v>
      </c>
      <c r="S105" t="str">
        <f t="shared" si="20"/>
        <v>[[0.0020585625],[0.004117125],[0.004673894],[0.003264855],[0.002551865],[0.003275321],[0.003571651]]</v>
      </c>
    </row>
    <row r="106" spans="1:19" x14ac:dyDescent="0.2">
      <c r="A106" s="1" t="d">
        <v>2025-11-28</v>
      </c>
      <c r="B106">
        <v>4.1171250000000001E-3</v>
      </c>
      <c r="C106">
        <v>4.1171250000000001E-3</v>
      </c>
      <c r="D106">
        <v>4.6738939999999996E-3</v>
      </c>
      <c r="E106">
        <v>3.2648550000000001E-3</v>
      </c>
      <c r="F106">
        <v>2.5518649999999999E-3</v>
      </c>
      <c r="G106">
        <v>3.2753209999999999E-3</v>
      </c>
      <c r="H106">
        <v>3.5716509999999999E-3</v>
      </c>
      <c r="J106" t="str">
        <f t="shared" si="11"/>
        <v>[</v>
      </c>
      <c r="K106" t="str">
        <f t="shared" si="12"/>
        <v>[0.0020585625],</v>
      </c>
      <c r="L106" t="str">
        <f t="shared" si="13"/>
        <v>[0.004117125],</v>
      </c>
      <c r="M106" t="str">
        <f t="shared" si="14"/>
        <v>[0.004673894],</v>
      </c>
      <c r="N106" t="str">
        <f t="shared" si="15"/>
        <v>[0.003264855],</v>
      </c>
      <c r="O106" t="str">
        <f t="shared" si="16"/>
        <v>[0.002551865],</v>
      </c>
      <c r="P106" t="str">
        <f t="shared" si="17"/>
        <v>[0.003275321],</v>
      </c>
      <c r="Q106" t="str">
        <f t="shared" si="18"/>
        <v>[0.003571651]</v>
      </c>
      <c r="R106" t="str">
        <f t="shared" si="19"/>
        <v>]</v>
      </c>
      <c r="S106" t="str">
        <f t="shared" si="20"/>
        <v>[[0.0020585625],[0.004117125],[0.004673894],[0.003264855],[0.002551865],[0.003275321],[0.003571651]]</v>
      </c>
    </row>
    <row r="107" spans="1:19" x14ac:dyDescent="0.2">
      <c r="A107" s="1" t="d">
        <v>2025-11-29</v>
      </c>
      <c r="B107">
        <v>7.445101E-3</v>
      </c>
      <c r="C107">
        <v>7.445101E-3</v>
      </c>
      <c r="D107">
        <v>8.4072520000000005E-3</v>
      </c>
      <c r="E107">
        <v>5.7193080000000002E-3</v>
      </c>
      <c r="F107">
        <v>4.4285679999999999E-3</v>
      </c>
      <c r="G107">
        <v>5.718E-3</v>
      </c>
      <c r="H107">
        <v>6.081955E-3</v>
      </c>
      <c r="J107" t="str">
        <f t="shared" si="11"/>
        <v>[</v>
      </c>
      <c r="K107" t="str">
        <f t="shared" si="12"/>
        <v>[0.0037225505],</v>
      </c>
      <c r="L107" t="str">
        <f t="shared" si="13"/>
        <v>[0.007445101],</v>
      </c>
      <c r="M107" t="str">
        <f t="shared" si="14"/>
        <v>[0.008407252],</v>
      </c>
      <c r="N107" t="str">
        <f t="shared" si="15"/>
        <v>[0.005719308],</v>
      </c>
      <c r="O107" t="str">
        <f t="shared" si="16"/>
        <v>[0.004428568],</v>
      </c>
      <c r="P107" t="str">
        <f t="shared" si="17"/>
        <v>[0.005718],</v>
      </c>
      <c r="Q107" t="str">
        <f t="shared" si="18"/>
        <v>[0.006081955]</v>
      </c>
      <c r="R107" t="str">
        <f t="shared" si="19"/>
        <v>]</v>
      </c>
      <c r="S107" t="str">
        <f t="shared" si="20"/>
        <v>[[0.0037225505],[0.007445101],[0.008407252],[0.005719308],[0.004428568],[0.005718],[0.006081955]]</v>
      </c>
    </row>
    <row r="108" spans="1:19" x14ac:dyDescent="0.2">
      <c r="A108" s="1" t="d">
        <v>2025-11-30</v>
      </c>
      <c r="B108">
        <v>7.445101E-3</v>
      </c>
      <c r="C108">
        <v>7.445101E-3</v>
      </c>
      <c r="D108">
        <v>8.4072520000000005E-3</v>
      </c>
      <c r="E108">
        <v>5.7193080000000002E-3</v>
      </c>
      <c r="F108">
        <v>4.4285679999999999E-3</v>
      </c>
      <c r="G108">
        <v>5.718E-3</v>
      </c>
      <c r="H108">
        <v>6.081955E-3</v>
      </c>
      <c r="J108" t="str">
        <f t="shared" si="11"/>
        <v>[</v>
      </c>
      <c r="K108" t="str">
        <f t="shared" si="12"/>
        <v>[0.0037225505],</v>
      </c>
      <c r="L108" t="str">
        <f t="shared" si="13"/>
        <v>[0.007445101],</v>
      </c>
      <c r="M108" t="str">
        <f t="shared" si="14"/>
        <v>[0.008407252],</v>
      </c>
      <c r="N108" t="str">
        <f t="shared" si="15"/>
        <v>[0.005719308],</v>
      </c>
      <c r="O108" t="str">
        <f t="shared" si="16"/>
        <v>[0.004428568],</v>
      </c>
      <c r="P108" t="str">
        <f t="shared" si="17"/>
        <v>[0.005718],</v>
      </c>
      <c r="Q108" t="str">
        <f t="shared" si="18"/>
        <v>[0.006081955]</v>
      </c>
      <c r="R108" t="str">
        <f t="shared" si="19"/>
        <v>]</v>
      </c>
      <c r="S108" t="str">
        <f t="shared" si="20"/>
        <v>[[0.0037225505],[0.007445101],[0.008407252],[0.005719308],[0.004428568],[0.005718],[0.006081955]]</v>
      </c>
    </row>
    <row r="109" spans="1:19" x14ac:dyDescent="0.2">
      <c r="A109" s="1" t="d">
        <v>2025-12-01</v>
      </c>
      <c r="B109">
        <v>7.445101E-3</v>
      </c>
      <c r="C109">
        <v>7.445101E-3</v>
      </c>
      <c r="D109">
        <v>8.4072520000000005E-3</v>
      </c>
      <c r="E109">
        <v>5.7193080000000002E-3</v>
      </c>
      <c r="F109">
        <v>4.4285679999999999E-3</v>
      </c>
      <c r="G109">
        <v>5.718E-3</v>
      </c>
      <c r="H109">
        <v>6.081955E-3</v>
      </c>
      <c r="J109" t="str">
        <f t="shared" si="11"/>
        <v>[</v>
      </c>
      <c r="K109" t="str">
        <f t="shared" si="12"/>
        <v>[0.0037225505],</v>
      </c>
      <c r="L109" t="str">
        <f t="shared" si="13"/>
        <v>[0.007445101],</v>
      </c>
      <c r="M109" t="str">
        <f t="shared" si="14"/>
        <v>[0.008407252],</v>
      </c>
      <c r="N109" t="str">
        <f t="shared" si="15"/>
        <v>[0.005719308],</v>
      </c>
      <c r="O109" t="str">
        <f t="shared" si="16"/>
        <v>[0.004428568],</v>
      </c>
      <c r="P109" t="str">
        <f t="shared" si="17"/>
        <v>[0.005718],</v>
      </c>
      <c r="Q109" t="str">
        <f t="shared" si="18"/>
        <v>[0.006081955]</v>
      </c>
      <c r="R109" t="str">
        <f t="shared" si="19"/>
        <v>]</v>
      </c>
      <c r="S109" t="str">
        <f t="shared" si="20"/>
        <v>[[0.0037225505],[0.007445101],[0.008407252],[0.005719308],[0.004428568],[0.005718],[0.006081955]]</v>
      </c>
    </row>
    <row r="110" spans="1:19" x14ac:dyDescent="0.2">
      <c r="A110" s="1" t="d">
        <v>2025-12-02</v>
      </c>
      <c r="B110">
        <v>7.445101E-3</v>
      </c>
      <c r="C110">
        <v>7.445101E-3</v>
      </c>
      <c r="D110">
        <v>8.4072520000000005E-3</v>
      </c>
      <c r="E110">
        <v>5.7193080000000002E-3</v>
      </c>
      <c r="F110">
        <v>4.4285679999999999E-3</v>
      </c>
      <c r="G110">
        <v>5.718E-3</v>
      </c>
      <c r="H110">
        <v>6.081955E-3</v>
      </c>
      <c r="J110" t="str">
        <f t="shared" si="11"/>
        <v>[</v>
      </c>
      <c r="K110" t="str">
        <f t="shared" si="12"/>
        <v>[0.0037225505],</v>
      </c>
      <c r="L110" t="str">
        <f t="shared" si="13"/>
        <v>[0.007445101],</v>
      </c>
      <c r="M110" t="str">
        <f t="shared" si="14"/>
        <v>[0.008407252],</v>
      </c>
      <c r="N110" t="str">
        <f t="shared" si="15"/>
        <v>[0.005719308],</v>
      </c>
      <c r="O110" t="str">
        <f t="shared" si="16"/>
        <v>[0.004428568],</v>
      </c>
      <c r="P110" t="str">
        <f t="shared" si="17"/>
        <v>[0.005718],</v>
      </c>
      <c r="Q110" t="str">
        <f t="shared" si="18"/>
        <v>[0.006081955]</v>
      </c>
      <c r="R110" t="str">
        <f t="shared" si="19"/>
        <v>]</v>
      </c>
      <c r="S110" t="str">
        <f t="shared" si="20"/>
        <v>[[0.0037225505],[0.007445101],[0.008407252],[0.005719308],[0.004428568],[0.005718],[0.006081955]]</v>
      </c>
    </row>
    <row r="111" spans="1:19" x14ac:dyDescent="0.2">
      <c r="A111" s="1" t="d">
        <v>2025-12-03</v>
      </c>
      <c r="B111">
        <v>7.445101E-3</v>
      </c>
      <c r="C111">
        <v>7.445101E-3</v>
      </c>
      <c r="D111">
        <v>8.4072520000000005E-3</v>
      </c>
      <c r="E111">
        <v>5.7193080000000002E-3</v>
      </c>
      <c r="F111">
        <v>4.4285679999999999E-3</v>
      </c>
      <c r="G111">
        <v>5.718E-3</v>
      </c>
      <c r="H111">
        <v>6.081955E-3</v>
      </c>
      <c r="J111" t="str">
        <f t="shared" si="11"/>
        <v>[</v>
      </c>
      <c r="K111" t="str">
        <f t="shared" si="12"/>
        <v>[0.0037225505],</v>
      </c>
      <c r="L111" t="str">
        <f t="shared" si="13"/>
        <v>[0.007445101],</v>
      </c>
      <c r="M111" t="str">
        <f t="shared" si="14"/>
        <v>[0.008407252],</v>
      </c>
      <c r="N111" t="str">
        <f t="shared" si="15"/>
        <v>[0.005719308],</v>
      </c>
      <c r="O111" t="str">
        <f t="shared" si="16"/>
        <v>[0.004428568],</v>
      </c>
      <c r="P111" t="str">
        <f t="shared" si="17"/>
        <v>[0.005718],</v>
      </c>
      <c r="Q111" t="str">
        <f t="shared" si="18"/>
        <v>[0.006081955]</v>
      </c>
      <c r="R111" t="str">
        <f t="shared" si="19"/>
        <v>]</v>
      </c>
      <c r="S111" t="str">
        <f t="shared" si="20"/>
        <v>[[0.0037225505],[0.007445101],[0.008407252],[0.005719308],[0.004428568],[0.005718],[0.006081955]]</v>
      </c>
    </row>
    <row r="112" spans="1:19" x14ac:dyDescent="0.2">
      <c r="A112" s="1" t="d">
        <v>2025-12-04</v>
      </c>
      <c r="B112">
        <v>7.445101E-3</v>
      </c>
      <c r="C112">
        <v>7.445101E-3</v>
      </c>
      <c r="D112">
        <v>8.4072520000000005E-3</v>
      </c>
      <c r="E112">
        <v>5.7193080000000002E-3</v>
      </c>
      <c r="F112">
        <v>4.4285679999999999E-3</v>
      </c>
      <c r="G112">
        <v>5.718E-3</v>
      </c>
      <c r="H112">
        <v>6.081955E-3</v>
      </c>
      <c r="J112" t="str">
        <f t="shared" si="11"/>
        <v>[</v>
      </c>
      <c r="K112" t="str">
        <f t="shared" si="12"/>
        <v>[0.0037225505],</v>
      </c>
      <c r="L112" t="str">
        <f t="shared" si="13"/>
        <v>[0.007445101],</v>
      </c>
      <c r="M112" t="str">
        <f t="shared" si="14"/>
        <v>[0.008407252],</v>
      </c>
      <c r="N112" t="str">
        <f t="shared" si="15"/>
        <v>[0.005719308],</v>
      </c>
      <c r="O112" t="str">
        <f t="shared" si="16"/>
        <v>[0.004428568],</v>
      </c>
      <c r="P112" t="str">
        <f t="shared" si="17"/>
        <v>[0.005718],</v>
      </c>
      <c r="Q112" t="str">
        <f t="shared" si="18"/>
        <v>[0.006081955]</v>
      </c>
      <c r="R112" t="str">
        <f t="shared" si="19"/>
        <v>]</v>
      </c>
      <c r="S112" t="str">
        <f t="shared" si="20"/>
        <v>[[0.0037225505],[0.007445101],[0.008407252],[0.005719308],[0.004428568],[0.005718],[0.006081955]]</v>
      </c>
    </row>
    <row r="113" spans="1:19" x14ac:dyDescent="0.2">
      <c r="A113" s="1" t="d">
        <v>2025-12-05</v>
      </c>
      <c r="B113">
        <v>7.445101E-3</v>
      </c>
      <c r="C113">
        <v>7.445101E-3</v>
      </c>
      <c r="D113">
        <v>8.4072520000000005E-3</v>
      </c>
      <c r="E113">
        <v>5.7193080000000002E-3</v>
      </c>
      <c r="F113">
        <v>4.4285679999999999E-3</v>
      </c>
      <c r="G113">
        <v>5.718E-3</v>
      </c>
      <c r="H113">
        <v>6.081955E-3</v>
      </c>
      <c r="J113" t="str">
        <f t="shared" si="11"/>
        <v>[</v>
      </c>
      <c r="K113" t="str">
        <f t="shared" si="12"/>
        <v>[0.0037225505],</v>
      </c>
      <c r="L113" t="str">
        <f t="shared" si="13"/>
        <v>[0.007445101],</v>
      </c>
      <c r="M113" t="str">
        <f t="shared" si="14"/>
        <v>[0.008407252],</v>
      </c>
      <c r="N113" t="str">
        <f t="shared" si="15"/>
        <v>[0.005719308],</v>
      </c>
      <c r="O113" t="str">
        <f t="shared" si="16"/>
        <v>[0.004428568],</v>
      </c>
      <c r="P113" t="str">
        <f t="shared" si="17"/>
        <v>[0.005718],</v>
      </c>
      <c r="Q113" t="str">
        <f t="shared" si="18"/>
        <v>[0.006081955]</v>
      </c>
      <c r="R113" t="str">
        <f t="shared" si="19"/>
        <v>]</v>
      </c>
      <c r="S113" t="str">
        <f t="shared" si="20"/>
        <v>[[0.0037225505],[0.007445101],[0.008407252],[0.005719308],[0.004428568],[0.005718],[0.006081955]]</v>
      </c>
    </row>
    <row r="114" spans="1:19" x14ac:dyDescent="0.2">
      <c r="A114" s="1" t="d">
        <v>2025-12-06</v>
      </c>
      <c r="B114">
        <v>3.2351979999999999E-3</v>
      </c>
      <c r="C114">
        <v>3.2351979999999999E-3</v>
      </c>
      <c r="D114">
        <v>3.3240969999999998E-3</v>
      </c>
      <c r="E114">
        <v>2.1868170000000002E-3</v>
      </c>
      <c r="F114">
        <v>1.6116769999999999E-3</v>
      </c>
      <c r="G114">
        <v>2.218313E-3</v>
      </c>
      <c r="H114">
        <v>2.198649E-3</v>
      </c>
      <c r="J114" t="str">
        <f t="shared" si="11"/>
        <v>[</v>
      </c>
      <c r="K114" t="str">
        <f t="shared" si="12"/>
        <v>[0.001617599],</v>
      </c>
      <c r="L114" t="str">
        <f t="shared" si="13"/>
        <v>[0.003235198],</v>
      </c>
      <c r="M114" t="str">
        <f t="shared" si="14"/>
        <v>[0.003324097],</v>
      </c>
      <c r="N114" t="str">
        <f t="shared" si="15"/>
        <v>[0.002186817],</v>
      </c>
      <c r="O114" t="str">
        <f t="shared" si="16"/>
        <v>[0.001611677],</v>
      </c>
      <c r="P114" t="str">
        <f t="shared" si="17"/>
        <v>[0.002218313],</v>
      </c>
      <c r="Q114" t="str">
        <f t="shared" si="18"/>
        <v>[0.002198649]</v>
      </c>
      <c r="R114" t="str">
        <f t="shared" si="19"/>
        <v>]</v>
      </c>
      <c r="S114" t="str">
        <f t="shared" si="20"/>
        <v>[[0.001617599],[0.003235198],[0.003324097],[0.002186817],[0.001611677],[0.002218313],[0.002198649]]</v>
      </c>
    </row>
    <row r="115" spans="1:19" x14ac:dyDescent="0.2">
      <c r="A115" s="1" t="d">
        <v>2025-12-07</v>
      </c>
      <c r="B115">
        <v>3.2351979999999999E-3</v>
      </c>
      <c r="C115">
        <v>3.2351979999999999E-3</v>
      </c>
      <c r="D115">
        <v>3.3240969999999998E-3</v>
      </c>
      <c r="E115">
        <v>2.1868170000000002E-3</v>
      </c>
      <c r="F115">
        <v>1.6116769999999999E-3</v>
      </c>
      <c r="G115">
        <v>2.218313E-3</v>
      </c>
      <c r="H115">
        <v>2.198649E-3</v>
      </c>
      <c r="J115" t="str">
        <f t="shared" si="11"/>
        <v>[</v>
      </c>
      <c r="K115" t="str">
        <f t="shared" si="12"/>
        <v>[0.001617599],</v>
      </c>
      <c r="L115" t="str">
        <f t="shared" si="13"/>
        <v>[0.003235198],</v>
      </c>
      <c r="M115" t="str">
        <f t="shared" si="14"/>
        <v>[0.003324097],</v>
      </c>
      <c r="N115" t="str">
        <f t="shared" si="15"/>
        <v>[0.002186817],</v>
      </c>
      <c r="O115" t="str">
        <f t="shared" si="16"/>
        <v>[0.001611677],</v>
      </c>
      <c r="P115" t="str">
        <f t="shared" si="17"/>
        <v>[0.002218313],</v>
      </c>
      <c r="Q115" t="str">
        <f t="shared" si="18"/>
        <v>[0.002198649]</v>
      </c>
      <c r="R115" t="str">
        <f t="shared" si="19"/>
        <v>]</v>
      </c>
      <c r="S115" t="str">
        <f t="shared" si="20"/>
        <v>[[0.001617599],[0.003235198],[0.003324097],[0.002186817],[0.001611677],[0.002218313],[0.002198649]]</v>
      </c>
    </row>
    <row r="116" spans="1:19" x14ac:dyDescent="0.2">
      <c r="A116" s="1" t="d">
        <v>2025-12-08</v>
      </c>
      <c r="B116">
        <v>3.2351979999999999E-3</v>
      </c>
      <c r="C116">
        <v>3.2351979999999999E-3</v>
      </c>
      <c r="D116">
        <v>3.3240969999999998E-3</v>
      </c>
      <c r="E116">
        <v>2.1868170000000002E-3</v>
      </c>
      <c r="F116">
        <v>1.6116769999999999E-3</v>
      </c>
      <c r="G116">
        <v>2.218313E-3</v>
      </c>
      <c r="H116">
        <v>2.198649E-3</v>
      </c>
      <c r="J116" t="str">
        <f t="shared" si="11"/>
        <v>[</v>
      </c>
      <c r="K116" t="str">
        <f t="shared" si="12"/>
        <v>[0.001617599],</v>
      </c>
      <c r="L116" t="str">
        <f t="shared" si="13"/>
        <v>[0.003235198],</v>
      </c>
      <c r="M116" t="str">
        <f t="shared" si="14"/>
        <v>[0.003324097],</v>
      </c>
      <c r="N116" t="str">
        <f t="shared" si="15"/>
        <v>[0.002186817],</v>
      </c>
      <c r="O116" t="str">
        <f t="shared" si="16"/>
        <v>[0.001611677],</v>
      </c>
      <c r="P116" t="str">
        <f t="shared" si="17"/>
        <v>[0.002218313],</v>
      </c>
      <c r="Q116" t="str">
        <f t="shared" si="18"/>
        <v>[0.002198649]</v>
      </c>
      <c r="R116" t="str">
        <f t="shared" si="19"/>
        <v>]</v>
      </c>
      <c r="S116" t="str">
        <f t="shared" si="20"/>
        <v>[[0.001617599],[0.003235198],[0.003324097],[0.002186817],[0.001611677],[0.002218313],[0.002198649]]</v>
      </c>
    </row>
    <row r="117" spans="1:19" x14ac:dyDescent="0.2">
      <c r="A117" s="1" t="d">
        <v>2025-12-09</v>
      </c>
      <c r="B117">
        <v>3.2351979999999999E-3</v>
      </c>
      <c r="C117">
        <v>3.2351979999999999E-3</v>
      </c>
      <c r="D117">
        <v>3.3240969999999998E-3</v>
      </c>
      <c r="E117">
        <v>2.1868170000000002E-3</v>
      </c>
      <c r="F117">
        <v>1.6116769999999999E-3</v>
      </c>
      <c r="G117">
        <v>2.218313E-3</v>
      </c>
      <c r="H117">
        <v>2.198649E-3</v>
      </c>
      <c r="J117" t="str">
        <f t="shared" si="11"/>
        <v>[</v>
      </c>
      <c r="K117" t="str">
        <f t="shared" si="12"/>
        <v>[0.001617599],</v>
      </c>
      <c r="L117" t="str">
        <f t="shared" si="13"/>
        <v>[0.003235198],</v>
      </c>
      <c r="M117" t="str">
        <f t="shared" si="14"/>
        <v>[0.003324097],</v>
      </c>
      <c r="N117" t="str">
        <f t="shared" si="15"/>
        <v>[0.002186817],</v>
      </c>
      <c r="O117" t="str">
        <f t="shared" si="16"/>
        <v>[0.001611677],</v>
      </c>
      <c r="P117" t="str">
        <f t="shared" si="17"/>
        <v>[0.002218313],</v>
      </c>
      <c r="Q117" t="str">
        <f t="shared" si="18"/>
        <v>[0.002198649]</v>
      </c>
      <c r="R117" t="str">
        <f t="shared" si="19"/>
        <v>]</v>
      </c>
      <c r="S117" t="str">
        <f t="shared" si="20"/>
        <v>[[0.001617599],[0.003235198],[0.003324097],[0.002186817],[0.001611677],[0.002218313],[0.002198649]]</v>
      </c>
    </row>
    <row r="118" spans="1:19" x14ac:dyDescent="0.2">
      <c r="A118" s="1" t="d">
        <v>2025-12-10</v>
      </c>
      <c r="B118">
        <v>3.2351979999999999E-3</v>
      </c>
      <c r="C118">
        <v>3.2351979999999999E-3</v>
      </c>
      <c r="D118">
        <v>3.3240969999999998E-3</v>
      </c>
      <c r="E118">
        <v>2.1868170000000002E-3</v>
      </c>
      <c r="F118">
        <v>1.6116769999999999E-3</v>
      </c>
      <c r="G118">
        <v>2.218313E-3</v>
      </c>
      <c r="H118">
        <v>2.198649E-3</v>
      </c>
      <c r="J118" t="str">
        <f t="shared" si="11"/>
        <v>[</v>
      </c>
      <c r="K118" t="str">
        <f t="shared" si="12"/>
        <v>[0.001617599],</v>
      </c>
      <c r="L118" t="str">
        <f t="shared" si="13"/>
        <v>[0.003235198],</v>
      </c>
      <c r="M118" t="str">
        <f t="shared" si="14"/>
        <v>[0.003324097],</v>
      </c>
      <c r="N118" t="str">
        <f t="shared" si="15"/>
        <v>[0.002186817],</v>
      </c>
      <c r="O118" t="str">
        <f t="shared" si="16"/>
        <v>[0.001611677],</v>
      </c>
      <c r="P118" t="str">
        <f t="shared" si="17"/>
        <v>[0.002218313],</v>
      </c>
      <c r="Q118" t="str">
        <f t="shared" si="18"/>
        <v>[0.002198649]</v>
      </c>
      <c r="R118" t="str">
        <f t="shared" si="19"/>
        <v>]</v>
      </c>
      <c r="S118" t="str">
        <f t="shared" si="20"/>
        <v>[[0.001617599],[0.003235198],[0.003324097],[0.002186817],[0.001611677],[0.002218313],[0.002198649]]</v>
      </c>
    </row>
    <row r="119" spans="1:19" x14ac:dyDescent="0.2">
      <c r="A119" s="1" t="d">
        <v>2025-12-11</v>
      </c>
      <c r="B119">
        <v>3.2351979999999999E-3</v>
      </c>
      <c r="C119">
        <v>3.2351979999999999E-3</v>
      </c>
      <c r="D119">
        <v>3.3240969999999998E-3</v>
      </c>
      <c r="E119">
        <v>2.1868170000000002E-3</v>
      </c>
      <c r="F119">
        <v>1.6116769999999999E-3</v>
      </c>
      <c r="G119">
        <v>2.218313E-3</v>
      </c>
      <c r="H119">
        <v>2.198649E-3</v>
      </c>
      <c r="J119" t="str">
        <f t="shared" si="11"/>
        <v>[</v>
      </c>
      <c r="K119" t="str">
        <f t="shared" si="12"/>
        <v>[0.001617599],</v>
      </c>
      <c r="L119" t="str">
        <f t="shared" si="13"/>
        <v>[0.003235198],</v>
      </c>
      <c r="M119" t="str">
        <f t="shared" si="14"/>
        <v>[0.003324097],</v>
      </c>
      <c r="N119" t="str">
        <f t="shared" si="15"/>
        <v>[0.002186817],</v>
      </c>
      <c r="O119" t="str">
        <f t="shared" si="16"/>
        <v>[0.001611677],</v>
      </c>
      <c r="P119" t="str">
        <f t="shared" si="17"/>
        <v>[0.002218313],</v>
      </c>
      <c r="Q119" t="str">
        <f t="shared" si="18"/>
        <v>[0.002198649]</v>
      </c>
      <c r="R119" t="str">
        <f t="shared" si="19"/>
        <v>]</v>
      </c>
      <c r="S119" t="str">
        <f t="shared" si="20"/>
        <v>[[0.001617599],[0.003235198],[0.003324097],[0.002186817],[0.001611677],[0.002218313],[0.002198649]]</v>
      </c>
    </row>
    <row r="120" spans="1:19" x14ac:dyDescent="0.2">
      <c r="A120" s="1" t="d">
        <v>2025-12-12</v>
      </c>
      <c r="B120">
        <v>3.2351979999999999E-3</v>
      </c>
      <c r="C120">
        <v>3.2351979999999999E-3</v>
      </c>
      <c r="D120">
        <v>3.3240969999999998E-3</v>
      </c>
      <c r="E120">
        <v>2.1868170000000002E-3</v>
      </c>
      <c r="F120">
        <v>1.6116769999999999E-3</v>
      </c>
      <c r="G120">
        <v>2.218313E-3</v>
      </c>
      <c r="H120">
        <v>2.198649E-3</v>
      </c>
      <c r="J120" t="str">
        <f t="shared" si="11"/>
        <v>[</v>
      </c>
      <c r="K120" t="str">
        <f t="shared" si="12"/>
        <v>[0.001617599],</v>
      </c>
      <c r="L120" t="str">
        <f t="shared" si="13"/>
        <v>[0.003235198],</v>
      </c>
      <c r="M120" t="str">
        <f t="shared" si="14"/>
        <v>[0.003324097],</v>
      </c>
      <c r="N120" t="str">
        <f t="shared" si="15"/>
        <v>[0.002186817],</v>
      </c>
      <c r="O120" t="str">
        <f t="shared" si="16"/>
        <v>[0.001611677],</v>
      </c>
      <c r="P120" t="str">
        <f t="shared" si="17"/>
        <v>[0.002218313],</v>
      </c>
      <c r="Q120" t="str">
        <f t="shared" si="18"/>
        <v>[0.002198649]</v>
      </c>
      <c r="R120" t="str">
        <f t="shared" si="19"/>
        <v>]</v>
      </c>
      <c r="S120" t="str">
        <f t="shared" si="20"/>
        <v>[[0.001617599],[0.003235198],[0.003324097],[0.002186817],[0.001611677],[0.002218313],[0.002198649]]</v>
      </c>
    </row>
    <row r="121" spans="1:19" x14ac:dyDescent="0.2">
      <c r="A121" s="1" t="d">
        <v>2025-12-13</v>
      </c>
      <c r="B121">
        <v>2.963411E-3</v>
      </c>
      <c r="C121">
        <v>2.963411E-3</v>
      </c>
      <c r="D121">
        <v>2.6280079999999998E-3</v>
      </c>
      <c r="E121">
        <v>1.703797E-3</v>
      </c>
      <c r="F121">
        <v>1.162806E-3</v>
      </c>
      <c r="G121">
        <v>1.7843080000000001E-3</v>
      </c>
      <c r="H121">
        <v>1.627975E-3</v>
      </c>
      <c r="J121" t="str">
        <f t="shared" si="11"/>
        <v>[</v>
      </c>
      <c r="K121" t="str">
        <f t="shared" si="12"/>
        <v>[0.0014817055],</v>
      </c>
      <c r="L121" t="str">
        <f t="shared" si="13"/>
        <v>[0.002963411],</v>
      </c>
      <c r="M121" t="str">
        <f t="shared" si="14"/>
        <v>[0.002628008],</v>
      </c>
      <c r="N121" t="str">
        <f t="shared" si="15"/>
        <v>[0.001703797],</v>
      </c>
      <c r="O121" t="str">
        <f t="shared" si="16"/>
        <v>[0.001162806],</v>
      </c>
      <c r="P121" t="str">
        <f t="shared" si="17"/>
        <v>[0.001784308],</v>
      </c>
      <c r="Q121" t="str">
        <f t="shared" si="18"/>
        <v>[0.001627975]</v>
      </c>
      <c r="R121" t="str">
        <f t="shared" si="19"/>
        <v>]</v>
      </c>
      <c r="S121" t="str">
        <f t="shared" si="20"/>
        <v>[[0.0014817055],[0.002963411],[0.002628008],[0.001703797],[0.001162806],[0.001784308],[0.001627975]]</v>
      </c>
    </row>
    <row r="122" spans="1:19" x14ac:dyDescent="0.2">
      <c r="A122" s="1" t="d">
        <v>2025-12-14</v>
      </c>
      <c r="B122">
        <v>2.963411E-3</v>
      </c>
      <c r="C122">
        <v>2.963411E-3</v>
      </c>
      <c r="D122">
        <v>2.6280079999999998E-3</v>
      </c>
      <c r="E122">
        <v>1.703797E-3</v>
      </c>
      <c r="F122">
        <v>1.162806E-3</v>
      </c>
      <c r="G122">
        <v>1.7843080000000001E-3</v>
      </c>
      <c r="H122">
        <v>1.627975E-3</v>
      </c>
      <c r="J122" t="str">
        <f t="shared" si="11"/>
        <v>[</v>
      </c>
      <c r="K122" t="str">
        <f t="shared" si="12"/>
        <v>[0.0014817055],</v>
      </c>
      <c r="L122" t="str">
        <f t="shared" si="13"/>
        <v>[0.002963411],</v>
      </c>
      <c r="M122" t="str">
        <f t="shared" si="14"/>
        <v>[0.002628008],</v>
      </c>
      <c r="N122" t="str">
        <f t="shared" si="15"/>
        <v>[0.001703797],</v>
      </c>
      <c r="O122" t="str">
        <f t="shared" si="16"/>
        <v>[0.001162806],</v>
      </c>
      <c r="P122" t="str">
        <f t="shared" si="17"/>
        <v>[0.001784308],</v>
      </c>
      <c r="Q122" t="str">
        <f t="shared" si="18"/>
        <v>[0.001627975]</v>
      </c>
      <c r="R122" t="str">
        <f t="shared" si="19"/>
        <v>]</v>
      </c>
      <c r="S122" t="str">
        <f t="shared" si="20"/>
        <v>[[0.0014817055],[0.002963411],[0.002628008],[0.001703797],[0.001162806],[0.001784308],[0.001627975]]</v>
      </c>
    </row>
    <row r="123" spans="1:19" x14ac:dyDescent="0.2">
      <c r="A123" s="1" t="d">
        <v>2025-12-15</v>
      </c>
      <c r="B123">
        <v>2.963411E-3</v>
      </c>
      <c r="C123">
        <v>2.963411E-3</v>
      </c>
      <c r="D123">
        <v>2.6280079999999998E-3</v>
      </c>
      <c r="E123">
        <v>1.703797E-3</v>
      </c>
      <c r="F123">
        <v>1.162806E-3</v>
      </c>
      <c r="G123">
        <v>1.7843080000000001E-3</v>
      </c>
      <c r="H123">
        <v>1.627975E-3</v>
      </c>
      <c r="J123" t="str">
        <f t="shared" si="11"/>
        <v>[</v>
      </c>
      <c r="K123" t="str">
        <f t="shared" si="12"/>
        <v>[0.0014817055],</v>
      </c>
      <c r="L123" t="str">
        <f t="shared" si="13"/>
        <v>[0.002963411],</v>
      </c>
      <c r="M123" t="str">
        <f t="shared" si="14"/>
        <v>[0.002628008],</v>
      </c>
      <c r="N123" t="str">
        <f t="shared" si="15"/>
        <v>[0.001703797],</v>
      </c>
      <c r="O123" t="str">
        <f t="shared" si="16"/>
        <v>[0.001162806],</v>
      </c>
      <c r="P123" t="str">
        <f t="shared" si="17"/>
        <v>[0.001784308],</v>
      </c>
      <c r="Q123" t="str">
        <f t="shared" si="18"/>
        <v>[0.001627975]</v>
      </c>
      <c r="R123" t="str">
        <f t="shared" si="19"/>
        <v>]</v>
      </c>
      <c r="S123" t="str">
        <f t="shared" si="20"/>
        <v>[[0.0014817055],[0.002963411],[0.002628008],[0.001703797],[0.001162806],[0.001784308],[0.001627975]]</v>
      </c>
    </row>
    <row r="124" spans="1:19" x14ac:dyDescent="0.2">
      <c r="A124" s="1" t="d">
        <v>2025-12-16</v>
      </c>
      <c r="B124">
        <v>2.963411E-3</v>
      </c>
      <c r="C124">
        <v>2.963411E-3</v>
      </c>
      <c r="D124">
        <v>2.6280079999999998E-3</v>
      </c>
      <c r="E124">
        <v>1.703797E-3</v>
      </c>
      <c r="F124">
        <v>1.162806E-3</v>
      </c>
      <c r="G124">
        <v>1.7843080000000001E-3</v>
      </c>
      <c r="H124">
        <v>1.627975E-3</v>
      </c>
      <c r="J124" t="str">
        <f t="shared" si="11"/>
        <v>[</v>
      </c>
      <c r="K124" t="str">
        <f t="shared" si="12"/>
        <v>[0.0014817055],</v>
      </c>
      <c r="L124" t="str">
        <f t="shared" si="13"/>
        <v>[0.002963411],</v>
      </c>
      <c r="M124" t="str">
        <f t="shared" si="14"/>
        <v>[0.002628008],</v>
      </c>
      <c r="N124" t="str">
        <f t="shared" si="15"/>
        <v>[0.001703797],</v>
      </c>
      <c r="O124" t="str">
        <f t="shared" si="16"/>
        <v>[0.001162806],</v>
      </c>
      <c r="P124" t="str">
        <f t="shared" si="17"/>
        <v>[0.001784308],</v>
      </c>
      <c r="Q124" t="str">
        <f t="shared" si="18"/>
        <v>[0.001627975]</v>
      </c>
      <c r="R124" t="str">
        <f t="shared" si="19"/>
        <v>]</v>
      </c>
      <c r="S124" t="str">
        <f t="shared" si="20"/>
        <v>[[0.0014817055],[0.002963411],[0.002628008],[0.001703797],[0.001162806],[0.001784308],[0.001627975]]</v>
      </c>
    </row>
    <row r="125" spans="1:19" x14ac:dyDescent="0.2">
      <c r="A125" s="1" t="d">
        <v>2025-12-17</v>
      </c>
      <c r="B125">
        <v>2.963411E-3</v>
      </c>
      <c r="C125">
        <v>2.963411E-3</v>
      </c>
      <c r="D125">
        <v>2.6280079999999998E-3</v>
      </c>
      <c r="E125">
        <v>1.703797E-3</v>
      </c>
      <c r="F125">
        <v>1.162806E-3</v>
      </c>
      <c r="G125">
        <v>1.7843080000000001E-3</v>
      </c>
      <c r="H125">
        <v>1.627975E-3</v>
      </c>
      <c r="J125" t="str">
        <f t="shared" si="11"/>
        <v>[</v>
      </c>
      <c r="K125" t="str">
        <f t="shared" si="12"/>
        <v>[0.0014817055],</v>
      </c>
      <c r="L125" t="str">
        <f t="shared" si="13"/>
        <v>[0.002963411],</v>
      </c>
      <c r="M125" t="str">
        <f t="shared" si="14"/>
        <v>[0.002628008],</v>
      </c>
      <c r="N125" t="str">
        <f t="shared" si="15"/>
        <v>[0.001703797],</v>
      </c>
      <c r="O125" t="str">
        <f t="shared" si="16"/>
        <v>[0.001162806],</v>
      </c>
      <c r="P125" t="str">
        <f t="shared" si="17"/>
        <v>[0.001784308],</v>
      </c>
      <c r="Q125" t="str">
        <f t="shared" si="18"/>
        <v>[0.001627975]</v>
      </c>
      <c r="R125" t="str">
        <f t="shared" si="19"/>
        <v>]</v>
      </c>
      <c r="S125" t="str">
        <f t="shared" si="20"/>
        <v>[[0.0014817055],[0.002963411],[0.002628008],[0.001703797],[0.001162806],[0.001784308],[0.001627975]]</v>
      </c>
    </row>
    <row r="126" spans="1:19" x14ac:dyDescent="0.2">
      <c r="A126" s="1" t="d">
        <v>2025-12-18</v>
      </c>
      <c r="B126">
        <v>2.963411E-3</v>
      </c>
      <c r="C126">
        <v>2.963411E-3</v>
      </c>
      <c r="D126">
        <v>2.6280079999999998E-3</v>
      </c>
      <c r="E126">
        <v>1.703797E-3</v>
      </c>
      <c r="F126">
        <v>1.162806E-3</v>
      </c>
      <c r="G126">
        <v>1.7843080000000001E-3</v>
      </c>
      <c r="H126">
        <v>1.627975E-3</v>
      </c>
      <c r="J126" t="str">
        <f t="shared" si="11"/>
        <v>[</v>
      </c>
      <c r="K126" t="str">
        <f t="shared" si="12"/>
        <v>[0.0014817055],</v>
      </c>
      <c r="L126" t="str">
        <f t="shared" si="13"/>
        <v>[0.002963411],</v>
      </c>
      <c r="M126" t="str">
        <f t="shared" si="14"/>
        <v>[0.002628008],</v>
      </c>
      <c r="N126" t="str">
        <f t="shared" si="15"/>
        <v>[0.001703797],</v>
      </c>
      <c r="O126" t="str">
        <f t="shared" si="16"/>
        <v>[0.001162806],</v>
      </c>
      <c r="P126" t="str">
        <f t="shared" si="17"/>
        <v>[0.001784308],</v>
      </c>
      <c r="Q126" t="str">
        <f t="shared" si="18"/>
        <v>[0.001627975]</v>
      </c>
      <c r="R126" t="str">
        <f t="shared" si="19"/>
        <v>]</v>
      </c>
      <c r="S126" t="str">
        <f t="shared" si="20"/>
        <v>[[0.0014817055],[0.002963411],[0.002628008],[0.001703797],[0.001162806],[0.001784308],[0.001627975]]</v>
      </c>
    </row>
    <row r="127" spans="1:19" x14ac:dyDescent="0.2">
      <c r="A127" s="1" t="d">
        <v>2025-12-19</v>
      </c>
      <c r="B127">
        <v>2.963411E-3</v>
      </c>
      <c r="C127">
        <v>2.963411E-3</v>
      </c>
      <c r="D127">
        <v>2.6280079999999998E-3</v>
      </c>
      <c r="E127">
        <v>1.703797E-3</v>
      </c>
      <c r="F127">
        <v>1.162806E-3</v>
      </c>
      <c r="G127">
        <v>1.7843080000000001E-3</v>
      </c>
      <c r="H127">
        <v>1.627975E-3</v>
      </c>
      <c r="J127" t="str">
        <f t="shared" si="11"/>
        <v>[</v>
      </c>
      <c r="K127" t="str">
        <f t="shared" si="12"/>
        <v>[0.0014817055],</v>
      </c>
      <c r="L127" t="str">
        <f t="shared" si="13"/>
        <v>[0.002963411],</v>
      </c>
      <c r="M127" t="str">
        <f t="shared" si="14"/>
        <v>[0.002628008],</v>
      </c>
      <c r="N127" t="str">
        <f t="shared" si="15"/>
        <v>[0.001703797],</v>
      </c>
      <c r="O127" t="str">
        <f t="shared" si="16"/>
        <v>[0.001162806],</v>
      </c>
      <c r="P127" t="str">
        <f t="shared" si="17"/>
        <v>[0.001784308],</v>
      </c>
      <c r="Q127" t="str">
        <f t="shared" si="18"/>
        <v>[0.001627975]</v>
      </c>
      <c r="R127" t="str">
        <f t="shared" si="19"/>
        <v>]</v>
      </c>
      <c r="S127" t="str">
        <f t="shared" si="20"/>
        <v>[[0.0014817055],[0.002963411],[0.002628008],[0.001703797],[0.001162806],[0.001784308],[0.001627975]]</v>
      </c>
    </row>
    <row r="128" spans="1:19" x14ac:dyDescent="0.2">
      <c r="A128" s="1" t="d">
        <v>2025-12-20</v>
      </c>
      <c r="B128">
        <v>2.702608E-3</v>
      </c>
      <c r="C128">
        <v>2.702608E-3</v>
      </c>
      <c r="D128">
        <v>2.0646670000000001E-3</v>
      </c>
      <c r="E128">
        <v>1.3247879999999999E-3</v>
      </c>
      <c r="F128">
        <v>8.3612900000000002E-4</v>
      </c>
      <c r="G128">
        <v>1.4491560000000001E-3</v>
      </c>
      <c r="H128">
        <v>1.2200620000000001E-3</v>
      </c>
      <c r="J128" t="str">
        <f t="shared" si="11"/>
        <v>[</v>
      </c>
      <c r="K128" t="str">
        <f t="shared" si="12"/>
        <v>[0.001351304],</v>
      </c>
      <c r="L128" t="str">
        <f t="shared" si="13"/>
        <v>[0.002702608],</v>
      </c>
      <c r="M128" t="str">
        <f t="shared" si="14"/>
        <v>[0.002064667],</v>
      </c>
      <c r="N128" t="str">
        <f t="shared" si="15"/>
        <v>[0.001324788],</v>
      </c>
      <c r="O128" t="str">
        <f t="shared" si="16"/>
        <v>[0.000836129],</v>
      </c>
      <c r="P128" t="str">
        <f t="shared" si="17"/>
        <v>[0.001449156],</v>
      </c>
      <c r="Q128" t="str">
        <f t="shared" si="18"/>
        <v>[0.001220062]</v>
      </c>
      <c r="R128" t="str">
        <f t="shared" si="19"/>
        <v>]</v>
      </c>
      <c r="S128" t="str">
        <f t="shared" si="20"/>
        <v>[[0.001351304],[0.002702608],[0.002064667],[0.001324788],[0.000836129],[0.001449156],[0.001220062]]</v>
      </c>
    </row>
    <row r="129" spans="1:19" x14ac:dyDescent="0.2">
      <c r="A129" s="1" t="d">
        <v>2025-12-21</v>
      </c>
      <c r="B129">
        <v>2.702608E-3</v>
      </c>
      <c r="C129">
        <v>2.702608E-3</v>
      </c>
      <c r="D129">
        <v>2.0646670000000001E-3</v>
      </c>
      <c r="E129">
        <v>1.3247879999999999E-3</v>
      </c>
      <c r="F129">
        <v>8.3612900000000002E-4</v>
      </c>
      <c r="G129">
        <v>1.4491560000000001E-3</v>
      </c>
      <c r="H129">
        <v>1.2200620000000001E-3</v>
      </c>
      <c r="J129" t="str">
        <f t="shared" si="11"/>
        <v>[</v>
      </c>
      <c r="K129" t="str">
        <f t="shared" si="12"/>
        <v>[0.001351304],</v>
      </c>
      <c r="L129" t="str">
        <f t="shared" si="13"/>
        <v>[0.002702608],</v>
      </c>
      <c r="M129" t="str">
        <f t="shared" si="14"/>
        <v>[0.002064667],</v>
      </c>
      <c r="N129" t="str">
        <f t="shared" si="15"/>
        <v>[0.001324788],</v>
      </c>
      <c r="O129" t="str">
        <f t="shared" si="16"/>
        <v>[0.000836129],</v>
      </c>
      <c r="P129" t="str">
        <f t="shared" si="17"/>
        <v>[0.001449156],</v>
      </c>
      <c r="Q129" t="str">
        <f t="shared" si="18"/>
        <v>[0.001220062]</v>
      </c>
      <c r="R129" t="str">
        <f t="shared" si="19"/>
        <v>]</v>
      </c>
      <c r="S129" t="str">
        <f t="shared" si="20"/>
        <v>[[0.001351304],[0.002702608],[0.002064667],[0.001324788],[0.000836129],[0.001449156],[0.001220062]]</v>
      </c>
    </row>
    <row r="130" spans="1:19" x14ac:dyDescent="0.2">
      <c r="A130" s="1" t="d">
        <v>2025-12-22</v>
      </c>
      <c r="B130">
        <v>2.702608E-3</v>
      </c>
      <c r="C130">
        <v>2.702608E-3</v>
      </c>
      <c r="D130">
        <v>2.0646670000000001E-3</v>
      </c>
      <c r="E130">
        <v>1.3247879999999999E-3</v>
      </c>
      <c r="F130">
        <v>8.3612900000000002E-4</v>
      </c>
      <c r="G130">
        <v>1.4491560000000001E-3</v>
      </c>
      <c r="H130">
        <v>1.2200620000000001E-3</v>
      </c>
      <c r="J130" t="str">
        <f t="shared" si="11"/>
        <v>[</v>
      </c>
      <c r="K130" t="str">
        <f t="shared" si="12"/>
        <v>[0.001351304],</v>
      </c>
      <c r="L130" t="str">
        <f t="shared" si="13"/>
        <v>[0.002702608],</v>
      </c>
      <c r="M130" t="str">
        <f t="shared" si="14"/>
        <v>[0.002064667],</v>
      </c>
      <c r="N130" t="str">
        <f t="shared" si="15"/>
        <v>[0.001324788],</v>
      </c>
      <c r="O130" t="str">
        <f t="shared" si="16"/>
        <v>[0.000836129],</v>
      </c>
      <c r="P130" t="str">
        <f t="shared" si="17"/>
        <v>[0.001449156],</v>
      </c>
      <c r="Q130" t="str">
        <f t="shared" si="18"/>
        <v>[0.001220062]</v>
      </c>
      <c r="R130" t="str">
        <f t="shared" si="19"/>
        <v>]</v>
      </c>
      <c r="S130" t="str">
        <f t="shared" si="20"/>
        <v>[[0.001351304],[0.002702608],[0.002064667],[0.001324788],[0.000836129],[0.001449156],[0.001220062]]</v>
      </c>
    </row>
    <row r="131" spans="1:19" x14ac:dyDescent="0.2">
      <c r="A131" s="1" t="d">
        <v>2025-12-23</v>
      </c>
      <c r="B131">
        <v>2.702608E-3</v>
      </c>
      <c r="C131">
        <v>2.702608E-3</v>
      </c>
      <c r="D131">
        <v>2.0646670000000001E-3</v>
      </c>
      <c r="E131">
        <v>1.3247879999999999E-3</v>
      </c>
      <c r="F131">
        <v>8.3612900000000002E-4</v>
      </c>
      <c r="G131">
        <v>1.4491560000000001E-3</v>
      </c>
      <c r="H131">
        <v>1.2200620000000001E-3</v>
      </c>
      <c r="J131" t="str">
        <f t="shared" ref="J131:J194" si="21">"["</f>
        <v>[</v>
      </c>
      <c r="K131" t="str">
        <f t="shared" ref="K131:K194" si="22">"["&amp;B131/2&amp;"],"</f>
        <v>[0.001351304],</v>
      </c>
      <c r="L131" t="str">
        <f t="shared" ref="L131:L194" si="23">"["&amp;C131&amp;"],"</f>
        <v>[0.002702608],</v>
      </c>
      <c r="M131" t="str">
        <f t="shared" ref="M131:M194" si="24">"["&amp;D131&amp;"],"</f>
        <v>[0.002064667],</v>
      </c>
      <c r="N131" t="str">
        <f t="shared" ref="N131:N194" si="25">"["&amp;E131&amp;"],"</f>
        <v>[0.001324788],</v>
      </c>
      <c r="O131" t="str">
        <f t="shared" ref="O131:O194" si="26">"["&amp;F131&amp;"],"</f>
        <v>[0.000836129],</v>
      </c>
      <c r="P131" t="str">
        <f t="shared" ref="P131:P194" si="27">"["&amp;G131&amp;"],"</f>
        <v>[0.001449156],</v>
      </c>
      <c r="Q131" t="str">
        <f t="shared" ref="Q131:Q194" si="28">"["&amp;H131&amp;"]"</f>
        <v>[0.001220062]</v>
      </c>
      <c r="R131" t="str">
        <f t="shared" ref="R131:R194" si="29">"]"</f>
        <v>]</v>
      </c>
      <c r="S131" t="str">
        <f t="shared" ref="S131:S194" si="30">J131&amp;K131&amp;L131&amp;M131&amp;N131&amp;O131&amp;P131&amp;Q131&amp;R131</f>
        <v>[[0.001351304],[0.002702608],[0.002064667],[0.001324788],[0.000836129],[0.001449156],[0.001220062]]</v>
      </c>
    </row>
    <row r="132" spans="1:19" x14ac:dyDescent="0.2">
      <c r="A132" s="1" t="d">
        <v>2025-12-24</v>
      </c>
      <c r="B132">
        <v>2.702608E-3</v>
      </c>
      <c r="C132">
        <v>2.702608E-3</v>
      </c>
      <c r="D132">
        <v>2.0646670000000001E-3</v>
      </c>
      <c r="E132">
        <v>1.3247879999999999E-3</v>
      </c>
      <c r="F132">
        <v>8.3612900000000002E-4</v>
      </c>
      <c r="G132">
        <v>1.4491560000000001E-3</v>
      </c>
      <c r="H132">
        <v>1.2200620000000001E-3</v>
      </c>
      <c r="J132" t="str">
        <f t="shared" si="21"/>
        <v>[</v>
      </c>
      <c r="K132" t="str">
        <f t="shared" si="22"/>
        <v>[0.001351304],</v>
      </c>
      <c r="L132" t="str">
        <f t="shared" si="23"/>
        <v>[0.002702608],</v>
      </c>
      <c r="M132" t="str">
        <f t="shared" si="24"/>
        <v>[0.002064667],</v>
      </c>
      <c r="N132" t="str">
        <f t="shared" si="25"/>
        <v>[0.001324788],</v>
      </c>
      <c r="O132" t="str">
        <f t="shared" si="26"/>
        <v>[0.000836129],</v>
      </c>
      <c r="P132" t="str">
        <f t="shared" si="27"/>
        <v>[0.001449156],</v>
      </c>
      <c r="Q132" t="str">
        <f t="shared" si="28"/>
        <v>[0.001220062]</v>
      </c>
      <c r="R132" t="str">
        <f t="shared" si="29"/>
        <v>]</v>
      </c>
      <c r="S132" t="str">
        <f t="shared" si="30"/>
        <v>[[0.001351304],[0.002702608],[0.002064667],[0.001324788],[0.000836129],[0.001449156],[0.001220062]]</v>
      </c>
    </row>
    <row r="133" spans="1:19" x14ac:dyDescent="0.2">
      <c r="A133" s="1" t="d">
        <v>2025-12-25</v>
      </c>
      <c r="B133">
        <v>2.702608E-3</v>
      </c>
      <c r="C133">
        <v>2.702608E-3</v>
      </c>
      <c r="D133">
        <v>2.0646670000000001E-3</v>
      </c>
      <c r="E133">
        <v>1.3247879999999999E-3</v>
      </c>
      <c r="F133">
        <v>8.3612900000000002E-4</v>
      </c>
      <c r="G133">
        <v>1.4491560000000001E-3</v>
      </c>
      <c r="H133">
        <v>1.2200620000000001E-3</v>
      </c>
      <c r="J133" t="str">
        <f t="shared" si="21"/>
        <v>[</v>
      </c>
      <c r="K133" t="str">
        <f t="shared" si="22"/>
        <v>[0.001351304],</v>
      </c>
      <c r="L133" t="str">
        <f t="shared" si="23"/>
        <v>[0.002702608],</v>
      </c>
      <c r="M133" t="str">
        <f t="shared" si="24"/>
        <v>[0.002064667],</v>
      </c>
      <c r="N133" t="str">
        <f t="shared" si="25"/>
        <v>[0.001324788],</v>
      </c>
      <c r="O133" t="str">
        <f t="shared" si="26"/>
        <v>[0.000836129],</v>
      </c>
      <c r="P133" t="str">
        <f t="shared" si="27"/>
        <v>[0.001449156],</v>
      </c>
      <c r="Q133" t="str">
        <f t="shared" si="28"/>
        <v>[0.001220062]</v>
      </c>
      <c r="R133" t="str">
        <f t="shared" si="29"/>
        <v>]</v>
      </c>
      <c r="S133" t="str">
        <f t="shared" si="30"/>
        <v>[[0.001351304],[0.002702608],[0.002064667],[0.001324788],[0.000836129],[0.001449156],[0.001220062]]</v>
      </c>
    </row>
    <row r="134" spans="1:19" x14ac:dyDescent="0.2">
      <c r="A134" s="1" t="d">
        <v>2025-12-26</v>
      </c>
      <c r="B134">
        <v>2.702608E-3</v>
      </c>
      <c r="C134">
        <v>2.702608E-3</v>
      </c>
      <c r="D134">
        <v>2.0646670000000001E-3</v>
      </c>
      <c r="E134">
        <v>1.3247879999999999E-3</v>
      </c>
      <c r="F134">
        <v>8.3612900000000002E-4</v>
      </c>
      <c r="G134">
        <v>1.4491560000000001E-3</v>
      </c>
      <c r="H134">
        <v>1.2200620000000001E-3</v>
      </c>
      <c r="J134" t="str">
        <f t="shared" si="21"/>
        <v>[</v>
      </c>
      <c r="K134" t="str">
        <f t="shared" si="22"/>
        <v>[0.001351304],</v>
      </c>
      <c r="L134" t="str">
        <f t="shared" si="23"/>
        <v>[0.002702608],</v>
      </c>
      <c r="M134" t="str">
        <f t="shared" si="24"/>
        <v>[0.002064667],</v>
      </c>
      <c r="N134" t="str">
        <f t="shared" si="25"/>
        <v>[0.001324788],</v>
      </c>
      <c r="O134" t="str">
        <f t="shared" si="26"/>
        <v>[0.000836129],</v>
      </c>
      <c r="P134" t="str">
        <f t="shared" si="27"/>
        <v>[0.001449156],</v>
      </c>
      <c r="Q134" t="str">
        <f t="shared" si="28"/>
        <v>[0.001220062]</v>
      </c>
      <c r="R134" t="str">
        <f t="shared" si="29"/>
        <v>]</v>
      </c>
      <c r="S134" t="str">
        <f t="shared" si="30"/>
        <v>[[0.001351304],[0.002702608],[0.002064667],[0.001324788],[0.000836129],[0.001449156],[0.001220062]]</v>
      </c>
    </row>
    <row r="135" spans="1:19" x14ac:dyDescent="0.2">
      <c r="A135" s="1" t="d">
        <v>2025-12-27</v>
      </c>
      <c r="B135">
        <v>2.9073549999999999E-3</v>
      </c>
      <c r="C135">
        <v>2.9073549999999999E-3</v>
      </c>
      <c r="D135">
        <v>2.200703E-3</v>
      </c>
      <c r="E135">
        <v>1.3890389999999999E-3</v>
      </c>
      <c r="F135">
        <v>9.5264299999999998E-4</v>
      </c>
      <c r="G135">
        <v>1.586935E-3</v>
      </c>
      <c r="H135">
        <v>1.391441E-3</v>
      </c>
      <c r="J135" t="str">
        <f t="shared" si="21"/>
        <v>[</v>
      </c>
      <c r="K135" t="str">
        <f t="shared" si="22"/>
        <v>[0.0014536775],</v>
      </c>
      <c r="L135" t="str">
        <f t="shared" si="23"/>
        <v>[0.002907355],</v>
      </c>
      <c r="M135" t="str">
        <f t="shared" si="24"/>
        <v>[0.002200703],</v>
      </c>
      <c r="N135" t="str">
        <f t="shared" si="25"/>
        <v>[0.001389039],</v>
      </c>
      <c r="O135" t="str">
        <f t="shared" si="26"/>
        <v>[0.000952643],</v>
      </c>
      <c r="P135" t="str">
        <f t="shared" si="27"/>
        <v>[0.001586935],</v>
      </c>
      <c r="Q135" t="str">
        <f t="shared" si="28"/>
        <v>[0.001391441]</v>
      </c>
      <c r="R135" t="str">
        <f t="shared" si="29"/>
        <v>]</v>
      </c>
      <c r="S135" t="str">
        <f t="shared" si="30"/>
        <v>[[0.0014536775],[0.002907355],[0.002200703],[0.001389039],[0.000952643],[0.001586935],[0.001391441]]</v>
      </c>
    </row>
    <row r="136" spans="1:19" x14ac:dyDescent="0.2">
      <c r="A136" s="1" t="d">
        <v>2025-12-28</v>
      </c>
      <c r="B136">
        <v>2.9073549999999999E-3</v>
      </c>
      <c r="C136">
        <v>2.9073549999999999E-3</v>
      </c>
      <c r="D136">
        <v>2.200703E-3</v>
      </c>
      <c r="E136">
        <v>1.3890389999999999E-3</v>
      </c>
      <c r="F136">
        <v>9.5264299999999998E-4</v>
      </c>
      <c r="G136">
        <v>1.586935E-3</v>
      </c>
      <c r="H136">
        <v>1.391441E-3</v>
      </c>
      <c r="J136" t="str">
        <f t="shared" si="21"/>
        <v>[</v>
      </c>
      <c r="K136" t="str">
        <f t="shared" si="22"/>
        <v>[0.0014536775],</v>
      </c>
      <c r="L136" t="str">
        <f t="shared" si="23"/>
        <v>[0.002907355],</v>
      </c>
      <c r="M136" t="str">
        <f t="shared" si="24"/>
        <v>[0.002200703],</v>
      </c>
      <c r="N136" t="str">
        <f t="shared" si="25"/>
        <v>[0.001389039],</v>
      </c>
      <c r="O136" t="str">
        <f t="shared" si="26"/>
        <v>[0.000952643],</v>
      </c>
      <c r="P136" t="str">
        <f t="shared" si="27"/>
        <v>[0.001586935],</v>
      </c>
      <c r="Q136" t="str">
        <f t="shared" si="28"/>
        <v>[0.001391441]</v>
      </c>
      <c r="R136" t="str">
        <f t="shared" si="29"/>
        <v>]</v>
      </c>
      <c r="S136" t="str">
        <f t="shared" si="30"/>
        <v>[[0.0014536775],[0.002907355],[0.002200703],[0.001389039],[0.000952643],[0.001586935],[0.001391441]]</v>
      </c>
    </row>
    <row r="137" spans="1:19" x14ac:dyDescent="0.2">
      <c r="A137" s="1" t="d">
        <v>2025-12-29</v>
      </c>
      <c r="B137">
        <v>2.9073549999999999E-3</v>
      </c>
      <c r="C137">
        <v>2.9073549999999999E-3</v>
      </c>
      <c r="D137">
        <v>2.200703E-3</v>
      </c>
      <c r="E137">
        <v>1.3890389999999999E-3</v>
      </c>
      <c r="F137">
        <v>9.5264299999999998E-4</v>
      </c>
      <c r="G137">
        <v>1.586935E-3</v>
      </c>
      <c r="H137">
        <v>1.391441E-3</v>
      </c>
      <c r="J137" t="str">
        <f t="shared" si="21"/>
        <v>[</v>
      </c>
      <c r="K137" t="str">
        <f t="shared" si="22"/>
        <v>[0.0014536775],</v>
      </c>
      <c r="L137" t="str">
        <f t="shared" si="23"/>
        <v>[0.002907355],</v>
      </c>
      <c r="M137" t="str">
        <f t="shared" si="24"/>
        <v>[0.002200703],</v>
      </c>
      <c r="N137" t="str">
        <f t="shared" si="25"/>
        <v>[0.001389039],</v>
      </c>
      <c r="O137" t="str">
        <f t="shared" si="26"/>
        <v>[0.000952643],</v>
      </c>
      <c r="P137" t="str">
        <f t="shared" si="27"/>
        <v>[0.001586935],</v>
      </c>
      <c r="Q137" t="str">
        <f t="shared" si="28"/>
        <v>[0.001391441]</v>
      </c>
      <c r="R137" t="str">
        <f t="shared" si="29"/>
        <v>]</v>
      </c>
      <c r="S137" t="str">
        <f t="shared" si="30"/>
        <v>[[0.0014536775],[0.002907355],[0.002200703],[0.001389039],[0.000952643],[0.001586935],[0.001391441]]</v>
      </c>
    </row>
    <row r="138" spans="1:19" x14ac:dyDescent="0.2">
      <c r="A138" s="1" t="d">
        <v>2025-12-30</v>
      </c>
      <c r="B138">
        <v>2.9073549999999999E-3</v>
      </c>
      <c r="C138">
        <v>2.9073549999999999E-3</v>
      </c>
      <c r="D138">
        <v>2.200703E-3</v>
      </c>
      <c r="E138">
        <v>1.3890389999999999E-3</v>
      </c>
      <c r="F138">
        <v>9.5264299999999998E-4</v>
      </c>
      <c r="G138">
        <v>1.586935E-3</v>
      </c>
      <c r="H138">
        <v>1.391441E-3</v>
      </c>
      <c r="J138" t="str">
        <f t="shared" si="21"/>
        <v>[</v>
      </c>
      <c r="K138" t="str">
        <f t="shared" si="22"/>
        <v>[0.0014536775],</v>
      </c>
      <c r="L138" t="str">
        <f t="shared" si="23"/>
        <v>[0.002907355],</v>
      </c>
      <c r="M138" t="str">
        <f t="shared" si="24"/>
        <v>[0.002200703],</v>
      </c>
      <c r="N138" t="str">
        <f t="shared" si="25"/>
        <v>[0.001389039],</v>
      </c>
      <c r="O138" t="str">
        <f t="shared" si="26"/>
        <v>[0.000952643],</v>
      </c>
      <c r="P138" t="str">
        <f t="shared" si="27"/>
        <v>[0.001586935],</v>
      </c>
      <c r="Q138" t="str">
        <f t="shared" si="28"/>
        <v>[0.001391441]</v>
      </c>
      <c r="R138" t="str">
        <f t="shared" si="29"/>
        <v>]</v>
      </c>
      <c r="S138" t="str">
        <f t="shared" si="30"/>
        <v>[[0.0014536775],[0.002907355],[0.002200703],[0.001389039],[0.000952643],[0.001586935],[0.001391441]]</v>
      </c>
    </row>
    <row r="139" spans="1:19" x14ac:dyDescent="0.2">
      <c r="A139" s="1" t="d">
        <v>2025-12-31</v>
      </c>
      <c r="B139">
        <v>2.9073549999999999E-3</v>
      </c>
      <c r="C139">
        <v>2.9073549999999999E-3</v>
      </c>
      <c r="D139">
        <v>2.200703E-3</v>
      </c>
      <c r="E139">
        <v>1.3890389999999999E-3</v>
      </c>
      <c r="F139">
        <v>9.5264299999999998E-4</v>
      </c>
      <c r="G139">
        <v>1.586935E-3</v>
      </c>
      <c r="H139">
        <v>1.391441E-3</v>
      </c>
      <c r="J139" t="str">
        <f t="shared" si="21"/>
        <v>[</v>
      </c>
      <c r="K139" t="str">
        <f t="shared" si="22"/>
        <v>[0.0014536775],</v>
      </c>
      <c r="L139" t="str">
        <f t="shared" si="23"/>
        <v>[0.002907355],</v>
      </c>
      <c r="M139" t="str">
        <f t="shared" si="24"/>
        <v>[0.002200703],</v>
      </c>
      <c r="N139" t="str">
        <f t="shared" si="25"/>
        <v>[0.001389039],</v>
      </c>
      <c r="O139" t="str">
        <f t="shared" si="26"/>
        <v>[0.000952643],</v>
      </c>
      <c r="P139" t="str">
        <f t="shared" si="27"/>
        <v>[0.001586935],</v>
      </c>
      <c r="Q139" t="str">
        <f t="shared" si="28"/>
        <v>[0.001391441]</v>
      </c>
      <c r="R139" t="str">
        <f t="shared" si="29"/>
        <v>]</v>
      </c>
      <c r="S139" t="str">
        <f t="shared" si="30"/>
        <v>[[0.0014536775],[0.002907355],[0.002200703],[0.001389039],[0.000952643],[0.001586935],[0.001391441]]</v>
      </c>
    </row>
    <row r="140" spans="1:19" x14ac:dyDescent="0.2">
      <c r="A140" s="1" t="d">
        <v>2026-01-01</v>
      </c>
      <c r="B140">
        <v>2.9073549999999999E-3</v>
      </c>
      <c r="C140">
        <v>2.9073549999999999E-3</v>
      </c>
      <c r="D140">
        <v>2.200703E-3</v>
      </c>
      <c r="E140">
        <v>1.3890389999999999E-3</v>
      </c>
      <c r="F140">
        <v>9.5264299999999998E-4</v>
      </c>
      <c r="G140">
        <v>1.586935E-3</v>
      </c>
      <c r="H140">
        <v>1.391441E-3</v>
      </c>
      <c r="J140" t="str">
        <f t="shared" si="21"/>
        <v>[</v>
      </c>
      <c r="K140" t="str">
        <f t="shared" si="22"/>
        <v>[0.0014536775],</v>
      </c>
      <c r="L140" t="str">
        <f t="shared" si="23"/>
        <v>[0.002907355],</v>
      </c>
      <c r="M140" t="str">
        <f t="shared" si="24"/>
        <v>[0.002200703],</v>
      </c>
      <c r="N140" t="str">
        <f t="shared" si="25"/>
        <v>[0.001389039],</v>
      </c>
      <c r="O140" t="str">
        <f t="shared" si="26"/>
        <v>[0.000952643],</v>
      </c>
      <c r="P140" t="str">
        <f t="shared" si="27"/>
        <v>[0.001586935],</v>
      </c>
      <c r="Q140" t="str">
        <f t="shared" si="28"/>
        <v>[0.001391441]</v>
      </c>
      <c r="R140" t="str">
        <f t="shared" si="29"/>
        <v>]</v>
      </c>
      <c r="S140" t="str">
        <f t="shared" si="30"/>
        <v>[[0.0014536775],[0.002907355],[0.002200703],[0.001389039],[0.000952643],[0.001586935],[0.001391441]]</v>
      </c>
    </row>
    <row r="141" spans="1:19" x14ac:dyDescent="0.2">
      <c r="A141" s="1" t="d">
        <v>2026-01-02</v>
      </c>
      <c r="B141">
        <v>2.9073549999999999E-3</v>
      </c>
      <c r="C141">
        <v>2.9073549999999999E-3</v>
      </c>
      <c r="D141">
        <v>2.200703E-3</v>
      </c>
      <c r="E141">
        <v>1.3890389999999999E-3</v>
      </c>
      <c r="F141">
        <v>9.5264299999999998E-4</v>
      </c>
      <c r="G141">
        <v>1.586935E-3</v>
      </c>
      <c r="H141">
        <v>1.391441E-3</v>
      </c>
      <c r="J141" t="str">
        <f t="shared" si="21"/>
        <v>[</v>
      </c>
      <c r="K141" t="str">
        <f t="shared" si="22"/>
        <v>[0.0014536775],</v>
      </c>
      <c r="L141" t="str">
        <f t="shared" si="23"/>
        <v>[0.002907355],</v>
      </c>
      <c r="M141" t="str">
        <f t="shared" si="24"/>
        <v>[0.002200703],</v>
      </c>
      <c r="N141" t="str">
        <f t="shared" si="25"/>
        <v>[0.001389039],</v>
      </c>
      <c r="O141" t="str">
        <f t="shared" si="26"/>
        <v>[0.000952643],</v>
      </c>
      <c r="P141" t="str">
        <f t="shared" si="27"/>
        <v>[0.001586935],</v>
      </c>
      <c r="Q141" t="str">
        <f t="shared" si="28"/>
        <v>[0.001391441]</v>
      </c>
      <c r="R141" t="str">
        <f t="shared" si="29"/>
        <v>]</v>
      </c>
      <c r="S141" t="str">
        <f t="shared" si="30"/>
        <v>[[0.0014536775],[0.002907355],[0.002200703],[0.001389039],[0.000952643],[0.001586935],[0.001391441]]</v>
      </c>
    </row>
    <row r="142" spans="1:19" x14ac:dyDescent="0.2">
      <c r="A142" s="1" t="d">
        <v>2026-01-03</v>
      </c>
      <c r="B142">
        <v>4.4882409999999996E-3</v>
      </c>
      <c r="C142">
        <v>4.4882409999999996E-3</v>
      </c>
      <c r="D142">
        <v>3.3217709999999998E-3</v>
      </c>
      <c r="E142">
        <v>2.0700190000000002E-3</v>
      </c>
      <c r="F142">
        <v>1.487356E-3</v>
      </c>
      <c r="G142">
        <v>2.4396280000000001E-3</v>
      </c>
      <c r="H142">
        <v>2.1812580000000002E-3</v>
      </c>
      <c r="J142" t="str">
        <f t="shared" si="21"/>
        <v>[</v>
      </c>
      <c r="K142" t="str">
        <f t="shared" si="22"/>
        <v>[0.0022441205],</v>
      </c>
      <c r="L142" t="str">
        <f t="shared" si="23"/>
        <v>[0.004488241],</v>
      </c>
      <c r="M142" t="str">
        <f t="shared" si="24"/>
        <v>[0.003321771],</v>
      </c>
      <c r="N142" t="str">
        <f t="shared" si="25"/>
        <v>[0.002070019],</v>
      </c>
      <c r="O142" t="str">
        <f t="shared" si="26"/>
        <v>[0.001487356],</v>
      </c>
      <c r="P142" t="str">
        <f t="shared" si="27"/>
        <v>[0.002439628],</v>
      </c>
      <c r="Q142" t="str">
        <f t="shared" si="28"/>
        <v>[0.002181258]</v>
      </c>
      <c r="R142" t="str">
        <f t="shared" si="29"/>
        <v>]</v>
      </c>
      <c r="S142" t="str">
        <f t="shared" si="30"/>
        <v>[[0.0022441205],[0.004488241],[0.003321771],[0.002070019],[0.001487356],[0.002439628],[0.002181258]]</v>
      </c>
    </row>
    <row r="143" spans="1:19" x14ac:dyDescent="0.2">
      <c r="A143" s="1" t="d">
        <v>2026-01-04</v>
      </c>
      <c r="B143">
        <v>4.4882409999999996E-3</v>
      </c>
      <c r="C143">
        <v>4.4882409999999996E-3</v>
      </c>
      <c r="D143">
        <v>3.3217709999999998E-3</v>
      </c>
      <c r="E143">
        <v>2.0700190000000002E-3</v>
      </c>
      <c r="F143">
        <v>1.487356E-3</v>
      </c>
      <c r="G143">
        <v>2.4396280000000001E-3</v>
      </c>
      <c r="H143">
        <v>2.1812580000000002E-3</v>
      </c>
      <c r="J143" t="str">
        <f t="shared" si="21"/>
        <v>[</v>
      </c>
      <c r="K143" t="str">
        <f t="shared" si="22"/>
        <v>[0.0022441205],</v>
      </c>
      <c r="L143" t="str">
        <f t="shared" si="23"/>
        <v>[0.004488241],</v>
      </c>
      <c r="M143" t="str">
        <f t="shared" si="24"/>
        <v>[0.003321771],</v>
      </c>
      <c r="N143" t="str">
        <f t="shared" si="25"/>
        <v>[0.002070019],</v>
      </c>
      <c r="O143" t="str">
        <f t="shared" si="26"/>
        <v>[0.001487356],</v>
      </c>
      <c r="P143" t="str">
        <f t="shared" si="27"/>
        <v>[0.002439628],</v>
      </c>
      <c r="Q143" t="str">
        <f t="shared" si="28"/>
        <v>[0.002181258]</v>
      </c>
      <c r="R143" t="str">
        <f t="shared" si="29"/>
        <v>]</v>
      </c>
      <c r="S143" t="str">
        <f t="shared" si="30"/>
        <v>[[0.0022441205],[0.004488241],[0.003321771],[0.002070019],[0.001487356],[0.002439628],[0.002181258]]</v>
      </c>
    </row>
    <row r="144" spans="1:19" x14ac:dyDescent="0.2">
      <c r="A144" s="1" t="d">
        <v>2026-01-05</v>
      </c>
      <c r="B144">
        <v>4.4882409999999996E-3</v>
      </c>
      <c r="C144">
        <v>4.4882409999999996E-3</v>
      </c>
      <c r="D144">
        <v>3.3217709999999998E-3</v>
      </c>
      <c r="E144">
        <v>2.0700190000000002E-3</v>
      </c>
      <c r="F144">
        <v>1.487356E-3</v>
      </c>
      <c r="G144">
        <v>2.4396280000000001E-3</v>
      </c>
      <c r="H144">
        <v>2.1812580000000002E-3</v>
      </c>
      <c r="J144" t="str">
        <f t="shared" si="21"/>
        <v>[</v>
      </c>
      <c r="K144" t="str">
        <f t="shared" si="22"/>
        <v>[0.0022441205],</v>
      </c>
      <c r="L144" t="str">
        <f t="shared" si="23"/>
        <v>[0.004488241],</v>
      </c>
      <c r="M144" t="str">
        <f t="shared" si="24"/>
        <v>[0.003321771],</v>
      </c>
      <c r="N144" t="str">
        <f t="shared" si="25"/>
        <v>[0.002070019],</v>
      </c>
      <c r="O144" t="str">
        <f t="shared" si="26"/>
        <v>[0.001487356],</v>
      </c>
      <c r="P144" t="str">
        <f t="shared" si="27"/>
        <v>[0.002439628],</v>
      </c>
      <c r="Q144" t="str">
        <f t="shared" si="28"/>
        <v>[0.002181258]</v>
      </c>
      <c r="R144" t="str">
        <f t="shared" si="29"/>
        <v>]</v>
      </c>
      <c r="S144" t="str">
        <f t="shared" si="30"/>
        <v>[[0.0022441205],[0.004488241],[0.003321771],[0.002070019],[0.001487356],[0.002439628],[0.002181258]]</v>
      </c>
    </row>
    <row r="145" spans="1:19" x14ac:dyDescent="0.2">
      <c r="A145" s="1" t="d">
        <v>2026-01-06</v>
      </c>
      <c r="B145">
        <v>4.4882409999999996E-3</v>
      </c>
      <c r="C145">
        <v>4.4882409999999996E-3</v>
      </c>
      <c r="D145">
        <v>3.3217709999999998E-3</v>
      </c>
      <c r="E145">
        <v>2.0700190000000002E-3</v>
      </c>
      <c r="F145">
        <v>1.487356E-3</v>
      </c>
      <c r="G145">
        <v>2.4396280000000001E-3</v>
      </c>
      <c r="H145">
        <v>2.1812580000000002E-3</v>
      </c>
      <c r="J145" t="str">
        <f t="shared" si="21"/>
        <v>[</v>
      </c>
      <c r="K145" t="str">
        <f t="shared" si="22"/>
        <v>[0.0022441205],</v>
      </c>
      <c r="L145" t="str">
        <f t="shared" si="23"/>
        <v>[0.004488241],</v>
      </c>
      <c r="M145" t="str">
        <f t="shared" si="24"/>
        <v>[0.003321771],</v>
      </c>
      <c r="N145" t="str">
        <f t="shared" si="25"/>
        <v>[0.002070019],</v>
      </c>
      <c r="O145" t="str">
        <f t="shared" si="26"/>
        <v>[0.001487356],</v>
      </c>
      <c r="P145" t="str">
        <f t="shared" si="27"/>
        <v>[0.002439628],</v>
      </c>
      <c r="Q145" t="str">
        <f t="shared" si="28"/>
        <v>[0.002181258]</v>
      </c>
      <c r="R145" t="str">
        <f t="shared" si="29"/>
        <v>]</v>
      </c>
      <c r="S145" t="str">
        <f t="shared" si="30"/>
        <v>[[0.0022441205],[0.004488241],[0.003321771],[0.002070019],[0.001487356],[0.002439628],[0.002181258]]</v>
      </c>
    </row>
    <row r="146" spans="1:19" x14ac:dyDescent="0.2">
      <c r="A146" s="1" t="d">
        <v>2026-01-07</v>
      </c>
      <c r="B146">
        <v>4.4882409999999996E-3</v>
      </c>
      <c r="C146">
        <v>4.4882409999999996E-3</v>
      </c>
      <c r="D146">
        <v>3.3217709999999998E-3</v>
      </c>
      <c r="E146">
        <v>2.0700190000000002E-3</v>
      </c>
      <c r="F146">
        <v>1.487356E-3</v>
      </c>
      <c r="G146">
        <v>2.4396280000000001E-3</v>
      </c>
      <c r="H146">
        <v>2.1812580000000002E-3</v>
      </c>
      <c r="J146" t="str">
        <f t="shared" si="21"/>
        <v>[</v>
      </c>
      <c r="K146" t="str">
        <f t="shared" si="22"/>
        <v>[0.0022441205],</v>
      </c>
      <c r="L146" t="str">
        <f t="shared" si="23"/>
        <v>[0.004488241],</v>
      </c>
      <c r="M146" t="str">
        <f t="shared" si="24"/>
        <v>[0.003321771],</v>
      </c>
      <c r="N146" t="str">
        <f t="shared" si="25"/>
        <v>[0.002070019],</v>
      </c>
      <c r="O146" t="str">
        <f t="shared" si="26"/>
        <v>[0.001487356],</v>
      </c>
      <c r="P146" t="str">
        <f t="shared" si="27"/>
        <v>[0.002439628],</v>
      </c>
      <c r="Q146" t="str">
        <f t="shared" si="28"/>
        <v>[0.002181258]</v>
      </c>
      <c r="R146" t="str">
        <f t="shared" si="29"/>
        <v>]</v>
      </c>
      <c r="S146" t="str">
        <f t="shared" si="30"/>
        <v>[[0.0022441205],[0.004488241],[0.003321771],[0.002070019],[0.001487356],[0.002439628],[0.002181258]]</v>
      </c>
    </row>
    <row r="147" spans="1:19" x14ac:dyDescent="0.2">
      <c r="A147" s="1" t="d">
        <v>2026-01-08</v>
      </c>
      <c r="B147">
        <v>4.4882409999999996E-3</v>
      </c>
      <c r="C147">
        <v>4.4882409999999996E-3</v>
      </c>
      <c r="D147">
        <v>3.3217709999999998E-3</v>
      </c>
      <c r="E147">
        <v>2.0700190000000002E-3</v>
      </c>
      <c r="F147">
        <v>1.487356E-3</v>
      </c>
      <c r="G147">
        <v>2.4396280000000001E-3</v>
      </c>
      <c r="H147">
        <v>2.1812580000000002E-3</v>
      </c>
      <c r="J147" t="str">
        <f t="shared" si="21"/>
        <v>[</v>
      </c>
      <c r="K147" t="str">
        <f t="shared" si="22"/>
        <v>[0.0022441205],</v>
      </c>
      <c r="L147" t="str">
        <f t="shared" si="23"/>
        <v>[0.004488241],</v>
      </c>
      <c r="M147" t="str">
        <f t="shared" si="24"/>
        <v>[0.003321771],</v>
      </c>
      <c r="N147" t="str">
        <f t="shared" si="25"/>
        <v>[0.002070019],</v>
      </c>
      <c r="O147" t="str">
        <f t="shared" si="26"/>
        <v>[0.001487356],</v>
      </c>
      <c r="P147" t="str">
        <f t="shared" si="27"/>
        <v>[0.002439628],</v>
      </c>
      <c r="Q147" t="str">
        <f t="shared" si="28"/>
        <v>[0.002181258]</v>
      </c>
      <c r="R147" t="str">
        <f t="shared" si="29"/>
        <v>]</v>
      </c>
      <c r="S147" t="str">
        <f t="shared" si="30"/>
        <v>[[0.0022441205],[0.004488241],[0.003321771],[0.002070019],[0.001487356],[0.002439628],[0.002181258]]</v>
      </c>
    </row>
    <row r="148" spans="1:19" x14ac:dyDescent="0.2">
      <c r="A148" s="1" t="d">
        <v>2026-01-09</v>
      </c>
      <c r="B148">
        <v>4.4882409999999996E-3</v>
      </c>
      <c r="C148">
        <v>4.4882409999999996E-3</v>
      </c>
      <c r="D148">
        <v>3.3217709999999998E-3</v>
      </c>
      <c r="E148">
        <v>2.0700190000000002E-3</v>
      </c>
      <c r="F148">
        <v>1.487356E-3</v>
      </c>
      <c r="G148">
        <v>2.4396280000000001E-3</v>
      </c>
      <c r="H148">
        <v>2.1812580000000002E-3</v>
      </c>
      <c r="J148" t="str">
        <f t="shared" si="21"/>
        <v>[</v>
      </c>
      <c r="K148" t="str">
        <f t="shared" si="22"/>
        <v>[0.0022441205],</v>
      </c>
      <c r="L148" t="str">
        <f t="shared" si="23"/>
        <v>[0.004488241],</v>
      </c>
      <c r="M148" t="str">
        <f t="shared" si="24"/>
        <v>[0.003321771],</v>
      </c>
      <c r="N148" t="str">
        <f t="shared" si="25"/>
        <v>[0.002070019],</v>
      </c>
      <c r="O148" t="str">
        <f t="shared" si="26"/>
        <v>[0.001487356],</v>
      </c>
      <c r="P148" t="str">
        <f t="shared" si="27"/>
        <v>[0.002439628],</v>
      </c>
      <c r="Q148" t="str">
        <f t="shared" si="28"/>
        <v>[0.002181258]</v>
      </c>
      <c r="R148" t="str">
        <f t="shared" si="29"/>
        <v>]</v>
      </c>
      <c r="S148" t="str">
        <f t="shared" si="30"/>
        <v>[[0.0022441205],[0.004488241],[0.003321771],[0.002070019],[0.001487356],[0.002439628],[0.002181258]]</v>
      </c>
    </row>
    <row r="149" spans="1:19" x14ac:dyDescent="0.2">
      <c r="A149" s="1" t="d">
        <v>2026-01-10</v>
      </c>
      <c r="B149">
        <v>1.53425E-3</v>
      </c>
      <c r="C149">
        <v>1.53425E-3</v>
      </c>
      <c r="D149">
        <v>1.2509089999999999E-3</v>
      </c>
      <c r="E149">
        <v>7.4978000000000002E-4</v>
      </c>
      <c r="F149">
        <v>7.3016400000000005E-4</v>
      </c>
      <c r="G149">
        <v>9.6819300000000001E-4</v>
      </c>
      <c r="H149">
        <v>1.0583630000000001E-3</v>
      </c>
      <c r="J149" t="str">
        <f t="shared" si="21"/>
        <v>[</v>
      </c>
      <c r="K149" t="str">
        <f t="shared" si="22"/>
        <v>[0.000767125],</v>
      </c>
      <c r="L149" t="str">
        <f t="shared" si="23"/>
        <v>[0.00153425],</v>
      </c>
      <c r="M149" t="str">
        <f t="shared" si="24"/>
        <v>[0.001250909],</v>
      </c>
      <c r="N149" t="str">
        <f t="shared" si="25"/>
        <v>[0.00074978],</v>
      </c>
      <c r="O149" t="str">
        <f t="shared" si="26"/>
        <v>[0.000730164],</v>
      </c>
      <c r="P149" t="str">
        <f t="shared" si="27"/>
        <v>[0.000968193],</v>
      </c>
      <c r="Q149" t="str">
        <f t="shared" si="28"/>
        <v>[0.001058363]</v>
      </c>
      <c r="R149" t="str">
        <f t="shared" si="29"/>
        <v>]</v>
      </c>
      <c r="S149" t="str">
        <f t="shared" si="30"/>
        <v>[[0.000767125],[0.00153425],[0.001250909],[0.00074978],[0.000730164],[0.000968193],[0.001058363]]</v>
      </c>
    </row>
    <row r="150" spans="1:19" x14ac:dyDescent="0.2">
      <c r="A150" s="1" t="d">
        <v>2026-01-11</v>
      </c>
      <c r="B150">
        <v>1.53425E-3</v>
      </c>
      <c r="C150">
        <v>1.53425E-3</v>
      </c>
      <c r="D150">
        <v>1.2509089999999999E-3</v>
      </c>
      <c r="E150">
        <v>7.4978000000000002E-4</v>
      </c>
      <c r="F150">
        <v>7.3016400000000005E-4</v>
      </c>
      <c r="G150">
        <v>9.6819300000000001E-4</v>
      </c>
      <c r="H150">
        <v>1.0583630000000001E-3</v>
      </c>
      <c r="J150" t="str">
        <f t="shared" si="21"/>
        <v>[</v>
      </c>
      <c r="K150" t="str">
        <f t="shared" si="22"/>
        <v>[0.000767125],</v>
      </c>
      <c r="L150" t="str">
        <f t="shared" si="23"/>
        <v>[0.00153425],</v>
      </c>
      <c r="M150" t="str">
        <f t="shared" si="24"/>
        <v>[0.001250909],</v>
      </c>
      <c r="N150" t="str">
        <f t="shared" si="25"/>
        <v>[0.00074978],</v>
      </c>
      <c r="O150" t="str">
        <f t="shared" si="26"/>
        <v>[0.000730164],</v>
      </c>
      <c r="P150" t="str">
        <f t="shared" si="27"/>
        <v>[0.000968193],</v>
      </c>
      <c r="Q150" t="str">
        <f t="shared" si="28"/>
        <v>[0.001058363]</v>
      </c>
      <c r="R150" t="str">
        <f t="shared" si="29"/>
        <v>]</v>
      </c>
      <c r="S150" t="str">
        <f t="shared" si="30"/>
        <v>[[0.000767125],[0.00153425],[0.001250909],[0.00074978],[0.000730164],[0.000968193],[0.001058363]]</v>
      </c>
    </row>
    <row r="151" spans="1:19" x14ac:dyDescent="0.2">
      <c r="A151" s="1" t="d">
        <v>2026-01-12</v>
      </c>
      <c r="B151">
        <v>1.53425E-3</v>
      </c>
      <c r="C151">
        <v>1.53425E-3</v>
      </c>
      <c r="D151">
        <v>1.2509089999999999E-3</v>
      </c>
      <c r="E151">
        <v>7.4978000000000002E-4</v>
      </c>
      <c r="F151">
        <v>7.3016400000000005E-4</v>
      </c>
      <c r="G151">
        <v>9.6819300000000001E-4</v>
      </c>
      <c r="H151">
        <v>1.0583630000000001E-3</v>
      </c>
      <c r="J151" t="str">
        <f t="shared" si="21"/>
        <v>[</v>
      </c>
      <c r="K151" t="str">
        <f t="shared" si="22"/>
        <v>[0.000767125],</v>
      </c>
      <c r="L151" t="str">
        <f t="shared" si="23"/>
        <v>[0.00153425],</v>
      </c>
      <c r="M151" t="str">
        <f t="shared" si="24"/>
        <v>[0.001250909],</v>
      </c>
      <c r="N151" t="str">
        <f t="shared" si="25"/>
        <v>[0.00074978],</v>
      </c>
      <c r="O151" t="str">
        <f t="shared" si="26"/>
        <v>[0.000730164],</v>
      </c>
      <c r="P151" t="str">
        <f t="shared" si="27"/>
        <v>[0.000968193],</v>
      </c>
      <c r="Q151" t="str">
        <f t="shared" si="28"/>
        <v>[0.001058363]</v>
      </c>
      <c r="R151" t="str">
        <f t="shared" si="29"/>
        <v>]</v>
      </c>
      <c r="S151" t="str">
        <f t="shared" si="30"/>
        <v>[[0.000767125],[0.00153425],[0.001250909],[0.00074978],[0.000730164],[0.000968193],[0.001058363]]</v>
      </c>
    </row>
    <row r="152" spans="1:19" x14ac:dyDescent="0.2">
      <c r="A152" s="1" t="d">
        <v>2026-01-13</v>
      </c>
      <c r="B152">
        <v>1.53425E-3</v>
      </c>
      <c r="C152">
        <v>1.53425E-3</v>
      </c>
      <c r="D152">
        <v>1.2509089999999999E-3</v>
      </c>
      <c r="E152">
        <v>7.4978000000000002E-4</v>
      </c>
      <c r="F152">
        <v>7.3016400000000005E-4</v>
      </c>
      <c r="G152">
        <v>9.6819300000000001E-4</v>
      </c>
      <c r="H152">
        <v>1.0583630000000001E-3</v>
      </c>
      <c r="J152" t="str">
        <f t="shared" si="21"/>
        <v>[</v>
      </c>
      <c r="K152" t="str">
        <f t="shared" si="22"/>
        <v>[0.000767125],</v>
      </c>
      <c r="L152" t="str">
        <f t="shared" si="23"/>
        <v>[0.00153425],</v>
      </c>
      <c r="M152" t="str">
        <f t="shared" si="24"/>
        <v>[0.001250909],</v>
      </c>
      <c r="N152" t="str">
        <f t="shared" si="25"/>
        <v>[0.00074978],</v>
      </c>
      <c r="O152" t="str">
        <f t="shared" si="26"/>
        <v>[0.000730164],</v>
      </c>
      <c r="P152" t="str">
        <f t="shared" si="27"/>
        <v>[0.000968193],</v>
      </c>
      <c r="Q152" t="str">
        <f t="shared" si="28"/>
        <v>[0.001058363]</v>
      </c>
      <c r="R152" t="str">
        <f t="shared" si="29"/>
        <v>]</v>
      </c>
      <c r="S152" t="str">
        <f t="shared" si="30"/>
        <v>[[0.000767125],[0.00153425],[0.001250909],[0.00074978],[0.000730164],[0.000968193],[0.001058363]]</v>
      </c>
    </row>
    <row r="153" spans="1:19" x14ac:dyDescent="0.2">
      <c r="A153" s="1" t="d">
        <v>2026-01-14</v>
      </c>
      <c r="B153">
        <v>1.53425E-3</v>
      </c>
      <c r="C153">
        <v>1.53425E-3</v>
      </c>
      <c r="D153">
        <v>1.2509089999999999E-3</v>
      </c>
      <c r="E153">
        <v>7.4978000000000002E-4</v>
      </c>
      <c r="F153">
        <v>7.3016400000000005E-4</v>
      </c>
      <c r="G153">
        <v>9.6819300000000001E-4</v>
      </c>
      <c r="H153">
        <v>1.0583630000000001E-3</v>
      </c>
      <c r="J153" t="str">
        <f t="shared" si="21"/>
        <v>[</v>
      </c>
      <c r="K153" t="str">
        <f t="shared" si="22"/>
        <v>[0.000767125],</v>
      </c>
      <c r="L153" t="str">
        <f t="shared" si="23"/>
        <v>[0.00153425],</v>
      </c>
      <c r="M153" t="str">
        <f t="shared" si="24"/>
        <v>[0.001250909],</v>
      </c>
      <c r="N153" t="str">
        <f t="shared" si="25"/>
        <v>[0.00074978],</v>
      </c>
      <c r="O153" t="str">
        <f t="shared" si="26"/>
        <v>[0.000730164],</v>
      </c>
      <c r="P153" t="str">
        <f t="shared" si="27"/>
        <v>[0.000968193],</v>
      </c>
      <c r="Q153" t="str">
        <f t="shared" si="28"/>
        <v>[0.001058363]</v>
      </c>
      <c r="R153" t="str">
        <f t="shared" si="29"/>
        <v>]</v>
      </c>
      <c r="S153" t="str">
        <f t="shared" si="30"/>
        <v>[[0.000767125],[0.00153425],[0.001250909],[0.00074978],[0.000730164],[0.000968193],[0.001058363]]</v>
      </c>
    </row>
    <row r="154" spans="1:19" x14ac:dyDescent="0.2">
      <c r="A154" s="1" t="d">
        <v>2026-01-15</v>
      </c>
      <c r="B154">
        <v>1.53425E-3</v>
      </c>
      <c r="C154">
        <v>1.53425E-3</v>
      </c>
      <c r="D154">
        <v>1.2509089999999999E-3</v>
      </c>
      <c r="E154">
        <v>7.4978000000000002E-4</v>
      </c>
      <c r="F154">
        <v>7.3016400000000005E-4</v>
      </c>
      <c r="G154">
        <v>9.6819300000000001E-4</v>
      </c>
      <c r="H154">
        <v>1.0583630000000001E-3</v>
      </c>
      <c r="J154" t="str">
        <f t="shared" si="21"/>
        <v>[</v>
      </c>
      <c r="K154" t="str">
        <f t="shared" si="22"/>
        <v>[0.000767125],</v>
      </c>
      <c r="L154" t="str">
        <f t="shared" si="23"/>
        <v>[0.00153425],</v>
      </c>
      <c r="M154" t="str">
        <f t="shared" si="24"/>
        <v>[0.001250909],</v>
      </c>
      <c r="N154" t="str">
        <f t="shared" si="25"/>
        <v>[0.00074978],</v>
      </c>
      <c r="O154" t="str">
        <f t="shared" si="26"/>
        <v>[0.000730164],</v>
      </c>
      <c r="P154" t="str">
        <f t="shared" si="27"/>
        <v>[0.000968193],</v>
      </c>
      <c r="Q154" t="str">
        <f t="shared" si="28"/>
        <v>[0.001058363]</v>
      </c>
      <c r="R154" t="str">
        <f t="shared" si="29"/>
        <v>]</v>
      </c>
      <c r="S154" t="str">
        <f t="shared" si="30"/>
        <v>[[0.000767125],[0.00153425],[0.001250909],[0.00074978],[0.000730164],[0.000968193],[0.001058363]]</v>
      </c>
    </row>
    <row r="155" spans="1:19" x14ac:dyDescent="0.2">
      <c r="A155" s="1" t="d">
        <v>2026-01-16</v>
      </c>
      <c r="B155">
        <v>1.53425E-3</v>
      </c>
      <c r="C155">
        <v>1.53425E-3</v>
      </c>
      <c r="D155">
        <v>1.2509089999999999E-3</v>
      </c>
      <c r="E155">
        <v>7.4978000000000002E-4</v>
      </c>
      <c r="F155">
        <v>7.3016400000000005E-4</v>
      </c>
      <c r="G155">
        <v>9.6819300000000001E-4</v>
      </c>
      <c r="H155">
        <v>1.0583630000000001E-3</v>
      </c>
      <c r="J155" t="str">
        <f t="shared" si="21"/>
        <v>[</v>
      </c>
      <c r="K155" t="str">
        <f t="shared" si="22"/>
        <v>[0.000767125],</v>
      </c>
      <c r="L155" t="str">
        <f t="shared" si="23"/>
        <v>[0.00153425],</v>
      </c>
      <c r="M155" t="str">
        <f t="shared" si="24"/>
        <v>[0.001250909],</v>
      </c>
      <c r="N155" t="str">
        <f t="shared" si="25"/>
        <v>[0.00074978],</v>
      </c>
      <c r="O155" t="str">
        <f t="shared" si="26"/>
        <v>[0.000730164],</v>
      </c>
      <c r="P155" t="str">
        <f t="shared" si="27"/>
        <v>[0.000968193],</v>
      </c>
      <c r="Q155" t="str">
        <f t="shared" si="28"/>
        <v>[0.001058363]</v>
      </c>
      <c r="R155" t="str">
        <f t="shared" si="29"/>
        <v>]</v>
      </c>
      <c r="S155" t="str">
        <f t="shared" si="30"/>
        <v>[[0.000767125],[0.00153425],[0.001250909],[0.00074978],[0.000730164],[0.000968193],[0.001058363]]</v>
      </c>
    </row>
    <row r="156" spans="1:19" x14ac:dyDescent="0.2">
      <c r="A156" s="1" t="d">
        <v>2026-01-17</v>
      </c>
      <c r="B156">
        <v>1.182404E-3</v>
      </c>
      <c r="C156">
        <v>1.182404E-3</v>
      </c>
      <c r="D156">
        <v>1.0864710000000001E-3</v>
      </c>
      <c r="E156">
        <v>6.3223399999999996E-4</v>
      </c>
      <c r="F156">
        <v>7.8155800000000001E-4</v>
      </c>
      <c r="G156">
        <v>8.8039599999999998E-4</v>
      </c>
      <c r="H156">
        <v>1.1139629999999999E-3</v>
      </c>
      <c r="J156" t="str">
        <f t="shared" si="21"/>
        <v>[</v>
      </c>
      <c r="K156" t="str">
        <f t="shared" si="22"/>
        <v>[0.000591202],</v>
      </c>
      <c r="L156" t="str">
        <f t="shared" si="23"/>
        <v>[0.001182404],</v>
      </c>
      <c r="M156" t="str">
        <f t="shared" si="24"/>
        <v>[0.001086471],</v>
      </c>
      <c r="N156" t="str">
        <f t="shared" si="25"/>
        <v>[0.000632234],</v>
      </c>
      <c r="O156" t="str">
        <f t="shared" si="26"/>
        <v>[0.000781558],</v>
      </c>
      <c r="P156" t="str">
        <f t="shared" si="27"/>
        <v>[0.000880396],</v>
      </c>
      <c r="Q156" t="str">
        <f t="shared" si="28"/>
        <v>[0.001113963]</v>
      </c>
      <c r="R156" t="str">
        <f t="shared" si="29"/>
        <v>]</v>
      </c>
      <c r="S156" t="str">
        <f t="shared" si="30"/>
        <v>[[0.000591202],[0.001182404],[0.001086471],[0.000632234],[0.000781558],[0.000880396],[0.001113963]]</v>
      </c>
    </row>
    <row r="157" spans="1:19" x14ac:dyDescent="0.2">
      <c r="A157" s="1" t="d">
        <v>2026-01-18</v>
      </c>
      <c r="B157">
        <v>1.182404E-3</v>
      </c>
      <c r="C157">
        <v>1.182404E-3</v>
      </c>
      <c r="D157">
        <v>1.0864710000000001E-3</v>
      </c>
      <c r="E157">
        <v>6.3223399999999996E-4</v>
      </c>
      <c r="F157">
        <v>7.8155800000000001E-4</v>
      </c>
      <c r="G157">
        <v>8.8039599999999998E-4</v>
      </c>
      <c r="H157">
        <v>1.1139629999999999E-3</v>
      </c>
      <c r="J157" t="str">
        <f t="shared" si="21"/>
        <v>[</v>
      </c>
      <c r="K157" t="str">
        <f t="shared" si="22"/>
        <v>[0.000591202],</v>
      </c>
      <c r="L157" t="str">
        <f t="shared" si="23"/>
        <v>[0.001182404],</v>
      </c>
      <c r="M157" t="str">
        <f t="shared" si="24"/>
        <v>[0.001086471],</v>
      </c>
      <c r="N157" t="str">
        <f t="shared" si="25"/>
        <v>[0.000632234],</v>
      </c>
      <c r="O157" t="str">
        <f t="shared" si="26"/>
        <v>[0.000781558],</v>
      </c>
      <c r="P157" t="str">
        <f t="shared" si="27"/>
        <v>[0.000880396],</v>
      </c>
      <c r="Q157" t="str">
        <f t="shared" si="28"/>
        <v>[0.001113963]</v>
      </c>
      <c r="R157" t="str">
        <f t="shared" si="29"/>
        <v>]</v>
      </c>
      <c r="S157" t="str">
        <f t="shared" si="30"/>
        <v>[[0.000591202],[0.001182404],[0.001086471],[0.000632234],[0.000781558],[0.000880396],[0.001113963]]</v>
      </c>
    </row>
    <row r="158" spans="1:19" x14ac:dyDescent="0.2">
      <c r="A158" s="1" t="d">
        <v>2026-01-19</v>
      </c>
      <c r="B158">
        <v>1.182404E-3</v>
      </c>
      <c r="C158">
        <v>1.182404E-3</v>
      </c>
      <c r="D158">
        <v>1.0864710000000001E-3</v>
      </c>
      <c r="E158">
        <v>6.3223399999999996E-4</v>
      </c>
      <c r="F158">
        <v>7.8155800000000001E-4</v>
      </c>
      <c r="G158">
        <v>8.8039599999999998E-4</v>
      </c>
      <c r="H158">
        <v>1.1139629999999999E-3</v>
      </c>
      <c r="J158" t="str">
        <f t="shared" si="21"/>
        <v>[</v>
      </c>
      <c r="K158" t="str">
        <f t="shared" si="22"/>
        <v>[0.000591202],</v>
      </c>
      <c r="L158" t="str">
        <f t="shared" si="23"/>
        <v>[0.001182404],</v>
      </c>
      <c r="M158" t="str">
        <f t="shared" si="24"/>
        <v>[0.001086471],</v>
      </c>
      <c r="N158" t="str">
        <f t="shared" si="25"/>
        <v>[0.000632234],</v>
      </c>
      <c r="O158" t="str">
        <f t="shared" si="26"/>
        <v>[0.000781558],</v>
      </c>
      <c r="P158" t="str">
        <f t="shared" si="27"/>
        <v>[0.000880396],</v>
      </c>
      <c r="Q158" t="str">
        <f t="shared" si="28"/>
        <v>[0.001113963]</v>
      </c>
      <c r="R158" t="str">
        <f t="shared" si="29"/>
        <v>]</v>
      </c>
      <c r="S158" t="str">
        <f t="shared" si="30"/>
        <v>[[0.000591202],[0.001182404],[0.001086471],[0.000632234],[0.000781558],[0.000880396],[0.001113963]]</v>
      </c>
    </row>
    <row r="159" spans="1:19" x14ac:dyDescent="0.2">
      <c r="A159" s="1" t="d">
        <v>2026-01-20</v>
      </c>
      <c r="B159">
        <v>1.182404E-3</v>
      </c>
      <c r="C159">
        <v>1.182404E-3</v>
      </c>
      <c r="D159">
        <v>1.0864710000000001E-3</v>
      </c>
      <c r="E159">
        <v>6.3223399999999996E-4</v>
      </c>
      <c r="F159">
        <v>7.8155800000000001E-4</v>
      </c>
      <c r="G159">
        <v>8.8039599999999998E-4</v>
      </c>
      <c r="H159">
        <v>1.1139629999999999E-3</v>
      </c>
      <c r="J159" t="str">
        <f t="shared" si="21"/>
        <v>[</v>
      </c>
      <c r="K159" t="str">
        <f t="shared" si="22"/>
        <v>[0.000591202],</v>
      </c>
      <c r="L159" t="str">
        <f t="shared" si="23"/>
        <v>[0.001182404],</v>
      </c>
      <c r="M159" t="str">
        <f t="shared" si="24"/>
        <v>[0.001086471],</v>
      </c>
      <c r="N159" t="str">
        <f t="shared" si="25"/>
        <v>[0.000632234],</v>
      </c>
      <c r="O159" t="str">
        <f t="shared" si="26"/>
        <v>[0.000781558],</v>
      </c>
      <c r="P159" t="str">
        <f t="shared" si="27"/>
        <v>[0.000880396],</v>
      </c>
      <c r="Q159" t="str">
        <f t="shared" si="28"/>
        <v>[0.001113963]</v>
      </c>
      <c r="R159" t="str">
        <f t="shared" si="29"/>
        <v>]</v>
      </c>
      <c r="S159" t="str">
        <f t="shared" si="30"/>
        <v>[[0.000591202],[0.001182404],[0.001086471],[0.000632234],[0.000781558],[0.000880396],[0.001113963]]</v>
      </c>
    </row>
    <row r="160" spans="1:19" x14ac:dyDescent="0.2">
      <c r="A160" s="1" t="d">
        <v>2026-01-21</v>
      </c>
      <c r="B160">
        <v>1.182404E-3</v>
      </c>
      <c r="C160">
        <v>1.182404E-3</v>
      </c>
      <c r="D160">
        <v>1.0864710000000001E-3</v>
      </c>
      <c r="E160">
        <v>6.3223399999999996E-4</v>
      </c>
      <c r="F160">
        <v>7.8155800000000001E-4</v>
      </c>
      <c r="G160">
        <v>8.8039599999999998E-4</v>
      </c>
      <c r="H160">
        <v>1.1139629999999999E-3</v>
      </c>
      <c r="J160" t="str">
        <f t="shared" si="21"/>
        <v>[</v>
      </c>
      <c r="K160" t="str">
        <f t="shared" si="22"/>
        <v>[0.000591202],</v>
      </c>
      <c r="L160" t="str">
        <f t="shared" si="23"/>
        <v>[0.001182404],</v>
      </c>
      <c r="M160" t="str">
        <f t="shared" si="24"/>
        <v>[0.001086471],</v>
      </c>
      <c r="N160" t="str">
        <f t="shared" si="25"/>
        <v>[0.000632234],</v>
      </c>
      <c r="O160" t="str">
        <f t="shared" si="26"/>
        <v>[0.000781558],</v>
      </c>
      <c r="P160" t="str">
        <f t="shared" si="27"/>
        <v>[0.000880396],</v>
      </c>
      <c r="Q160" t="str">
        <f t="shared" si="28"/>
        <v>[0.001113963]</v>
      </c>
      <c r="R160" t="str">
        <f t="shared" si="29"/>
        <v>]</v>
      </c>
      <c r="S160" t="str">
        <f t="shared" si="30"/>
        <v>[[0.000591202],[0.001182404],[0.001086471],[0.000632234],[0.000781558],[0.000880396],[0.001113963]]</v>
      </c>
    </row>
    <row r="161" spans="1:19" x14ac:dyDescent="0.2">
      <c r="A161" s="1" t="d">
        <v>2026-01-22</v>
      </c>
      <c r="B161">
        <v>1.182404E-3</v>
      </c>
      <c r="C161">
        <v>1.182404E-3</v>
      </c>
      <c r="D161">
        <v>1.0864710000000001E-3</v>
      </c>
      <c r="E161">
        <v>6.3223399999999996E-4</v>
      </c>
      <c r="F161">
        <v>7.8155800000000001E-4</v>
      </c>
      <c r="G161">
        <v>8.8039599999999998E-4</v>
      </c>
      <c r="H161">
        <v>1.1139629999999999E-3</v>
      </c>
      <c r="J161" t="str">
        <f t="shared" si="21"/>
        <v>[</v>
      </c>
      <c r="K161" t="str">
        <f t="shared" si="22"/>
        <v>[0.000591202],</v>
      </c>
      <c r="L161" t="str">
        <f t="shared" si="23"/>
        <v>[0.001182404],</v>
      </c>
      <c r="M161" t="str">
        <f t="shared" si="24"/>
        <v>[0.001086471],</v>
      </c>
      <c r="N161" t="str">
        <f t="shared" si="25"/>
        <v>[0.000632234],</v>
      </c>
      <c r="O161" t="str">
        <f t="shared" si="26"/>
        <v>[0.000781558],</v>
      </c>
      <c r="P161" t="str">
        <f t="shared" si="27"/>
        <v>[0.000880396],</v>
      </c>
      <c r="Q161" t="str">
        <f t="shared" si="28"/>
        <v>[0.001113963]</v>
      </c>
      <c r="R161" t="str">
        <f t="shared" si="29"/>
        <v>]</v>
      </c>
      <c r="S161" t="str">
        <f t="shared" si="30"/>
        <v>[[0.000591202],[0.001182404],[0.001086471],[0.000632234],[0.000781558],[0.000880396],[0.001113963]]</v>
      </c>
    </row>
    <row r="162" spans="1:19" x14ac:dyDescent="0.2">
      <c r="A162" s="1" t="d">
        <v>2026-01-23</v>
      </c>
      <c r="B162">
        <v>1.182404E-3</v>
      </c>
      <c r="C162">
        <v>1.182404E-3</v>
      </c>
      <c r="D162">
        <v>1.0864710000000001E-3</v>
      </c>
      <c r="E162">
        <v>6.3223399999999996E-4</v>
      </c>
      <c r="F162">
        <v>7.8155800000000001E-4</v>
      </c>
      <c r="G162">
        <v>8.8039599999999998E-4</v>
      </c>
      <c r="H162">
        <v>1.1139629999999999E-3</v>
      </c>
      <c r="J162" t="str">
        <f t="shared" si="21"/>
        <v>[</v>
      </c>
      <c r="K162" t="str">
        <f t="shared" si="22"/>
        <v>[0.000591202],</v>
      </c>
      <c r="L162" t="str">
        <f t="shared" si="23"/>
        <v>[0.001182404],</v>
      </c>
      <c r="M162" t="str">
        <f t="shared" si="24"/>
        <v>[0.001086471],</v>
      </c>
      <c r="N162" t="str">
        <f t="shared" si="25"/>
        <v>[0.000632234],</v>
      </c>
      <c r="O162" t="str">
        <f t="shared" si="26"/>
        <v>[0.000781558],</v>
      </c>
      <c r="P162" t="str">
        <f t="shared" si="27"/>
        <v>[0.000880396],</v>
      </c>
      <c r="Q162" t="str">
        <f t="shared" si="28"/>
        <v>[0.001113963]</v>
      </c>
      <c r="R162" t="str">
        <f t="shared" si="29"/>
        <v>]</v>
      </c>
      <c r="S162" t="str">
        <f t="shared" si="30"/>
        <v>[[0.000591202],[0.001182404],[0.001086471],[0.000632234],[0.000781558],[0.000880396],[0.001113963]]</v>
      </c>
    </row>
    <row r="163" spans="1:19" x14ac:dyDescent="0.2">
      <c r="A163" s="1" t="d">
        <v>2026-01-24</v>
      </c>
      <c r="B163">
        <v>8.3138500000000002E-4</v>
      </c>
      <c r="C163">
        <v>8.3138500000000002E-4</v>
      </c>
      <c r="D163">
        <v>8.2488899999999998E-4</v>
      </c>
      <c r="E163">
        <v>4.67429E-4</v>
      </c>
      <c r="F163">
        <v>6.9619400000000002E-4</v>
      </c>
      <c r="G163">
        <v>7.1013300000000005E-4</v>
      </c>
      <c r="H163">
        <v>9.5392199999999995E-4</v>
      </c>
      <c r="J163" t="str">
        <f t="shared" si="21"/>
        <v>[</v>
      </c>
      <c r="K163" t="str">
        <f t="shared" si="22"/>
        <v>[0.0004156925],</v>
      </c>
      <c r="L163" t="str">
        <f t="shared" si="23"/>
        <v>[0.000831385],</v>
      </c>
      <c r="M163" t="str">
        <f t="shared" si="24"/>
        <v>[0.000824889],</v>
      </c>
      <c r="N163" t="str">
        <f t="shared" si="25"/>
        <v>[0.000467429],</v>
      </c>
      <c r="O163" t="str">
        <f t="shared" si="26"/>
        <v>[0.000696194],</v>
      </c>
      <c r="P163" t="str">
        <f t="shared" si="27"/>
        <v>[0.000710133],</v>
      </c>
      <c r="Q163" t="str">
        <f t="shared" si="28"/>
        <v>[0.000953922]</v>
      </c>
      <c r="R163" t="str">
        <f t="shared" si="29"/>
        <v>]</v>
      </c>
      <c r="S163" t="str">
        <f t="shared" si="30"/>
        <v>[[0.0004156925],[0.000831385],[0.000824889],[0.000467429],[0.000696194],[0.000710133],[0.000953922]]</v>
      </c>
    </row>
    <row r="164" spans="1:19" x14ac:dyDescent="0.2">
      <c r="A164" s="1" t="d">
        <v>2026-01-25</v>
      </c>
      <c r="B164">
        <v>8.3138500000000002E-4</v>
      </c>
      <c r="C164">
        <v>8.3138500000000002E-4</v>
      </c>
      <c r="D164">
        <v>8.2488899999999998E-4</v>
      </c>
      <c r="E164">
        <v>4.67429E-4</v>
      </c>
      <c r="F164">
        <v>6.9619400000000002E-4</v>
      </c>
      <c r="G164">
        <v>7.1013300000000005E-4</v>
      </c>
      <c r="H164">
        <v>9.5392199999999995E-4</v>
      </c>
      <c r="J164" t="str">
        <f t="shared" si="21"/>
        <v>[</v>
      </c>
      <c r="K164" t="str">
        <f t="shared" si="22"/>
        <v>[0.0004156925],</v>
      </c>
      <c r="L164" t="str">
        <f t="shared" si="23"/>
        <v>[0.000831385],</v>
      </c>
      <c r="M164" t="str">
        <f t="shared" si="24"/>
        <v>[0.000824889],</v>
      </c>
      <c r="N164" t="str">
        <f t="shared" si="25"/>
        <v>[0.000467429],</v>
      </c>
      <c r="O164" t="str">
        <f t="shared" si="26"/>
        <v>[0.000696194],</v>
      </c>
      <c r="P164" t="str">
        <f t="shared" si="27"/>
        <v>[0.000710133],</v>
      </c>
      <c r="Q164" t="str">
        <f t="shared" si="28"/>
        <v>[0.000953922]</v>
      </c>
      <c r="R164" t="str">
        <f t="shared" si="29"/>
        <v>]</v>
      </c>
      <c r="S164" t="str">
        <f t="shared" si="30"/>
        <v>[[0.0004156925],[0.000831385],[0.000824889],[0.000467429],[0.000696194],[0.000710133],[0.000953922]]</v>
      </c>
    </row>
    <row r="165" spans="1:19" x14ac:dyDescent="0.2">
      <c r="A165" s="1" t="d">
        <v>2026-01-26</v>
      </c>
      <c r="B165">
        <v>8.3138500000000002E-4</v>
      </c>
      <c r="C165">
        <v>8.3138500000000002E-4</v>
      </c>
      <c r="D165">
        <v>8.2488899999999998E-4</v>
      </c>
      <c r="E165">
        <v>4.67429E-4</v>
      </c>
      <c r="F165">
        <v>6.9619400000000002E-4</v>
      </c>
      <c r="G165">
        <v>7.1013300000000005E-4</v>
      </c>
      <c r="H165">
        <v>9.5392199999999995E-4</v>
      </c>
      <c r="J165" t="str">
        <f t="shared" si="21"/>
        <v>[</v>
      </c>
      <c r="K165" t="str">
        <f t="shared" si="22"/>
        <v>[0.0004156925],</v>
      </c>
      <c r="L165" t="str">
        <f t="shared" si="23"/>
        <v>[0.000831385],</v>
      </c>
      <c r="M165" t="str">
        <f t="shared" si="24"/>
        <v>[0.000824889],</v>
      </c>
      <c r="N165" t="str">
        <f t="shared" si="25"/>
        <v>[0.000467429],</v>
      </c>
      <c r="O165" t="str">
        <f t="shared" si="26"/>
        <v>[0.000696194],</v>
      </c>
      <c r="P165" t="str">
        <f t="shared" si="27"/>
        <v>[0.000710133],</v>
      </c>
      <c r="Q165" t="str">
        <f t="shared" si="28"/>
        <v>[0.000953922]</v>
      </c>
      <c r="R165" t="str">
        <f t="shared" si="29"/>
        <v>]</v>
      </c>
      <c r="S165" t="str">
        <f t="shared" si="30"/>
        <v>[[0.0004156925],[0.000831385],[0.000824889],[0.000467429],[0.000696194],[0.000710133],[0.000953922]]</v>
      </c>
    </row>
    <row r="166" spans="1:19" x14ac:dyDescent="0.2">
      <c r="A166" s="1" t="d">
        <v>2026-01-27</v>
      </c>
      <c r="B166">
        <v>8.3138500000000002E-4</v>
      </c>
      <c r="C166">
        <v>8.3138500000000002E-4</v>
      </c>
      <c r="D166">
        <v>8.2488899999999998E-4</v>
      </c>
      <c r="E166">
        <v>4.67429E-4</v>
      </c>
      <c r="F166">
        <v>6.9619400000000002E-4</v>
      </c>
      <c r="G166">
        <v>7.1013300000000005E-4</v>
      </c>
      <c r="H166">
        <v>9.5392199999999995E-4</v>
      </c>
      <c r="J166" t="str">
        <f t="shared" si="21"/>
        <v>[</v>
      </c>
      <c r="K166" t="str">
        <f t="shared" si="22"/>
        <v>[0.0004156925],</v>
      </c>
      <c r="L166" t="str">
        <f t="shared" si="23"/>
        <v>[0.000831385],</v>
      </c>
      <c r="M166" t="str">
        <f t="shared" si="24"/>
        <v>[0.000824889],</v>
      </c>
      <c r="N166" t="str">
        <f t="shared" si="25"/>
        <v>[0.000467429],</v>
      </c>
      <c r="O166" t="str">
        <f t="shared" si="26"/>
        <v>[0.000696194],</v>
      </c>
      <c r="P166" t="str">
        <f t="shared" si="27"/>
        <v>[0.000710133],</v>
      </c>
      <c r="Q166" t="str">
        <f t="shared" si="28"/>
        <v>[0.000953922]</v>
      </c>
      <c r="R166" t="str">
        <f t="shared" si="29"/>
        <v>]</v>
      </c>
      <c r="S166" t="str">
        <f t="shared" si="30"/>
        <v>[[0.0004156925],[0.000831385],[0.000824889],[0.000467429],[0.000696194],[0.000710133],[0.000953922]]</v>
      </c>
    </row>
    <row r="167" spans="1:19" x14ac:dyDescent="0.2">
      <c r="A167" s="1" t="d">
        <v>2026-01-28</v>
      </c>
      <c r="B167">
        <v>8.3138500000000002E-4</v>
      </c>
      <c r="C167">
        <v>8.3138500000000002E-4</v>
      </c>
      <c r="D167">
        <v>8.2488899999999998E-4</v>
      </c>
      <c r="E167">
        <v>4.67429E-4</v>
      </c>
      <c r="F167">
        <v>6.9619400000000002E-4</v>
      </c>
      <c r="G167">
        <v>7.1013300000000005E-4</v>
      </c>
      <c r="H167">
        <v>9.5392199999999995E-4</v>
      </c>
      <c r="J167" t="str">
        <f t="shared" si="21"/>
        <v>[</v>
      </c>
      <c r="K167" t="str">
        <f t="shared" si="22"/>
        <v>[0.0004156925],</v>
      </c>
      <c r="L167" t="str">
        <f t="shared" si="23"/>
        <v>[0.000831385],</v>
      </c>
      <c r="M167" t="str">
        <f t="shared" si="24"/>
        <v>[0.000824889],</v>
      </c>
      <c r="N167" t="str">
        <f t="shared" si="25"/>
        <v>[0.000467429],</v>
      </c>
      <c r="O167" t="str">
        <f t="shared" si="26"/>
        <v>[0.000696194],</v>
      </c>
      <c r="P167" t="str">
        <f t="shared" si="27"/>
        <v>[0.000710133],</v>
      </c>
      <c r="Q167" t="str">
        <f t="shared" si="28"/>
        <v>[0.000953922]</v>
      </c>
      <c r="R167" t="str">
        <f t="shared" si="29"/>
        <v>]</v>
      </c>
      <c r="S167" t="str">
        <f t="shared" si="30"/>
        <v>[[0.0004156925],[0.000831385],[0.000824889],[0.000467429],[0.000696194],[0.000710133],[0.000953922]]</v>
      </c>
    </row>
    <row r="168" spans="1:19" x14ac:dyDescent="0.2">
      <c r="A168" s="1" t="d">
        <v>2026-01-29</v>
      </c>
      <c r="B168">
        <v>8.3138500000000002E-4</v>
      </c>
      <c r="C168">
        <v>8.3138500000000002E-4</v>
      </c>
      <c r="D168">
        <v>8.2488899999999998E-4</v>
      </c>
      <c r="E168">
        <v>4.67429E-4</v>
      </c>
      <c r="F168">
        <v>6.9619400000000002E-4</v>
      </c>
      <c r="G168">
        <v>7.1013300000000005E-4</v>
      </c>
      <c r="H168">
        <v>9.5392199999999995E-4</v>
      </c>
      <c r="J168" t="str">
        <f t="shared" si="21"/>
        <v>[</v>
      </c>
      <c r="K168" t="str">
        <f t="shared" si="22"/>
        <v>[0.0004156925],</v>
      </c>
      <c r="L168" t="str">
        <f t="shared" si="23"/>
        <v>[0.000831385],</v>
      </c>
      <c r="M168" t="str">
        <f t="shared" si="24"/>
        <v>[0.000824889],</v>
      </c>
      <c r="N168" t="str">
        <f t="shared" si="25"/>
        <v>[0.000467429],</v>
      </c>
      <c r="O168" t="str">
        <f t="shared" si="26"/>
        <v>[0.000696194],</v>
      </c>
      <c r="P168" t="str">
        <f t="shared" si="27"/>
        <v>[0.000710133],</v>
      </c>
      <c r="Q168" t="str">
        <f t="shared" si="28"/>
        <v>[0.000953922]</v>
      </c>
      <c r="R168" t="str">
        <f t="shared" si="29"/>
        <v>]</v>
      </c>
      <c r="S168" t="str">
        <f t="shared" si="30"/>
        <v>[[0.0004156925],[0.000831385],[0.000824889],[0.000467429],[0.000696194],[0.000710133],[0.000953922]]</v>
      </c>
    </row>
    <row r="169" spans="1:19" x14ac:dyDescent="0.2">
      <c r="A169" s="1" t="d">
        <v>2026-01-30</v>
      </c>
      <c r="B169">
        <v>8.3138500000000002E-4</v>
      </c>
      <c r="C169">
        <v>8.3138500000000002E-4</v>
      </c>
      <c r="D169">
        <v>8.2488899999999998E-4</v>
      </c>
      <c r="E169">
        <v>4.67429E-4</v>
      </c>
      <c r="F169">
        <v>6.9619400000000002E-4</v>
      </c>
      <c r="G169">
        <v>7.1013300000000005E-4</v>
      </c>
      <c r="H169">
        <v>9.5392199999999995E-4</v>
      </c>
      <c r="J169" t="str">
        <f t="shared" si="21"/>
        <v>[</v>
      </c>
      <c r="K169" t="str">
        <f t="shared" si="22"/>
        <v>[0.0004156925],</v>
      </c>
      <c r="L169" t="str">
        <f t="shared" si="23"/>
        <v>[0.000831385],</v>
      </c>
      <c r="M169" t="str">
        <f t="shared" si="24"/>
        <v>[0.000824889],</v>
      </c>
      <c r="N169" t="str">
        <f t="shared" si="25"/>
        <v>[0.000467429],</v>
      </c>
      <c r="O169" t="str">
        <f t="shared" si="26"/>
        <v>[0.000696194],</v>
      </c>
      <c r="P169" t="str">
        <f t="shared" si="27"/>
        <v>[0.000710133],</v>
      </c>
      <c r="Q169" t="str">
        <f t="shared" si="28"/>
        <v>[0.000953922]</v>
      </c>
      <c r="R169" t="str">
        <f t="shared" si="29"/>
        <v>]</v>
      </c>
      <c r="S169" t="str">
        <f t="shared" si="30"/>
        <v>[[0.0004156925],[0.000831385],[0.000824889],[0.000467429],[0.000696194],[0.000710133],[0.000953922]]</v>
      </c>
    </row>
    <row r="170" spans="1:19" x14ac:dyDescent="0.2">
      <c r="A170" s="1" t="d">
        <v>2026-01-31</v>
      </c>
      <c r="B170">
        <v>1.9653259999999999E-3</v>
      </c>
      <c r="C170">
        <v>1.9653259999999999E-3</v>
      </c>
      <c r="D170">
        <v>1.849643E-3</v>
      </c>
      <c r="E170">
        <v>1.0417779999999999E-3</v>
      </c>
      <c r="F170">
        <v>1.5273660000000001E-3</v>
      </c>
      <c r="G170">
        <v>1.671407E-3</v>
      </c>
      <c r="H170">
        <v>1.989584E-3</v>
      </c>
      <c r="J170" t="str">
        <f t="shared" si="21"/>
        <v>[</v>
      </c>
      <c r="K170" t="str">
        <f t="shared" si="22"/>
        <v>[0.000982663],</v>
      </c>
      <c r="L170" t="str">
        <f t="shared" si="23"/>
        <v>[0.001965326],</v>
      </c>
      <c r="M170" t="str">
        <f t="shared" si="24"/>
        <v>[0.001849643],</v>
      </c>
      <c r="N170" t="str">
        <f t="shared" si="25"/>
        <v>[0.001041778],</v>
      </c>
      <c r="O170" t="str">
        <f t="shared" si="26"/>
        <v>[0.001527366],</v>
      </c>
      <c r="P170" t="str">
        <f t="shared" si="27"/>
        <v>[0.001671407],</v>
      </c>
      <c r="Q170" t="str">
        <f t="shared" si="28"/>
        <v>[0.001989584]</v>
      </c>
      <c r="R170" t="str">
        <f t="shared" si="29"/>
        <v>]</v>
      </c>
      <c r="S170" t="str">
        <f t="shared" si="30"/>
        <v>[[0.000982663],[0.001965326],[0.001849643],[0.001041778],[0.001527366],[0.001671407],[0.001989584]]</v>
      </c>
    </row>
    <row r="171" spans="1:19" x14ac:dyDescent="0.2">
      <c r="A171" s="1" t="d">
        <v>2026-02-01</v>
      </c>
      <c r="B171">
        <v>1.9653259999999999E-3</v>
      </c>
      <c r="C171">
        <v>1.9653259999999999E-3</v>
      </c>
      <c r="D171">
        <v>1.849643E-3</v>
      </c>
      <c r="E171">
        <v>1.0417779999999999E-3</v>
      </c>
      <c r="F171">
        <v>1.5273660000000001E-3</v>
      </c>
      <c r="G171">
        <v>1.671407E-3</v>
      </c>
      <c r="H171">
        <v>1.989584E-3</v>
      </c>
      <c r="J171" t="str">
        <f t="shared" si="21"/>
        <v>[</v>
      </c>
      <c r="K171" t="str">
        <f t="shared" si="22"/>
        <v>[0.000982663],</v>
      </c>
      <c r="L171" t="str">
        <f t="shared" si="23"/>
        <v>[0.001965326],</v>
      </c>
      <c r="M171" t="str">
        <f t="shared" si="24"/>
        <v>[0.001849643],</v>
      </c>
      <c r="N171" t="str">
        <f t="shared" si="25"/>
        <v>[0.001041778],</v>
      </c>
      <c r="O171" t="str">
        <f t="shared" si="26"/>
        <v>[0.001527366],</v>
      </c>
      <c r="P171" t="str">
        <f t="shared" si="27"/>
        <v>[0.001671407],</v>
      </c>
      <c r="Q171" t="str">
        <f t="shared" si="28"/>
        <v>[0.001989584]</v>
      </c>
      <c r="R171" t="str">
        <f t="shared" si="29"/>
        <v>]</v>
      </c>
      <c r="S171" t="str">
        <f t="shared" si="30"/>
        <v>[[0.000982663],[0.001965326],[0.001849643],[0.001041778],[0.001527366],[0.001671407],[0.001989584]]</v>
      </c>
    </row>
    <row r="172" spans="1:19" x14ac:dyDescent="0.2">
      <c r="A172" s="1" t="d">
        <v>2026-02-02</v>
      </c>
      <c r="B172">
        <v>1.9653259999999999E-3</v>
      </c>
      <c r="C172">
        <v>1.9653259999999999E-3</v>
      </c>
      <c r="D172">
        <v>1.849643E-3</v>
      </c>
      <c r="E172">
        <v>1.0417779999999999E-3</v>
      </c>
      <c r="F172">
        <v>1.5273660000000001E-3</v>
      </c>
      <c r="G172">
        <v>1.671407E-3</v>
      </c>
      <c r="H172">
        <v>1.989584E-3</v>
      </c>
      <c r="J172" t="str">
        <f t="shared" si="21"/>
        <v>[</v>
      </c>
      <c r="K172" t="str">
        <f t="shared" si="22"/>
        <v>[0.000982663],</v>
      </c>
      <c r="L172" t="str">
        <f t="shared" si="23"/>
        <v>[0.001965326],</v>
      </c>
      <c r="M172" t="str">
        <f t="shared" si="24"/>
        <v>[0.001849643],</v>
      </c>
      <c r="N172" t="str">
        <f t="shared" si="25"/>
        <v>[0.001041778],</v>
      </c>
      <c r="O172" t="str">
        <f t="shared" si="26"/>
        <v>[0.001527366],</v>
      </c>
      <c r="P172" t="str">
        <f t="shared" si="27"/>
        <v>[0.001671407],</v>
      </c>
      <c r="Q172" t="str">
        <f t="shared" si="28"/>
        <v>[0.001989584]</v>
      </c>
      <c r="R172" t="str">
        <f t="shared" si="29"/>
        <v>]</v>
      </c>
      <c r="S172" t="str">
        <f t="shared" si="30"/>
        <v>[[0.000982663],[0.001965326],[0.001849643],[0.001041778],[0.001527366],[0.001671407],[0.001989584]]</v>
      </c>
    </row>
    <row r="173" spans="1:19" x14ac:dyDescent="0.2">
      <c r="A173" s="1" t="d">
        <v>2026-02-03</v>
      </c>
      <c r="B173">
        <v>1.9653259999999999E-3</v>
      </c>
      <c r="C173">
        <v>1.9653259999999999E-3</v>
      </c>
      <c r="D173">
        <v>1.849643E-3</v>
      </c>
      <c r="E173">
        <v>1.0417779999999999E-3</v>
      </c>
      <c r="F173">
        <v>1.5273660000000001E-3</v>
      </c>
      <c r="G173">
        <v>1.671407E-3</v>
      </c>
      <c r="H173">
        <v>1.989584E-3</v>
      </c>
      <c r="J173" t="str">
        <f t="shared" si="21"/>
        <v>[</v>
      </c>
      <c r="K173" t="str">
        <f t="shared" si="22"/>
        <v>[0.000982663],</v>
      </c>
      <c r="L173" t="str">
        <f t="shared" si="23"/>
        <v>[0.001965326],</v>
      </c>
      <c r="M173" t="str">
        <f t="shared" si="24"/>
        <v>[0.001849643],</v>
      </c>
      <c r="N173" t="str">
        <f t="shared" si="25"/>
        <v>[0.001041778],</v>
      </c>
      <c r="O173" t="str">
        <f t="shared" si="26"/>
        <v>[0.001527366],</v>
      </c>
      <c r="P173" t="str">
        <f t="shared" si="27"/>
        <v>[0.001671407],</v>
      </c>
      <c r="Q173" t="str">
        <f t="shared" si="28"/>
        <v>[0.001989584]</v>
      </c>
      <c r="R173" t="str">
        <f t="shared" si="29"/>
        <v>]</v>
      </c>
      <c r="S173" t="str">
        <f t="shared" si="30"/>
        <v>[[0.000982663],[0.001965326],[0.001849643],[0.001041778],[0.001527366],[0.001671407],[0.001989584]]</v>
      </c>
    </row>
    <row r="174" spans="1:19" x14ac:dyDescent="0.2">
      <c r="A174" s="1" t="d">
        <v>2026-02-04</v>
      </c>
      <c r="B174">
        <v>1.9653259999999999E-3</v>
      </c>
      <c r="C174">
        <v>1.9653259999999999E-3</v>
      </c>
      <c r="D174">
        <v>1.849643E-3</v>
      </c>
      <c r="E174">
        <v>1.0417779999999999E-3</v>
      </c>
      <c r="F174">
        <v>1.5273660000000001E-3</v>
      </c>
      <c r="G174">
        <v>1.671407E-3</v>
      </c>
      <c r="H174">
        <v>1.989584E-3</v>
      </c>
      <c r="J174" t="str">
        <f t="shared" si="21"/>
        <v>[</v>
      </c>
      <c r="K174" t="str">
        <f t="shared" si="22"/>
        <v>[0.000982663],</v>
      </c>
      <c r="L174" t="str">
        <f t="shared" si="23"/>
        <v>[0.001965326],</v>
      </c>
      <c r="M174" t="str">
        <f t="shared" si="24"/>
        <v>[0.001849643],</v>
      </c>
      <c r="N174" t="str">
        <f t="shared" si="25"/>
        <v>[0.001041778],</v>
      </c>
      <c r="O174" t="str">
        <f t="shared" si="26"/>
        <v>[0.001527366],</v>
      </c>
      <c r="P174" t="str">
        <f t="shared" si="27"/>
        <v>[0.001671407],</v>
      </c>
      <c r="Q174" t="str">
        <f t="shared" si="28"/>
        <v>[0.001989584]</v>
      </c>
      <c r="R174" t="str">
        <f t="shared" si="29"/>
        <v>]</v>
      </c>
      <c r="S174" t="str">
        <f t="shared" si="30"/>
        <v>[[0.000982663],[0.001965326],[0.001849643],[0.001041778],[0.001527366],[0.001671407],[0.001989584]]</v>
      </c>
    </row>
    <row r="175" spans="1:19" x14ac:dyDescent="0.2">
      <c r="A175" s="1" t="d">
        <v>2026-02-05</v>
      </c>
      <c r="B175">
        <v>1.9653259999999999E-3</v>
      </c>
      <c r="C175">
        <v>1.9653259999999999E-3</v>
      </c>
      <c r="D175">
        <v>1.849643E-3</v>
      </c>
      <c r="E175">
        <v>1.0417779999999999E-3</v>
      </c>
      <c r="F175">
        <v>1.5273660000000001E-3</v>
      </c>
      <c r="G175">
        <v>1.671407E-3</v>
      </c>
      <c r="H175">
        <v>1.989584E-3</v>
      </c>
      <c r="J175" t="str">
        <f t="shared" si="21"/>
        <v>[</v>
      </c>
      <c r="K175" t="str">
        <f t="shared" si="22"/>
        <v>[0.000982663],</v>
      </c>
      <c r="L175" t="str">
        <f t="shared" si="23"/>
        <v>[0.001965326],</v>
      </c>
      <c r="M175" t="str">
        <f t="shared" si="24"/>
        <v>[0.001849643],</v>
      </c>
      <c r="N175" t="str">
        <f t="shared" si="25"/>
        <v>[0.001041778],</v>
      </c>
      <c r="O175" t="str">
        <f t="shared" si="26"/>
        <v>[0.001527366],</v>
      </c>
      <c r="P175" t="str">
        <f t="shared" si="27"/>
        <v>[0.001671407],</v>
      </c>
      <c r="Q175" t="str">
        <f t="shared" si="28"/>
        <v>[0.001989584]</v>
      </c>
      <c r="R175" t="str">
        <f t="shared" si="29"/>
        <v>]</v>
      </c>
      <c r="S175" t="str">
        <f t="shared" si="30"/>
        <v>[[0.000982663],[0.001965326],[0.001849643],[0.001041778],[0.001527366],[0.001671407],[0.001989584]]</v>
      </c>
    </row>
    <row r="176" spans="1:19" x14ac:dyDescent="0.2">
      <c r="A176" s="1" t="d">
        <v>2026-02-06</v>
      </c>
      <c r="B176">
        <v>1.9653259999999999E-3</v>
      </c>
      <c r="C176">
        <v>1.9653259999999999E-3</v>
      </c>
      <c r="D176">
        <v>1.849643E-3</v>
      </c>
      <c r="E176">
        <v>1.0417779999999999E-3</v>
      </c>
      <c r="F176">
        <v>1.5273660000000001E-3</v>
      </c>
      <c r="G176">
        <v>1.671407E-3</v>
      </c>
      <c r="H176">
        <v>1.989584E-3</v>
      </c>
      <c r="J176" t="str">
        <f t="shared" si="21"/>
        <v>[</v>
      </c>
      <c r="K176" t="str">
        <f t="shared" si="22"/>
        <v>[0.000982663],</v>
      </c>
      <c r="L176" t="str">
        <f t="shared" si="23"/>
        <v>[0.001965326],</v>
      </c>
      <c r="M176" t="str">
        <f t="shared" si="24"/>
        <v>[0.001849643],</v>
      </c>
      <c r="N176" t="str">
        <f t="shared" si="25"/>
        <v>[0.001041778],</v>
      </c>
      <c r="O176" t="str">
        <f t="shared" si="26"/>
        <v>[0.001527366],</v>
      </c>
      <c r="P176" t="str">
        <f t="shared" si="27"/>
        <v>[0.001671407],</v>
      </c>
      <c r="Q176" t="str">
        <f t="shared" si="28"/>
        <v>[0.001989584]</v>
      </c>
      <c r="R176" t="str">
        <f t="shared" si="29"/>
        <v>]</v>
      </c>
      <c r="S176" t="str">
        <f t="shared" si="30"/>
        <v>[[0.000982663],[0.001965326],[0.001849643],[0.001041778],[0.001527366],[0.001671407],[0.001989584]]</v>
      </c>
    </row>
    <row r="177" spans="1:19" x14ac:dyDescent="0.2">
      <c r="A177" s="1" t="d">
        <v>2026-02-07</v>
      </c>
      <c r="B177">
        <v>1.140339E-3</v>
      </c>
      <c r="C177">
        <v>1.140339E-3</v>
      </c>
      <c r="D177">
        <v>9.1825900000000005E-4</v>
      </c>
      <c r="E177">
        <v>5.0517300000000004E-4</v>
      </c>
      <c r="F177">
        <v>6.9104799999999999E-4</v>
      </c>
      <c r="G177">
        <v>9.5254699999999999E-4</v>
      </c>
      <c r="H177">
        <v>7.70898E-4</v>
      </c>
      <c r="J177" t="str">
        <f t="shared" si="21"/>
        <v>[</v>
      </c>
      <c r="K177" t="str">
        <f t="shared" si="22"/>
        <v>[0.0005701695],</v>
      </c>
      <c r="L177" t="str">
        <f t="shared" si="23"/>
        <v>[0.001140339],</v>
      </c>
      <c r="M177" t="str">
        <f t="shared" si="24"/>
        <v>[0.000918259],</v>
      </c>
      <c r="N177" t="str">
        <f t="shared" si="25"/>
        <v>[0.000505173],</v>
      </c>
      <c r="O177" t="str">
        <f t="shared" si="26"/>
        <v>[0.000691048],</v>
      </c>
      <c r="P177" t="str">
        <f t="shared" si="27"/>
        <v>[0.000952547],</v>
      </c>
      <c r="Q177" t="str">
        <f t="shared" si="28"/>
        <v>[0.000770898]</v>
      </c>
      <c r="R177" t="str">
        <f t="shared" si="29"/>
        <v>]</v>
      </c>
      <c r="S177" t="str">
        <f t="shared" si="30"/>
        <v>[[0.0005701695],[0.001140339],[0.000918259],[0.000505173],[0.000691048],[0.000952547],[0.000770898]]</v>
      </c>
    </row>
    <row r="178" spans="1:19" x14ac:dyDescent="0.2">
      <c r="A178" s="1" t="d">
        <v>2026-02-08</v>
      </c>
      <c r="B178">
        <v>1.140339E-3</v>
      </c>
      <c r="C178">
        <v>1.140339E-3</v>
      </c>
      <c r="D178">
        <v>9.1825900000000005E-4</v>
      </c>
      <c r="E178">
        <v>5.0517300000000004E-4</v>
      </c>
      <c r="F178">
        <v>6.9104799999999999E-4</v>
      </c>
      <c r="G178">
        <v>9.5254699999999999E-4</v>
      </c>
      <c r="H178">
        <v>7.70898E-4</v>
      </c>
      <c r="J178" t="str">
        <f t="shared" si="21"/>
        <v>[</v>
      </c>
      <c r="K178" t="str">
        <f t="shared" si="22"/>
        <v>[0.0005701695],</v>
      </c>
      <c r="L178" t="str">
        <f t="shared" si="23"/>
        <v>[0.001140339],</v>
      </c>
      <c r="M178" t="str">
        <f t="shared" si="24"/>
        <v>[0.000918259],</v>
      </c>
      <c r="N178" t="str">
        <f t="shared" si="25"/>
        <v>[0.000505173],</v>
      </c>
      <c r="O178" t="str">
        <f t="shared" si="26"/>
        <v>[0.000691048],</v>
      </c>
      <c r="P178" t="str">
        <f t="shared" si="27"/>
        <v>[0.000952547],</v>
      </c>
      <c r="Q178" t="str">
        <f t="shared" si="28"/>
        <v>[0.000770898]</v>
      </c>
      <c r="R178" t="str">
        <f t="shared" si="29"/>
        <v>]</v>
      </c>
      <c r="S178" t="str">
        <f t="shared" si="30"/>
        <v>[[0.0005701695],[0.001140339],[0.000918259],[0.000505173],[0.000691048],[0.000952547],[0.000770898]]</v>
      </c>
    </row>
    <row r="179" spans="1:19" x14ac:dyDescent="0.2">
      <c r="A179" s="1" t="d">
        <v>2026-02-09</v>
      </c>
      <c r="B179">
        <v>1.140339E-3</v>
      </c>
      <c r="C179">
        <v>1.140339E-3</v>
      </c>
      <c r="D179">
        <v>9.1825900000000005E-4</v>
      </c>
      <c r="E179">
        <v>5.0517300000000004E-4</v>
      </c>
      <c r="F179">
        <v>6.9104799999999999E-4</v>
      </c>
      <c r="G179">
        <v>9.5254699999999999E-4</v>
      </c>
      <c r="H179">
        <v>7.70898E-4</v>
      </c>
      <c r="J179" t="str">
        <f t="shared" si="21"/>
        <v>[</v>
      </c>
      <c r="K179" t="str">
        <f t="shared" si="22"/>
        <v>[0.0005701695],</v>
      </c>
      <c r="L179" t="str">
        <f t="shared" si="23"/>
        <v>[0.001140339],</v>
      </c>
      <c r="M179" t="str">
        <f t="shared" si="24"/>
        <v>[0.000918259],</v>
      </c>
      <c r="N179" t="str">
        <f t="shared" si="25"/>
        <v>[0.000505173],</v>
      </c>
      <c r="O179" t="str">
        <f t="shared" si="26"/>
        <v>[0.000691048],</v>
      </c>
      <c r="P179" t="str">
        <f t="shared" si="27"/>
        <v>[0.000952547],</v>
      </c>
      <c r="Q179" t="str">
        <f t="shared" si="28"/>
        <v>[0.000770898]</v>
      </c>
      <c r="R179" t="str">
        <f t="shared" si="29"/>
        <v>]</v>
      </c>
      <c r="S179" t="str">
        <f t="shared" si="30"/>
        <v>[[0.0005701695],[0.001140339],[0.000918259],[0.000505173],[0.000691048],[0.000952547],[0.000770898]]</v>
      </c>
    </row>
    <row r="180" spans="1:19" x14ac:dyDescent="0.2">
      <c r="A180" s="1" t="d">
        <v>2026-02-10</v>
      </c>
      <c r="B180">
        <v>1.140339E-3</v>
      </c>
      <c r="C180">
        <v>1.140339E-3</v>
      </c>
      <c r="D180">
        <v>9.1825900000000005E-4</v>
      </c>
      <c r="E180">
        <v>5.0517300000000004E-4</v>
      </c>
      <c r="F180">
        <v>6.9104799999999999E-4</v>
      </c>
      <c r="G180">
        <v>9.5254699999999999E-4</v>
      </c>
      <c r="H180">
        <v>7.70898E-4</v>
      </c>
      <c r="J180" t="str">
        <f t="shared" si="21"/>
        <v>[</v>
      </c>
      <c r="K180" t="str">
        <f t="shared" si="22"/>
        <v>[0.0005701695],</v>
      </c>
      <c r="L180" t="str">
        <f t="shared" si="23"/>
        <v>[0.001140339],</v>
      </c>
      <c r="M180" t="str">
        <f t="shared" si="24"/>
        <v>[0.000918259],</v>
      </c>
      <c r="N180" t="str">
        <f t="shared" si="25"/>
        <v>[0.000505173],</v>
      </c>
      <c r="O180" t="str">
        <f t="shared" si="26"/>
        <v>[0.000691048],</v>
      </c>
      <c r="P180" t="str">
        <f t="shared" si="27"/>
        <v>[0.000952547],</v>
      </c>
      <c r="Q180" t="str">
        <f t="shared" si="28"/>
        <v>[0.000770898]</v>
      </c>
      <c r="R180" t="str">
        <f t="shared" si="29"/>
        <v>]</v>
      </c>
      <c r="S180" t="str">
        <f t="shared" si="30"/>
        <v>[[0.0005701695],[0.001140339],[0.000918259],[0.000505173],[0.000691048],[0.000952547],[0.000770898]]</v>
      </c>
    </row>
    <row r="181" spans="1:19" x14ac:dyDescent="0.2">
      <c r="A181" s="1" t="d">
        <v>2026-02-11</v>
      </c>
      <c r="B181">
        <v>1.140339E-3</v>
      </c>
      <c r="C181">
        <v>1.140339E-3</v>
      </c>
      <c r="D181">
        <v>9.1825900000000005E-4</v>
      </c>
      <c r="E181">
        <v>5.0517300000000004E-4</v>
      </c>
      <c r="F181">
        <v>6.9104799999999999E-4</v>
      </c>
      <c r="G181">
        <v>9.5254699999999999E-4</v>
      </c>
      <c r="H181">
        <v>7.70898E-4</v>
      </c>
      <c r="J181" t="str">
        <f t="shared" si="21"/>
        <v>[</v>
      </c>
      <c r="K181" t="str">
        <f t="shared" si="22"/>
        <v>[0.0005701695],</v>
      </c>
      <c r="L181" t="str">
        <f t="shared" si="23"/>
        <v>[0.001140339],</v>
      </c>
      <c r="M181" t="str">
        <f t="shared" si="24"/>
        <v>[0.000918259],</v>
      </c>
      <c r="N181" t="str">
        <f t="shared" si="25"/>
        <v>[0.000505173],</v>
      </c>
      <c r="O181" t="str">
        <f t="shared" si="26"/>
        <v>[0.000691048],</v>
      </c>
      <c r="P181" t="str">
        <f t="shared" si="27"/>
        <v>[0.000952547],</v>
      </c>
      <c r="Q181" t="str">
        <f t="shared" si="28"/>
        <v>[0.000770898]</v>
      </c>
      <c r="R181" t="str">
        <f t="shared" si="29"/>
        <v>]</v>
      </c>
      <c r="S181" t="str">
        <f t="shared" si="30"/>
        <v>[[0.0005701695],[0.001140339],[0.000918259],[0.000505173],[0.000691048],[0.000952547],[0.000770898]]</v>
      </c>
    </row>
    <row r="182" spans="1:19" x14ac:dyDescent="0.2">
      <c r="A182" s="1" t="d">
        <v>2026-02-12</v>
      </c>
      <c r="B182">
        <v>1.140339E-3</v>
      </c>
      <c r="C182">
        <v>1.140339E-3</v>
      </c>
      <c r="D182">
        <v>9.1825900000000005E-4</v>
      </c>
      <c r="E182">
        <v>5.0517300000000004E-4</v>
      </c>
      <c r="F182">
        <v>6.9104799999999999E-4</v>
      </c>
      <c r="G182">
        <v>9.5254699999999999E-4</v>
      </c>
      <c r="H182">
        <v>7.70898E-4</v>
      </c>
      <c r="J182" t="str">
        <f t="shared" si="21"/>
        <v>[</v>
      </c>
      <c r="K182" t="str">
        <f t="shared" si="22"/>
        <v>[0.0005701695],</v>
      </c>
      <c r="L182" t="str">
        <f t="shared" si="23"/>
        <v>[0.001140339],</v>
      </c>
      <c r="M182" t="str">
        <f t="shared" si="24"/>
        <v>[0.000918259],</v>
      </c>
      <c r="N182" t="str">
        <f t="shared" si="25"/>
        <v>[0.000505173],</v>
      </c>
      <c r="O182" t="str">
        <f t="shared" si="26"/>
        <v>[0.000691048],</v>
      </c>
      <c r="P182" t="str">
        <f t="shared" si="27"/>
        <v>[0.000952547],</v>
      </c>
      <c r="Q182" t="str">
        <f t="shared" si="28"/>
        <v>[0.000770898]</v>
      </c>
      <c r="R182" t="str">
        <f t="shared" si="29"/>
        <v>]</v>
      </c>
      <c r="S182" t="str">
        <f t="shared" si="30"/>
        <v>[[0.0005701695],[0.001140339],[0.000918259],[0.000505173],[0.000691048],[0.000952547],[0.000770898]]</v>
      </c>
    </row>
    <row r="183" spans="1:19" x14ac:dyDescent="0.2">
      <c r="A183" s="1" t="d">
        <v>2026-02-13</v>
      </c>
      <c r="B183">
        <v>1.140339E-3</v>
      </c>
      <c r="C183">
        <v>1.140339E-3</v>
      </c>
      <c r="D183">
        <v>9.1825900000000005E-4</v>
      </c>
      <c r="E183">
        <v>5.0517300000000004E-4</v>
      </c>
      <c r="F183">
        <v>6.9104799999999999E-4</v>
      </c>
      <c r="G183">
        <v>9.5254699999999999E-4</v>
      </c>
      <c r="H183">
        <v>7.70898E-4</v>
      </c>
      <c r="J183" t="str">
        <f t="shared" si="21"/>
        <v>[</v>
      </c>
      <c r="K183" t="str">
        <f t="shared" si="22"/>
        <v>[0.0005701695],</v>
      </c>
      <c r="L183" t="str">
        <f t="shared" si="23"/>
        <v>[0.001140339],</v>
      </c>
      <c r="M183" t="str">
        <f t="shared" si="24"/>
        <v>[0.000918259],</v>
      </c>
      <c r="N183" t="str">
        <f t="shared" si="25"/>
        <v>[0.000505173],</v>
      </c>
      <c r="O183" t="str">
        <f t="shared" si="26"/>
        <v>[0.000691048],</v>
      </c>
      <c r="P183" t="str">
        <f t="shared" si="27"/>
        <v>[0.000952547],</v>
      </c>
      <c r="Q183" t="str">
        <f t="shared" si="28"/>
        <v>[0.000770898]</v>
      </c>
      <c r="R183" t="str">
        <f t="shared" si="29"/>
        <v>]</v>
      </c>
      <c r="S183" t="str">
        <f t="shared" si="30"/>
        <v>[[0.0005701695],[0.001140339],[0.000918259],[0.000505173],[0.000691048],[0.000952547],[0.000770898]]</v>
      </c>
    </row>
    <row r="184" spans="1:19" x14ac:dyDescent="0.2">
      <c r="A184" s="1" t="d">
        <v>2026-02-14</v>
      </c>
      <c r="B184">
        <v>1.33136E-3</v>
      </c>
      <c r="C184">
        <v>1.33136E-3</v>
      </c>
      <c r="D184">
        <v>9.3440999999999999E-4</v>
      </c>
      <c r="E184">
        <v>5.0784099999999998E-4</v>
      </c>
      <c r="F184">
        <v>6.1954100000000004E-4</v>
      </c>
      <c r="G184">
        <v>1.072438E-3</v>
      </c>
      <c r="H184">
        <v>5.8196300000000001E-4</v>
      </c>
      <c r="J184" t="str">
        <f t="shared" si="21"/>
        <v>[</v>
      </c>
      <c r="K184" t="str">
        <f t="shared" si="22"/>
        <v>[0.00066568],</v>
      </c>
      <c r="L184" t="str">
        <f t="shared" si="23"/>
        <v>[0.00133136],</v>
      </c>
      <c r="M184" t="str">
        <f t="shared" si="24"/>
        <v>[0.00093441],</v>
      </c>
      <c r="N184" t="str">
        <f t="shared" si="25"/>
        <v>[0.000507841],</v>
      </c>
      <c r="O184" t="str">
        <f t="shared" si="26"/>
        <v>[0.000619541],</v>
      </c>
      <c r="P184" t="str">
        <f t="shared" si="27"/>
        <v>[0.001072438],</v>
      </c>
      <c r="Q184" t="str">
        <f t="shared" si="28"/>
        <v>[0.000581963]</v>
      </c>
      <c r="R184" t="str">
        <f t="shared" si="29"/>
        <v>]</v>
      </c>
      <c r="S184" t="str">
        <f t="shared" si="30"/>
        <v>[[0.00066568],[0.00133136],[0.00093441],[0.000507841],[0.000619541],[0.001072438],[0.000581963]]</v>
      </c>
    </row>
    <row r="185" spans="1:19" x14ac:dyDescent="0.2">
      <c r="A185" s="1" t="d">
        <v>2026-02-15</v>
      </c>
      <c r="B185">
        <v>1.33136E-3</v>
      </c>
      <c r="C185">
        <v>1.33136E-3</v>
      </c>
      <c r="D185">
        <v>9.3440999999999999E-4</v>
      </c>
      <c r="E185">
        <v>5.0784099999999998E-4</v>
      </c>
      <c r="F185">
        <v>6.1954100000000004E-4</v>
      </c>
      <c r="G185">
        <v>1.072438E-3</v>
      </c>
      <c r="H185">
        <v>5.8196300000000001E-4</v>
      </c>
      <c r="J185" t="str">
        <f t="shared" si="21"/>
        <v>[</v>
      </c>
      <c r="K185" t="str">
        <f t="shared" si="22"/>
        <v>[0.00066568],</v>
      </c>
      <c r="L185" t="str">
        <f t="shared" si="23"/>
        <v>[0.00133136],</v>
      </c>
      <c r="M185" t="str">
        <f t="shared" si="24"/>
        <v>[0.00093441],</v>
      </c>
      <c r="N185" t="str">
        <f t="shared" si="25"/>
        <v>[0.000507841],</v>
      </c>
      <c r="O185" t="str">
        <f t="shared" si="26"/>
        <v>[0.000619541],</v>
      </c>
      <c r="P185" t="str">
        <f t="shared" si="27"/>
        <v>[0.001072438],</v>
      </c>
      <c r="Q185" t="str">
        <f t="shared" si="28"/>
        <v>[0.000581963]</v>
      </c>
      <c r="R185" t="str">
        <f t="shared" si="29"/>
        <v>]</v>
      </c>
      <c r="S185" t="str">
        <f t="shared" si="30"/>
        <v>[[0.00066568],[0.00133136],[0.00093441],[0.000507841],[0.000619541],[0.001072438],[0.000581963]]</v>
      </c>
    </row>
    <row r="186" spans="1:19" x14ac:dyDescent="0.2">
      <c r="A186" s="1" t="d">
        <v>2026-02-16</v>
      </c>
      <c r="B186">
        <v>1.33136E-3</v>
      </c>
      <c r="C186">
        <v>1.33136E-3</v>
      </c>
      <c r="D186">
        <v>9.3440999999999999E-4</v>
      </c>
      <c r="E186">
        <v>5.0784099999999998E-4</v>
      </c>
      <c r="F186">
        <v>6.1954100000000004E-4</v>
      </c>
      <c r="G186">
        <v>1.072438E-3</v>
      </c>
      <c r="H186">
        <v>5.8196300000000001E-4</v>
      </c>
      <c r="J186" t="str">
        <f t="shared" si="21"/>
        <v>[</v>
      </c>
      <c r="K186" t="str">
        <f t="shared" si="22"/>
        <v>[0.00066568],</v>
      </c>
      <c r="L186" t="str">
        <f t="shared" si="23"/>
        <v>[0.00133136],</v>
      </c>
      <c r="M186" t="str">
        <f t="shared" si="24"/>
        <v>[0.00093441],</v>
      </c>
      <c r="N186" t="str">
        <f t="shared" si="25"/>
        <v>[0.000507841],</v>
      </c>
      <c r="O186" t="str">
        <f t="shared" si="26"/>
        <v>[0.000619541],</v>
      </c>
      <c r="P186" t="str">
        <f t="shared" si="27"/>
        <v>[0.001072438],</v>
      </c>
      <c r="Q186" t="str">
        <f t="shared" si="28"/>
        <v>[0.000581963]</v>
      </c>
      <c r="R186" t="str">
        <f t="shared" si="29"/>
        <v>]</v>
      </c>
      <c r="S186" t="str">
        <f t="shared" si="30"/>
        <v>[[0.00066568],[0.00133136],[0.00093441],[0.000507841],[0.000619541],[0.001072438],[0.000581963]]</v>
      </c>
    </row>
    <row r="187" spans="1:19" x14ac:dyDescent="0.2">
      <c r="A187" s="1" t="d">
        <v>2026-02-17</v>
      </c>
      <c r="B187">
        <v>1.33136E-3</v>
      </c>
      <c r="C187">
        <v>1.33136E-3</v>
      </c>
      <c r="D187">
        <v>9.3440999999999999E-4</v>
      </c>
      <c r="E187">
        <v>5.0784099999999998E-4</v>
      </c>
      <c r="F187">
        <v>6.1954100000000004E-4</v>
      </c>
      <c r="G187">
        <v>1.072438E-3</v>
      </c>
      <c r="H187">
        <v>5.8196300000000001E-4</v>
      </c>
      <c r="J187" t="str">
        <f t="shared" si="21"/>
        <v>[</v>
      </c>
      <c r="K187" t="str">
        <f t="shared" si="22"/>
        <v>[0.00066568],</v>
      </c>
      <c r="L187" t="str">
        <f t="shared" si="23"/>
        <v>[0.00133136],</v>
      </c>
      <c r="M187" t="str">
        <f t="shared" si="24"/>
        <v>[0.00093441],</v>
      </c>
      <c r="N187" t="str">
        <f t="shared" si="25"/>
        <v>[0.000507841],</v>
      </c>
      <c r="O187" t="str">
        <f t="shared" si="26"/>
        <v>[0.000619541],</v>
      </c>
      <c r="P187" t="str">
        <f t="shared" si="27"/>
        <v>[0.001072438],</v>
      </c>
      <c r="Q187" t="str">
        <f t="shared" si="28"/>
        <v>[0.000581963]</v>
      </c>
      <c r="R187" t="str">
        <f t="shared" si="29"/>
        <v>]</v>
      </c>
      <c r="S187" t="str">
        <f t="shared" si="30"/>
        <v>[[0.00066568],[0.00133136],[0.00093441],[0.000507841],[0.000619541],[0.001072438],[0.000581963]]</v>
      </c>
    </row>
    <row r="188" spans="1:19" x14ac:dyDescent="0.2">
      <c r="A188" s="1" t="d">
        <v>2026-02-18</v>
      </c>
      <c r="B188">
        <v>1.33136E-3</v>
      </c>
      <c r="C188">
        <v>1.33136E-3</v>
      </c>
      <c r="D188">
        <v>9.3440999999999999E-4</v>
      </c>
      <c r="E188">
        <v>5.0784099999999998E-4</v>
      </c>
      <c r="F188">
        <v>6.1954100000000004E-4</v>
      </c>
      <c r="G188">
        <v>1.072438E-3</v>
      </c>
      <c r="H188">
        <v>5.8196300000000001E-4</v>
      </c>
      <c r="J188" t="str">
        <f t="shared" si="21"/>
        <v>[</v>
      </c>
      <c r="K188" t="str">
        <f t="shared" si="22"/>
        <v>[0.00066568],</v>
      </c>
      <c r="L188" t="str">
        <f t="shared" si="23"/>
        <v>[0.00133136],</v>
      </c>
      <c r="M188" t="str">
        <f t="shared" si="24"/>
        <v>[0.00093441],</v>
      </c>
      <c r="N188" t="str">
        <f t="shared" si="25"/>
        <v>[0.000507841],</v>
      </c>
      <c r="O188" t="str">
        <f t="shared" si="26"/>
        <v>[0.000619541],</v>
      </c>
      <c r="P188" t="str">
        <f t="shared" si="27"/>
        <v>[0.001072438],</v>
      </c>
      <c r="Q188" t="str">
        <f t="shared" si="28"/>
        <v>[0.000581963]</v>
      </c>
      <c r="R188" t="str">
        <f t="shared" si="29"/>
        <v>]</v>
      </c>
      <c r="S188" t="str">
        <f t="shared" si="30"/>
        <v>[[0.00066568],[0.00133136],[0.00093441],[0.000507841],[0.000619541],[0.001072438],[0.000581963]]</v>
      </c>
    </row>
    <row r="189" spans="1:19" x14ac:dyDescent="0.2">
      <c r="A189" s="1" t="d">
        <v>2026-02-19</v>
      </c>
      <c r="B189">
        <v>1.33136E-3</v>
      </c>
      <c r="C189">
        <v>1.33136E-3</v>
      </c>
      <c r="D189">
        <v>9.3440999999999999E-4</v>
      </c>
      <c r="E189">
        <v>5.0784099999999998E-4</v>
      </c>
      <c r="F189">
        <v>6.1954100000000004E-4</v>
      </c>
      <c r="G189">
        <v>1.072438E-3</v>
      </c>
      <c r="H189">
        <v>5.8196300000000001E-4</v>
      </c>
      <c r="J189" t="str">
        <f t="shared" si="21"/>
        <v>[</v>
      </c>
      <c r="K189" t="str">
        <f t="shared" si="22"/>
        <v>[0.00066568],</v>
      </c>
      <c r="L189" t="str">
        <f t="shared" si="23"/>
        <v>[0.00133136],</v>
      </c>
      <c r="M189" t="str">
        <f t="shared" si="24"/>
        <v>[0.00093441],</v>
      </c>
      <c r="N189" t="str">
        <f t="shared" si="25"/>
        <v>[0.000507841],</v>
      </c>
      <c r="O189" t="str">
        <f t="shared" si="26"/>
        <v>[0.000619541],</v>
      </c>
      <c r="P189" t="str">
        <f t="shared" si="27"/>
        <v>[0.001072438],</v>
      </c>
      <c r="Q189" t="str">
        <f t="shared" si="28"/>
        <v>[0.000581963]</v>
      </c>
      <c r="R189" t="str">
        <f t="shared" si="29"/>
        <v>]</v>
      </c>
      <c r="S189" t="str">
        <f t="shared" si="30"/>
        <v>[[0.00066568],[0.00133136],[0.00093441],[0.000507841],[0.000619541],[0.001072438],[0.000581963]]</v>
      </c>
    </row>
    <row r="190" spans="1:19" x14ac:dyDescent="0.2">
      <c r="A190" s="1" t="d">
        <v>2026-02-20</v>
      </c>
      <c r="B190">
        <v>1.33136E-3</v>
      </c>
      <c r="C190">
        <v>1.33136E-3</v>
      </c>
      <c r="D190">
        <v>9.3440999999999999E-4</v>
      </c>
      <c r="E190">
        <v>5.0784099999999998E-4</v>
      </c>
      <c r="F190">
        <v>6.1954100000000004E-4</v>
      </c>
      <c r="G190">
        <v>1.072438E-3</v>
      </c>
      <c r="H190">
        <v>5.8196300000000001E-4</v>
      </c>
      <c r="J190" t="str">
        <f t="shared" si="21"/>
        <v>[</v>
      </c>
      <c r="K190" t="str">
        <f t="shared" si="22"/>
        <v>[0.00066568],</v>
      </c>
      <c r="L190" t="str">
        <f t="shared" si="23"/>
        <v>[0.00133136],</v>
      </c>
      <c r="M190" t="str">
        <f t="shared" si="24"/>
        <v>[0.00093441],</v>
      </c>
      <c r="N190" t="str">
        <f t="shared" si="25"/>
        <v>[0.000507841],</v>
      </c>
      <c r="O190" t="str">
        <f t="shared" si="26"/>
        <v>[0.000619541],</v>
      </c>
      <c r="P190" t="str">
        <f t="shared" si="27"/>
        <v>[0.001072438],</v>
      </c>
      <c r="Q190" t="str">
        <f t="shared" si="28"/>
        <v>[0.000581963]</v>
      </c>
      <c r="R190" t="str">
        <f t="shared" si="29"/>
        <v>]</v>
      </c>
      <c r="S190" t="str">
        <f t="shared" si="30"/>
        <v>[[0.00066568],[0.00133136],[0.00093441],[0.000507841],[0.000619541],[0.001072438],[0.000581963]]</v>
      </c>
    </row>
    <row r="191" spans="1:19" x14ac:dyDescent="0.2">
      <c r="A191" s="1" t="d">
        <v>2026-02-21</v>
      </c>
      <c r="B191">
        <v>1.421924E-3</v>
      </c>
      <c r="C191">
        <v>1.421924E-3</v>
      </c>
      <c r="D191">
        <v>8.9756700000000005E-4</v>
      </c>
      <c r="E191">
        <v>4.9226499999999998E-4</v>
      </c>
      <c r="F191">
        <v>5.4465700000000004E-4</v>
      </c>
      <c r="G191">
        <v>1.0960550000000001E-3</v>
      </c>
      <c r="H191">
        <v>4.4312699999999997E-4</v>
      </c>
      <c r="J191" t="str">
        <f t="shared" si="21"/>
        <v>[</v>
      </c>
      <c r="K191" t="str">
        <f t="shared" si="22"/>
        <v>[0.000710962],</v>
      </c>
      <c r="L191" t="str">
        <f t="shared" si="23"/>
        <v>[0.001421924],</v>
      </c>
      <c r="M191" t="str">
        <f t="shared" si="24"/>
        <v>[0.000897567],</v>
      </c>
      <c r="N191" t="str">
        <f t="shared" si="25"/>
        <v>[0.000492265],</v>
      </c>
      <c r="O191" t="str">
        <f t="shared" si="26"/>
        <v>[0.000544657],</v>
      </c>
      <c r="P191" t="str">
        <f t="shared" si="27"/>
        <v>[0.001096055],</v>
      </c>
      <c r="Q191" t="str">
        <f t="shared" si="28"/>
        <v>[0.000443127]</v>
      </c>
      <c r="R191" t="str">
        <f t="shared" si="29"/>
        <v>]</v>
      </c>
      <c r="S191" t="str">
        <f t="shared" si="30"/>
        <v>[[0.000710962],[0.001421924],[0.000897567],[0.000492265],[0.000544657],[0.001096055],[0.000443127]]</v>
      </c>
    </row>
    <row r="192" spans="1:19" x14ac:dyDescent="0.2">
      <c r="A192" s="1" t="d">
        <v>2026-02-22</v>
      </c>
      <c r="B192">
        <v>1.421924E-3</v>
      </c>
      <c r="C192">
        <v>1.421924E-3</v>
      </c>
      <c r="D192">
        <v>8.9756700000000005E-4</v>
      </c>
      <c r="E192">
        <v>4.9226499999999998E-4</v>
      </c>
      <c r="F192">
        <v>5.4465700000000004E-4</v>
      </c>
      <c r="G192">
        <v>1.0960550000000001E-3</v>
      </c>
      <c r="H192">
        <v>4.4312699999999997E-4</v>
      </c>
      <c r="J192" t="str">
        <f t="shared" si="21"/>
        <v>[</v>
      </c>
      <c r="K192" t="str">
        <f t="shared" si="22"/>
        <v>[0.000710962],</v>
      </c>
      <c r="L192" t="str">
        <f t="shared" si="23"/>
        <v>[0.001421924],</v>
      </c>
      <c r="M192" t="str">
        <f t="shared" si="24"/>
        <v>[0.000897567],</v>
      </c>
      <c r="N192" t="str">
        <f t="shared" si="25"/>
        <v>[0.000492265],</v>
      </c>
      <c r="O192" t="str">
        <f t="shared" si="26"/>
        <v>[0.000544657],</v>
      </c>
      <c r="P192" t="str">
        <f t="shared" si="27"/>
        <v>[0.001096055],</v>
      </c>
      <c r="Q192" t="str">
        <f t="shared" si="28"/>
        <v>[0.000443127]</v>
      </c>
      <c r="R192" t="str">
        <f t="shared" si="29"/>
        <v>]</v>
      </c>
      <c r="S192" t="str">
        <f t="shared" si="30"/>
        <v>[[0.000710962],[0.001421924],[0.000897567],[0.000492265],[0.000544657],[0.001096055],[0.000443127]]</v>
      </c>
    </row>
    <row r="193" spans="1:19" x14ac:dyDescent="0.2">
      <c r="A193" s="1" t="d">
        <v>2026-02-23</v>
      </c>
      <c r="B193">
        <v>1.421924E-3</v>
      </c>
      <c r="C193">
        <v>1.421924E-3</v>
      </c>
      <c r="D193">
        <v>8.9756700000000005E-4</v>
      </c>
      <c r="E193">
        <v>4.9226499999999998E-4</v>
      </c>
      <c r="F193">
        <v>5.4465700000000004E-4</v>
      </c>
      <c r="G193">
        <v>1.0960550000000001E-3</v>
      </c>
      <c r="H193">
        <v>4.4312699999999997E-4</v>
      </c>
      <c r="J193" t="str">
        <f t="shared" si="21"/>
        <v>[</v>
      </c>
      <c r="K193" t="str">
        <f t="shared" si="22"/>
        <v>[0.000710962],</v>
      </c>
      <c r="L193" t="str">
        <f t="shared" si="23"/>
        <v>[0.001421924],</v>
      </c>
      <c r="M193" t="str">
        <f t="shared" si="24"/>
        <v>[0.000897567],</v>
      </c>
      <c r="N193" t="str">
        <f t="shared" si="25"/>
        <v>[0.000492265],</v>
      </c>
      <c r="O193" t="str">
        <f t="shared" si="26"/>
        <v>[0.000544657],</v>
      </c>
      <c r="P193" t="str">
        <f t="shared" si="27"/>
        <v>[0.001096055],</v>
      </c>
      <c r="Q193" t="str">
        <f t="shared" si="28"/>
        <v>[0.000443127]</v>
      </c>
      <c r="R193" t="str">
        <f t="shared" si="29"/>
        <v>]</v>
      </c>
      <c r="S193" t="str">
        <f t="shared" si="30"/>
        <v>[[0.000710962],[0.001421924],[0.000897567],[0.000492265],[0.000544657],[0.001096055],[0.000443127]]</v>
      </c>
    </row>
    <row r="194" spans="1:19" x14ac:dyDescent="0.2">
      <c r="A194" s="1" t="d">
        <v>2026-02-24</v>
      </c>
      <c r="B194">
        <v>1.421924E-3</v>
      </c>
      <c r="C194">
        <v>1.421924E-3</v>
      </c>
      <c r="D194">
        <v>8.9756700000000005E-4</v>
      </c>
      <c r="E194">
        <v>4.9226499999999998E-4</v>
      </c>
      <c r="F194">
        <v>5.4465700000000004E-4</v>
      </c>
      <c r="G194">
        <v>1.0960550000000001E-3</v>
      </c>
      <c r="H194">
        <v>4.4312699999999997E-4</v>
      </c>
      <c r="J194" t="str">
        <f t="shared" si="21"/>
        <v>[</v>
      </c>
      <c r="K194" t="str">
        <f t="shared" si="22"/>
        <v>[0.000710962],</v>
      </c>
      <c r="L194" t="str">
        <f t="shared" si="23"/>
        <v>[0.001421924],</v>
      </c>
      <c r="M194" t="str">
        <f t="shared" si="24"/>
        <v>[0.000897567],</v>
      </c>
      <c r="N194" t="str">
        <f t="shared" si="25"/>
        <v>[0.000492265],</v>
      </c>
      <c r="O194" t="str">
        <f t="shared" si="26"/>
        <v>[0.000544657],</v>
      </c>
      <c r="P194" t="str">
        <f t="shared" si="27"/>
        <v>[0.001096055],</v>
      </c>
      <c r="Q194" t="str">
        <f t="shared" si="28"/>
        <v>[0.000443127]</v>
      </c>
      <c r="R194" t="str">
        <f t="shared" si="29"/>
        <v>]</v>
      </c>
      <c r="S194" t="str">
        <f t="shared" si="30"/>
        <v>[[0.000710962],[0.001421924],[0.000897567],[0.000492265],[0.000544657],[0.001096055],[0.000443127]]</v>
      </c>
    </row>
    <row r="195" spans="1:19" x14ac:dyDescent="0.2">
      <c r="A195" s="1" t="d">
        <v>2026-02-25</v>
      </c>
      <c r="B195">
        <v>1.421924E-3</v>
      </c>
      <c r="C195">
        <v>1.421924E-3</v>
      </c>
      <c r="D195">
        <v>8.9756700000000005E-4</v>
      </c>
      <c r="E195">
        <v>4.9226499999999998E-4</v>
      </c>
      <c r="F195">
        <v>5.4465700000000004E-4</v>
      </c>
      <c r="G195">
        <v>1.0960550000000001E-3</v>
      </c>
      <c r="H195">
        <v>4.4312699999999997E-4</v>
      </c>
      <c r="J195" t="str">
        <f t="shared" ref="J195:J258" si="31">"["</f>
        <v>[</v>
      </c>
      <c r="K195" t="str">
        <f t="shared" ref="K195:K258" si="32">"["&amp;B195/2&amp;"],"</f>
        <v>[0.000710962],</v>
      </c>
      <c r="L195" t="str">
        <f t="shared" ref="L195:L258" si="33">"["&amp;C195&amp;"],"</f>
        <v>[0.001421924],</v>
      </c>
      <c r="M195" t="str">
        <f t="shared" ref="M195:M258" si="34">"["&amp;D195&amp;"],"</f>
        <v>[0.000897567],</v>
      </c>
      <c r="N195" t="str">
        <f t="shared" ref="N195:N258" si="35">"["&amp;E195&amp;"],"</f>
        <v>[0.000492265],</v>
      </c>
      <c r="O195" t="str">
        <f t="shared" ref="O195:O258" si="36">"["&amp;F195&amp;"],"</f>
        <v>[0.000544657],</v>
      </c>
      <c r="P195" t="str">
        <f t="shared" ref="P195:P258" si="37">"["&amp;G195&amp;"],"</f>
        <v>[0.001096055],</v>
      </c>
      <c r="Q195" t="str">
        <f t="shared" ref="Q195:Q258" si="38">"["&amp;H195&amp;"]"</f>
        <v>[0.000443127]</v>
      </c>
      <c r="R195" t="str">
        <f t="shared" ref="R195:R258" si="39">"]"</f>
        <v>]</v>
      </c>
      <c r="S195" t="str">
        <f t="shared" ref="S195:S258" si="40">J195&amp;K195&amp;L195&amp;M195&amp;N195&amp;O195&amp;P195&amp;Q195&amp;R195</f>
        <v>[[0.000710962],[0.001421924],[0.000897567],[0.000492265],[0.000544657],[0.001096055],[0.000443127]]</v>
      </c>
    </row>
    <row r="196" spans="1:19" x14ac:dyDescent="0.2">
      <c r="A196" s="1" t="d">
        <v>2026-02-26</v>
      </c>
      <c r="B196">
        <v>1.421924E-3</v>
      </c>
      <c r="C196">
        <v>1.421924E-3</v>
      </c>
      <c r="D196">
        <v>8.9756700000000005E-4</v>
      </c>
      <c r="E196">
        <v>4.9226499999999998E-4</v>
      </c>
      <c r="F196">
        <v>5.4465700000000004E-4</v>
      </c>
      <c r="G196">
        <v>1.0960550000000001E-3</v>
      </c>
      <c r="H196">
        <v>4.4312699999999997E-4</v>
      </c>
      <c r="J196" t="str">
        <f t="shared" si="31"/>
        <v>[</v>
      </c>
      <c r="K196" t="str">
        <f t="shared" si="32"/>
        <v>[0.000710962],</v>
      </c>
      <c r="L196" t="str">
        <f t="shared" si="33"/>
        <v>[0.001421924],</v>
      </c>
      <c r="M196" t="str">
        <f t="shared" si="34"/>
        <v>[0.000897567],</v>
      </c>
      <c r="N196" t="str">
        <f t="shared" si="35"/>
        <v>[0.000492265],</v>
      </c>
      <c r="O196" t="str">
        <f t="shared" si="36"/>
        <v>[0.000544657],</v>
      </c>
      <c r="P196" t="str">
        <f t="shared" si="37"/>
        <v>[0.001096055],</v>
      </c>
      <c r="Q196" t="str">
        <f t="shared" si="38"/>
        <v>[0.000443127]</v>
      </c>
      <c r="R196" t="str">
        <f t="shared" si="39"/>
        <v>]</v>
      </c>
      <c r="S196" t="str">
        <f t="shared" si="40"/>
        <v>[[0.000710962],[0.001421924],[0.000897567],[0.000492265],[0.000544657],[0.001096055],[0.000443127]]</v>
      </c>
    </row>
    <row r="197" spans="1:19" x14ac:dyDescent="0.2">
      <c r="A197" s="1" t="d">
        <v>2026-02-27</v>
      </c>
      <c r="B197">
        <v>1.421924E-3</v>
      </c>
      <c r="C197">
        <v>1.421924E-3</v>
      </c>
      <c r="D197">
        <v>8.9756700000000005E-4</v>
      </c>
      <c r="E197">
        <v>4.9226499999999998E-4</v>
      </c>
      <c r="F197">
        <v>5.4465700000000004E-4</v>
      </c>
      <c r="G197">
        <v>1.0960550000000001E-3</v>
      </c>
      <c r="H197">
        <v>4.4312699999999997E-4</v>
      </c>
      <c r="J197" t="str">
        <f t="shared" si="31"/>
        <v>[</v>
      </c>
      <c r="K197" t="str">
        <f t="shared" si="32"/>
        <v>[0.000710962],</v>
      </c>
      <c r="L197" t="str">
        <f t="shared" si="33"/>
        <v>[0.001421924],</v>
      </c>
      <c r="M197" t="str">
        <f t="shared" si="34"/>
        <v>[0.000897567],</v>
      </c>
      <c r="N197" t="str">
        <f t="shared" si="35"/>
        <v>[0.000492265],</v>
      </c>
      <c r="O197" t="str">
        <f t="shared" si="36"/>
        <v>[0.000544657],</v>
      </c>
      <c r="P197" t="str">
        <f t="shared" si="37"/>
        <v>[0.001096055],</v>
      </c>
      <c r="Q197" t="str">
        <f t="shared" si="38"/>
        <v>[0.000443127]</v>
      </c>
      <c r="R197" t="str">
        <f t="shared" si="39"/>
        <v>]</v>
      </c>
      <c r="S197" t="str">
        <f t="shared" si="40"/>
        <v>[[0.000710962],[0.001421924],[0.000897567],[0.000492265],[0.000544657],[0.001096055],[0.000443127]]</v>
      </c>
    </row>
    <row r="198" spans="1:19" x14ac:dyDescent="0.2">
      <c r="A198" s="1" t="d">
        <v>2026-02-28</v>
      </c>
      <c r="B198">
        <v>2.6495339999999998E-3</v>
      </c>
      <c r="C198">
        <v>2.6495339999999998E-3</v>
      </c>
      <c r="D198">
        <v>1.5771209999999999E-3</v>
      </c>
      <c r="E198">
        <v>8.9874200000000001E-4</v>
      </c>
      <c r="F198">
        <v>9.7269700000000001E-4</v>
      </c>
      <c r="G198">
        <v>1.9403300000000001E-3</v>
      </c>
      <c r="H198">
        <v>8.0444100000000003E-4</v>
      </c>
      <c r="J198" t="str">
        <f t="shared" si="31"/>
        <v>[</v>
      </c>
      <c r="K198" t="str">
        <f t="shared" si="32"/>
        <v>[0.001324767],</v>
      </c>
      <c r="L198" t="str">
        <f t="shared" si="33"/>
        <v>[0.002649534],</v>
      </c>
      <c r="M198" t="str">
        <f t="shared" si="34"/>
        <v>[0.001577121],</v>
      </c>
      <c r="N198" t="str">
        <f t="shared" si="35"/>
        <v>[0.000898742],</v>
      </c>
      <c r="O198" t="str">
        <f t="shared" si="36"/>
        <v>[0.000972697],</v>
      </c>
      <c r="P198" t="str">
        <f t="shared" si="37"/>
        <v>[0.00194033],</v>
      </c>
      <c r="Q198" t="str">
        <f t="shared" si="38"/>
        <v>[0.000804441]</v>
      </c>
      <c r="R198" t="str">
        <f t="shared" si="39"/>
        <v>]</v>
      </c>
      <c r="S198" t="str">
        <f t="shared" si="40"/>
        <v>[[0.001324767],[0.002649534],[0.001577121],[0.000898742],[0.000972697],[0.00194033],[0.000804441]]</v>
      </c>
    </row>
    <row r="199" spans="1:19" x14ac:dyDescent="0.2">
      <c r="A199" s="1" t="d">
        <v>2026-03-01</v>
      </c>
      <c r="B199">
        <v>2.6495339999999998E-3</v>
      </c>
      <c r="C199">
        <v>2.6495339999999998E-3</v>
      </c>
      <c r="D199">
        <v>1.5771209999999999E-3</v>
      </c>
      <c r="E199">
        <v>8.9874200000000001E-4</v>
      </c>
      <c r="F199">
        <v>9.7269700000000001E-4</v>
      </c>
      <c r="G199">
        <v>1.9403300000000001E-3</v>
      </c>
      <c r="H199">
        <v>8.0444100000000003E-4</v>
      </c>
      <c r="J199" t="str">
        <f t="shared" si="31"/>
        <v>[</v>
      </c>
      <c r="K199" t="str">
        <f t="shared" si="32"/>
        <v>[0.001324767],</v>
      </c>
      <c r="L199" t="str">
        <f t="shared" si="33"/>
        <v>[0.002649534],</v>
      </c>
      <c r="M199" t="str">
        <f t="shared" si="34"/>
        <v>[0.001577121],</v>
      </c>
      <c r="N199" t="str">
        <f t="shared" si="35"/>
        <v>[0.000898742],</v>
      </c>
      <c r="O199" t="str">
        <f t="shared" si="36"/>
        <v>[0.000972697],</v>
      </c>
      <c r="P199" t="str">
        <f t="shared" si="37"/>
        <v>[0.00194033],</v>
      </c>
      <c r="Q199" t="str">
        <f t="shared" si="38"/>
        <v>[0.000804441]</v>
      </c>
      <c r="R199" t="str">
        <f t="shared" si="39"/>
        <v>]</v>
      </c>
      <c r="S199" t="str">
        <f t="shared" si="40"/>
        <v>[[0.001324767],[0.002649534],[0.001577121],[0.000898742],[0.000972697],[0.00194033],[0.000804441]]</v>
      </c>
    </row>
    <row r="200" spans="1:19" x14ac:dyDescent="0.2">
      <c r="A200" s="1" t="d">
        <v>2026-03-02</v>
      </c>
      <c r="B200">
        <v>2.6495339999999998E-3</v>
      </c>
      <c r="C200">
        <v>2.6495339999999998E-3</v>
      </c>
      <c r="D200">
        <v>1.5771209999999999E-3</v>
      </c>
      <c r="E200">
        <v>8.9874200000000001E-4</v>
      </c>
      <c r="F200">
        <v>9.7269700000000001E-4</v>
      </c>
      <c r="G200">
        <v>1.9403300000000001E-3</v>
      </c>
      <c r="H200">
        <v>8.0444100000000003E-4</v>
      </c>
      <c r="J200" t="str">
        <f t="shared" si="31"/>
        <v>[</v>
      </c>
      <c r="K200" t="str">
        <f t="shared" si="32"/>
        <v>[0.001324767],</v>
      </c>
      <c r="L200" t="str">
        <f t="shared" si="33"/>
        <v>[0.002649534],</v>
      </c>
      <c r="M200" t="str">
        <f t="shared" si="34"/>
        <v>[0.001577121],</v>
      </c>
      <c r="N200" t="str">
        <f t="shared" si="35"/>
        <v>[0.000898742],</v>
      </c>
      <c r="O200" t="str">
        <f t="shared" si="36"/>
        <v>[0.000972697],</v>
      </c>
      <c r="P200" t="str">
        <f t="shared" si="37"/>
        <v>[0.00194033],</v>
      </c>
      <c r="Q200" t="str">
        <f t="shared" si="38"/>
        <v>[0.000804441]</v>
      </c>
      <c r="R200" t="str">
        <f t="shared" si="39"/>
        <v>]</v>
      </c>
      <c r="S200" t="str">
        <f t="shared" si="40"/>
        <v>[[0.001324767],[0.002649534],[0.001577121],[0.000898742],[0.000972697],[0.00194033],[0.000804441]]</v>
      </c>
    </row>
    <row r="201" spans="1:19" x14ac:dyDescent="0.2">
      <c r="A201" s="1" t="d">
        <v>2026-03-03</v>
      </c>
      <c r="B201">
        <v>2.6495339999999998E-3</v>
      </c>
      <c r="C201">
        <v>2.6495339999999998E-3</v>
      </c>
      <c r="D201">
        <v>1.5771209999999999E-3</v>
      </c>
      <c r="E201">
        <v>8.9874200000000001E-4</v>
      </c>
      <c r="F201">
        <v>9.7269700000000001E-4</v>
      </c>
      <c r="G201">
        <v>1.9403300000000001E-3</v>
      </c>
      <c r="H201">
        <v>8.0444100000000003E-4</v>
      </c>
      <c r="J201" t="str">
        <f t="shared" si="31"/>
        <v>[</v>
      </c>
      <c r="K201" t="str">
        <f t="shared" si="32"/>
        <v>[0.001324767],</v>
      </c>
      <c r="L201" t="str">
        <f t="shared" si="33"/>
        <v>[0.002649534],</v>
      </c>
      <c r="M201" t="str">
        <f t="shared" si="34"/>
        <v>[0.001577121],</v>
      </c>
      <c r="N201" t="str">
        <f t="shared" si="35"/>
        <v>[0.000898742],</v>
      </c>
      <c r="O201" t="str">
        <f t="shared" si="36"/>
        <v>[0.000972697],</v>
      </c>
      <c r="P201" t="str">
        <f t="shared" si="37"/>
        <v>[0.00194033],</v>
      </c>
      <c r="Q201" t="str">
        <f t="shared" si="38"/>
        <v>[0.000804441]</v>
      </c>
      <c r="R201" t="str">
        <f t="shared" si="39"/>
        <v>]</v>
      </c>
      <c r="S201" t="str">
        <f t="shared" si="40"/>
        <v>[[0.001324767],[0.002649534],[0.001577121],[0.000898742],[0.000972697],[0.00194033],[0.000804441]]</v>
      </c>
    </row>
    <row r="202" spans="1:19" x14ac:dyDescent="0.2">
      <c r="A202" s="1" t="d">
        <v>2026-03-04</v>
      </c>
      <c r="B202">
        <v>2.6495339999999998E-3</v>
      </c>
      <c r="C202">
        <v>2.6495339999999998E-3</v>
      </c>
      <c r="D202">
        <v>1.5771209999999999E-3</v>
      </c>
      <c r="E202">
        <v>8.9874200000000001E-4</v>
      </c>
      <c r="F202">
        <v>9.7269700000000001E-4</v>
      </c>
      <c r="G202">
        <v>1.9403300000000001E-3</v>
      </c>
      <c r="H202">
        <v>8.0444100000000003E-4</v>
      </c>
      <c r="J202" t="str">
        <f t="shared" si="31"/>
        <v>[</v>
      </c>
      <c r="K202" t="str">
        <f t="shared" si="32"/>
        <v>[0.001324767],</v>
      </c>
      <c r="L202" t="str">
        <f t="shared" si="33"/>
        <v>[0.002649534],</v>
      </c>
      <c r="M202" t="str">
        <f t="shared" si="34"/>
        <v>[0.001577121],</v>
      </c>
      <c r="N202" t="str">
        <f t="shared" si="35"/>
        <v>[0.000898742],</v>
      </c>
      <c r="O202" t="str">
        <f t="shared" si="36"/>
        <v>[0.000972697],</v>
      </c>
      <c r="P202" t="str">
        <f t="shared" si="37"/>
        <v>[0.00194033],</v>
      </c>
      <c r="Q202" t="str">
        <f t="shared" si="38"/>
        <v>[0.000804441]</v>
      </c>
      <c r="R202" t="str">
        <f t="shared" si="39"/>
        <v>]</v>
      </c>
      <c r="S202" t="str">
        <f t="shared" si="40"/>
        <v>[[0.001324767],[0.002649534],[0.001577121],[0.000898742],[0.000972697],[0.00194033],[0.000804441]]</v>
      </c>
    </row>
    <row r="203" spans="1:19" x14ac:dyDescent="0.2">
      <c r="A203" s="1" t="d">
        <v>2026-03-05</v>
      </c>
      <c r="B203">
        <v>2.6495339999999998E-3</v>
      </c>
      <c r="C203">
        <v>2.6495339999999998E-3</v>
      </c>
      <c r="D203">
        <v>1.5771209999999999E-3</v>
      </c>
      <c r="E203">
        <v>8.9874200000000001E-4</v>
      </c>
      <c r="F203">
        <v>9.7269700000000001E-4</v>
      </c>
      <c r="G203">
        <v>1.9403300000000001E-3</v>
      </c>
      <c r="H203">
        <v>8.0444100000000003E-4</v>
      </c>
      <c r="J203" t="str">
        <f t="shared" si="31"/>
        <v>[</v>
      </c>
      <c r="K203" t="str">
        <f t="shared" si="32"/>
        <v>[0.001324767],</v>
      </c>
      <c r="L203" t="str">
        <f t="shared" si="33"/>
        <v>[0.002649534],</v>
      </c>
      <c r="M203" t="str">
        <f t="shared" si="34"/>
        <v>[0.001577121],</v>
      </c>
      <c r="N203" t="str">
        <f t="shared" si="35"/>
        <v>[0.000898742],</v>
      </c>
      <c r="O203" t="str">
        <f t="shared" si="36"/>
        <v>[0.000972697],</v>
      </c>
      <c r="P203" t="str">
        <f t="shared" si="37"/>
        <v>[0.00194033],</v>
      </c>
      <c r="Q203" t="str">
        <f t="shared" si="38"/>
        <v>[0.000804441]</v>
      </c>
      <c r="R203" t="str">
        <f t="shared" si="39"/>
        <v>]</v>
      </c>
      <c r="S203" t="str">
        <f t="shared" si="40"/>
        <v>[[0.001324767],[0.002649534],[0.001577121],[0.000898742],[0.000972697],[0.00194033],[0.000804441]]</v>
      </c>
    </row>
    <row r="204" spans="1:19" x14ac:dyDescent="0.2">
      <c r="A204" s="1" t="d">
        <v>2026-03-06</v>
      </c>
      <c r="B204">
        <v>2.6495339999999998E-3</v>
      </c>
      <c r="C204">
        <v>2.6495339999999998E-3</v>
      </c>
      <c r="D204">
        <v>1.5771209999999999E-3</v>
      </c>
      <c r="E204">
        <v>8.9874200000000001E-4</v>
      </c>
      <c r="F204">
        <v>9.7269700000000001E-4</v>
      </c>
      <c r="G204">
        <v>1.9403300000000001E-3</v>
      </c>
      <c r="H204">
        <v>8.0444100000000003E-4</v>
      </c>
      <c r="J204" t="str">
        <f t="shared" si="31"/>
        <v>[</v>
      </c>
      <c r="K204" t="str">
        <f t="shared" si="32"/>
        <v>[0.001324767],</v>
      </c>
      <c r="L204" t="str">
        <f t="shared" si="33"/>
        <v>[0.002649534],</v>
      </c>
      <c r="M204" t="str">
        <f t="shared" si="34"/>
        <v>[0.001577121],</v>
      </c>
      <c r="N204" t="str">
        <f t="shared" si="35"/>
        <v>[0.000898742],</v>
      </c>
      <c r="O204" t="str">
        <f t="shared" si="36"/>
        <v>[0.000972697],</v>
      </c>
      <c r="P204" t="str">
        <f t="shared" si="37"/>
        <v>[0.00194033],</v>
      </c>
      <c r="Q204" t="str">
        <f t="shared" si="38"/>
        <v>[0.000804441]</v>
      </c>
      <c r="R204" t="str">
        <f t="shared" si="39"/>
        <v>]</v>
      </c>
      <c r="S204" t="str">
        <f t="shared" si="40"/>
        <v>[[0.001324767],[0.002649534],[0.001577121],[0.000898742],[0.000972697],[0.00194033],[0.000804441]]</v>
      </c>
    </row>
    <row r="205" spans="1:19" x14ac:dyDescent="0.2">
      <c r="A205" s="1" t="d">
        <v>2026-03-07</v>
      </c>
      <c r="B205">
        <v>1.0272910000000001E-3</v>
      </c>
      <c r="C205">
        <v>1.0272910000000001E-3</v>
      </c>
      <c r="D205">
        <v>5.4322300000000001E-4</v>
      </c>
      <c r="E205">
        <v>3.5331799999999998E-4</v>
      </c>
      <c r="F205">
        <v>3.7497600000000001E-4</v>
      </c>
      <c r="G205">
        <v>6.4045699999999998E-4</v>
      </c>
      <c r="H205">
        <v>3.6582699999999999E-4</v>
      </c>
      <c r="J205" t="str">
        <f t="shared" si="31"/>
        <v>[</v>
      </c>
      <c r="K205" t="str">
        <f t="shared" si="32"/>
        <v>[0.0005136455],</v>
      </c>
      <c r="L205" t="str">
        <f t="shared" si="33"/>
        <v>[0.001027291],</v>
      </c>
      <c r="M205" t="str">
        <f t="shared" si="34"/>
        <v>[0.000543223],</v>
      </c>
      <c r="N205" t="str">
        <f t="shared" si="35"/>
        <v>[0.000353318],</v>
      </c>
      <c r="O205" t="str">
        <f t="shared" si="36"/>
        <v>[0.000374976],</v>
      </c>
      <c r="P205" t="str">
        <f t="shared" si="37"/>
        <v>[0.000640457],</v>
      </c>
      <c r="Q205" t="str">
        <f t="shared" si="38"/>
        <v>[0.000365827]</v>
      </c>
      <c r="R205" t="str">
        <f t="shared" si="39"/>
        <v>]</v>
      </c>
      <c r="S205" t="str">
        <f t="shared" si="40"/>
        <v>[[0.0005136455],[0.001027291],[0.000543223],[0.000353318],[0.000374976],[0.000640457],[0.000365827]]</v>
      </c>
    </row>
    <row r="206" spans="1:19" x14ac:dyDescent="0.2">
      <c r="A206" s="1" t="d">
        <v>2026-03-08</v>
      </c>
      <c r="B206">
        <v>1.0272910000000001E-3</v>
      </c>
      <c r="C206">
        <v>1.0272910000000001E-3</v>
      </c>
      <c r="D206">
        <v>5.4322300000000001E-4</v>
      </c>
      <c r="E206">
        <v>3.5331799999999998E-4</v>
      </c>
      <c r="F206">
        <v>3.7497600000000001E-4</v>
      </c>
      <c r="G206">
        <v>6.4045699999999998E-4</v>
      </c>
      <c r="H206">
        <v>3.6582699999999999E-4</v>
      </c>
      <c r="J206" t="str">
        <f t="shared" si="31"/>
        <v>[</v>
      </c>
      <c r="K206" t="str">
        <f t="shared" si="32"/>
        <v>[0.0005136455],</v>
      </c>
      <c r="L206" t="str">
        <f t="shared" si="33"/>
        <v>[0.001027291],</v>
      </c>
      <c r="M206" t="str">
        <f t="shared" si="34"/>
        <v>[0.000543223],</v>
      </c>
      <c r="N206" t="str">
        <f t="shared" si="35"/>
        <v>[0.000353318],</v>
      </c>
      <c r="O206" t="str">
        <f t="shared" si="36"/>
        <v>[0.000374976],</v>
      </c>
      <c r="P206" t="str">
        <f t="shared" si="37"/>
        <v>[0.000640457],</v>
      </c>
      <c r="Q206" t="str">
        <f t="shared" si="38"/>
        <v>[0.000365827]</v>
      </c>
      <c r="R206" t="str">
        <f t="shared" si="39"/>
        <v>]</v>
      </c>
      <c r="S206" t="str">
        <f t="shared" si="40"/>
        <v>[[0.0005136455],[0.001027291],[0.000543223],[0.000353318],[0.000374976],[0.000640457],[0.000365827]]</v>
      </c>
    </row>
    <row r="207" spans="1:19" x14ac:dyDescent="0.2">
      <c r="A207" s="1" t="d">
        <v>2026-03-09</v>
      </c>
      <c r="B207">
        <v>1.0272910000000001E-3</v>
      </c>
      <c r="C207">
        <v>1.0272910000000001E-3</v>
      </c>
      <c r="D207">
        <v>5.4322300000000001E-4</v>
      </c>
      <c r="E207">
        <v>3.5331799999999998E-4</v>
      </c>
      <c r="F207">
        <v>3.7497600000000001E-4</v>
      </c>
      <c r="G207">
        <v>6.4045699999999998E-4</v>
      </c>
      <c r="H207">
        <v>3.6582699999999999E-4</v>
      </c>
      <c r="J207" t="str">
        <f t="shared" si="31"/>
        <v>[</v>
      </c>
      <c r="K207" t="str">
        <f t="shared" si="32"/>
        <v>[0.0005136455],</v>
      </c>
      <c r="L207" t="str">
        <f t="shared" si="33"/>
        <v>[0.001027291],</v>
      </c>
      <c r="M207" t="str">
        <f t="shared" si="34"/>
        <v>[0.000543223],</v>
      </c>
      <c r="N207" t="str">
        <f t="shared" si="35"/>
        <v>[0.000353318],</v>
      </c>
      <c r="O207" t="str">
        <f t="shared" si="36"/>
        <v>[0.000374976],</v>
      </c>
      <c r="P207" t="str">
        <f t="shared" si="37"/>
        <v>[0.000640457],</v>
      </c>
      <c r="Q207" t="str">
        <f t="shared" si="38"/>
        <v>[0.000365827]</v>
      </c>
      <c r="R207" t="str">
        <f t="shared" si="39"/>
        <v>]</v>
      </c>
      <c r="S207" t="str">
        <f t="shared" si="40"/>
        <v>[[0.0005136455],[0.001027291],[0.000543223],[0.000353318],[0.000374976],[0.000640457],[0.000365827]]</v>
      </c>
    </row>
    <row r="208" spans="1:19" x14ac:dyDescent="0.2">
      <c r="A208" s="1" t="d">
        <v>2026-03-10</v>
      </c>
      <c r="B208">
        <v>1.0272910000000001E-3</v>
      </c>
      <c r="C208">
        <v>1.0272910000000001E-3</v>
      </c>
      <c r="D208">
        <v>5.4322300000000001E-4</v>
      </c>
      <c r="E208">
        <v>3.5331799999999998E-4</v>
      </c>
      <c r="F208">
        <v>3.7497600000000001E-4</v>
      </c>
      <c r="G208">
        <v>6.4045699999999998E-4</v>
      </c>
      <c r="H208">
        <v>3.6582699999999999E-4</v>
      </c>
      <c r="J208" t="str">
        <f t="shared" si="31"/>
        <v>[</v>
      </c>
      <c r="K208" t="str">
        <f t="shared" si="32"/>
        <v>[0.0005136455],</v>
      </c>
      <c r="L208" t="str">
        <f t="shared" si="33"/>
        <v>[0.001027291],</v>
      </c>
      <c r="M208" t="str">
        <f t="shared" si="34"/>
        <v>[0.000543223],</v>
      </c>
      <c r="N208" t="str">
        <f t="shared" si="35"/>
        <v>[0.000353318],</v>
      </c>
      <c r="O208" t="str">
        <f t="shared" si="36"/>
        <v>[0.000374976],</v>
      </c>
      <c r="P208" t="str">
        <f t="shared" si="37"/>
        <v>[0.000640457],</v>
      </c>
      <c r="Q208" t="str">
        <f t="shared" si="38"/>
        <v>[0.000365827]</v>
      </c>
      <c r="R208" t="str">
        <f t="shared" si="39"/>
        <v>]</v>
      </c>
      <c r="S208" t="str">
        <f t="shared" si="40"/>
        <v>[[0.0005136455],[0.001027291],[0.000543223],[0.000353318],[0.000374976],[0.000640457],[0.000365827]]</v>
      </c>
    </row>
    <row r="209" spans="1:19" x14ac:dyDescent="0.2">
      <c r="A209" s="1" t="d">
        <v>2026-03-11</v>
      </c>
      <c r="B209">
        <v>1.0272910000000001E-3</v>
      </c>
      <c r="C209">
        <v>1.0272910000000001E-3</v>
      </c>
      <c r="D209">
        <v>5.4322300000000001E-4</v>
      </c>
      <c r="E209">
        <v>3.5331799999999998E-4</v>
      </c>
      <c r="F209">
        <v>3.7497600000000001E-4</v>
      </c>
      <c r="G209">
        <v>6.4045699999999998E-4</v>
      </c>
      <c r="H209">
        <v>3.6582699999999999E-4</v>
      </c>
      <c r="J209" t="str">
        <f t="shared" si="31"/>
        <v>[</v>
      </c>
      <c r="K209" t="str">
        <f t="shared" si="32"/>
        <v>[0.0005136455],</v>
      </c>
      <c r="L209" t="str">
        <f t="shared" si="33"/>
        <v>[0.001027291],</v>
      </c>
      <c r="M209" t="str">
        <f t="shared" si="34"/>
        <v>[0.000543223],</v>
      </c>
      <c r="N209" t="str">
        <f t="shared" si="35"/>
        <v>[0.000353318],</v>
      </c>
      <c r="O209" t="str">
        <f t="shared" si="36"/>
        <v>[0.000374976],</v>
      </c>
      <c r="P209" t="str">
        <f t="shared" si="37"/>
        <v>[0.000640457],</v>
      </c>
      <c r="Q209" t="str">
        <f t="shared" si="38"/>
        <v>[0.000365827]</v>
      </c>
      <c r="R209" t="str">
        <f t="shared" si="39"/>
        <v>]</v>
      </c>
      <c r="S209" t="str">
        <f t="shared" si="40"/>
        <v>[[0.0005136455],[0.001027291],[0.000543223],[0.000353318],[0.000374976],[0.000640457],[0.000365827]]</v>
      </c>
    </row>
    <row r="210" spans="1:19" x14ac:dyDescent="0.2">
      <c r="A210" s="1" t="d">
        <v>2026-03-12</v>
      </c>
      <c r="B210">
        <v>1.0272910000000001E-3</v>
      </c>
      <c r="C210">
        <v>1.0272910000000001E-3</v>
      </c>
      <c r="D210">
        <v>5.4322300000000001E-4</v>
      </c>
      <c r="E210">
        <v>3.5331799999999998E-4</v>
      </c>
      <c r="F210">
        <v>3.7497600000000001E-4</v>
      </c>
      <c r="G210">
        <v>6.4045699999999998E-4</v>
      </c>
      <c r="H210">
        <v>3.6582699999999999E-4</v>
      </c>
      <c r="J210" t="str">
        <f t="shared" si="31"/>
        <v>[</v>
      </c>
      <c r="K210" t="str">
        <f t="shared" si="32"/>
        <v>[0.0005136455],</v>
      </c>
      <c r="L210" t="str">
        <f t="shared" si="33"/>
        <v>[0.001027291],</v>
      </c>
      <c r="M210" t="str">
        <f t="shared" si="34"/>
        <v>[0.000543223],</v>
      </c>
      <c r="N210" t="str">
        <f t="shared" si="35"/>
        <v>[0.000353318],</v>
      </c>
      <c r="O210" t="str">
        <f t="shared" si="36"/>
        <v>[0.000374976],</v>
      </c>
      <c r="P210" t="str">
        <f t="shared" si="37"/>
        <v>[0.000640457],</v>
      </c>
      <c r="Q210" t="str">
        <f t="shared" si="38"/>
        <v>[0.000365827]</v>
      </c>
      <c r="R210" t="str">
        <f t="shared" si="39"/>
        <v>]</v>
      </c>
      <c r="S210" t="str">
        <f t="shared" si="40"/>
        <v>[[0.0005136455],[0.001027291],[0.000543223],[0.000353318],[0.000374976],[0.000640457],[0.000365827]]</v>
      </c>
    </row>
    <row r="211" spans="1:19" x14ac:dyDescent="0.2">
      <c r="A211" s="1" t="d">
        <v>2026-03-13</v>
      </c>
      <c r="B211">
        <v>1.0272910000000001E-3</v>
      </c>
      <c r="C211">
        <v>1.0272910000000001E-3</v>
      </c>
      <c r="D211">
        <v>5.4322300000000001E-4</v>
      </c>
      <c r="E211">
        <v>3.5331799999999998E-4</v>
      </c>
      <c r="F211">
        <v>3.7497600000000001E-4</v>
      </c>
      <c r="G211">
        <v>6.4045699999999998E-4</v>
      </c>
      <c r="H211">
        <v>3.6582699999999999E-4</v>
      </c>
      <c r="J211" t="str">
        <f t="shared" si="31"/>
        <v>[</v>
      </c>
      <c r="K211" t="str">
        <f t="shared" si="32"/>
        <v>[0.0005136455],</v>
      </c>
      <c r="L211" t="str">
        <f t="shared" si="33"/>
        <v>[0.001027291],</v>
      </c>
      <c r="M211" t="str">
        <f t="shared" si="34"/>
        <v>[0.000543223],</v>
      </c>
      <c r="N211" t="str">
        <f t="shared" si="35"/>
        <v>[0.000353318],</v>
      </c>
      <c r="O211" t="str">
        <f t="shared" si="36"/>
        <v>[0.000374976],</v>
      </c>
      <c r="P211" t="str">
        <f t="shared" si="37"/>
        <v>[0.000640457],</v>
      </c>
      <c r="Q211" t="str">
        <f t="shared" si="38"/>
        <v>[0.000365827]</v>
      </c>
      <c r="R211" t="str">
        <f t="shared" si="39"/>
        <v>]</v>
      </c>
      <c r="S211" t="str">
        <f t="shared" si="40"/>
        <v>[[0.0005136455],[0.001027291],[0.000543223],[0.000353318],[0.000374976],[0.000640457],[0.000365827]]</v>
      </c>
    </row>
    <row r="212" spans="1:19" x14ac:dyDescent="0.2">
      <c r="A212" s="1" t="d">
        <v>2026-03-14</v>
      </c>
      <c r="B212">
        <v>7.29679E-4</v>
      </c>
      <c r="C212">
        <v>7.29679E-4</v>
      </c>
      <c r="D212">
        <v>3.3696699999999997E-4</v>
      </c>
      <c r="E212">
        <v>2.69545E-4</v>
      </c>
      <c r="F212">
        <v>2.8700299999999998E-4</v>
      </c>
      <c r="G212">
        <v>3.4565399999999998E-4</v>
      </c>
      <c r="H212">
        <v>3.5985800000000001E-4</v>
      </c>
      <c r="J212" t="str">
        <f t="shared" si="31"/>
        <v>[</v>
      </c>
      <c r="K212" t="str">
        <f t="shared" si="32"/>
        <v>[0.0003648395],</v>
      </c>
      <c r="L212" t="str">
        <f t="shared" si="33"/>
        <v>[0.000729679],</v>
      </c>
      <c r="M212" t="str">
        <f t="shared" si="34"/>
        <v>[0.000336967],</v>
      </c>
      <c r="N212" t="str">
        <f t="shared" si="35"/>
        <v>[0.000269545],</v>
      </c>
      <c r="O212" t="str">
        <f t="shared" si="36"/>
        <v>[0.000287003],</v>
      </c>
      <c r="P212" t="str">
        <f t="shared" si="37"/>
        <v>[0.000345654],</v>
      </c>
      <c r="Q212" t="str">
        <f t="shared" si="38"/>
        <v>[0.000359858]</v>
      </c>
      <c r="R212" t="str">
        <f t="shared" si="39"/>
        <v>]</v>
      </c>
      <c r="S212" t="str">
        <f t="shared" si="40"/>
        <v>[[0.0003648395],[0.000729679],[0.000336967],[0.000269545],[0.000287003],[0.000345654],[0.000359858]]</v>
      </c>
    </row>
    <row r="213" spans="1:19" x14ac:dyDescent="0.2">
      <c r="A213" s="1" t="d">
        <v>2026-03-15</v>
      </c>
      <c r="B213">
        <v>7.29679E-4</v>
      </c>
      <c r="C213">
        <v>7.29679E-4</v>
      </c>
      <c r="D213">
        <v>3.3696699999999997E-4</v>
      </c>
      <c r="E213">
        <v>2.69545E-4</v>
      </c>
      <c r="F213">
        <v>2.8700299999999998E-4</v>
      </c>
      <c r="G213">
        <v>3.4565399999999998E-4</v>
      </c>
      <c r="H213">
        <v>3.5985800000000001E-4</v>
      </c>
      <c r="J213" t="str">
        <f t="shared" si="31"/>
        <v>[</v>
      </c>
      <c r="K213" t="str">
        <f t="shared" si="32"/>
        <v>[0.0003648395],</v>
      </c>
      <c r="L213" t="str">
        <f t="shared" si="33"/>
        <v>[0.000729679],</v>
      </c>
      <c r="M213" t="str">
        <f t="shared" si="34"/>
        <v>[0.000336967],</v>
      </c>
      <c r="N213" t="str">
        <f t="shared" si="35"/>
        <v>[0.000269545],</v>
      </c>
      <c r="O213" t="str">
        <f t="shared" si="36"/>
        <v>[0.000287003],</v>
      </c>
      <c r="P213" t="str">
        <f t="shared" si="37"/>
        <v>[0.000345654],</v>
      </c>
      <c r="Q213" t="str">
        <f t="shared" si="38"/>
        <v>[0.000359858]</v>
      </c>
      <c r="R213" t="str">
        <f t="shared" si="39"/>
        <v>]</v>
      </c>
      <c r="S213" t="str">
        <f t="shared" si="40"/>
        <v>[[0.0003648395],[0.000729679],[0.000336967],[0.000269545],[0.000287003],[0.000345654],[0.000359858]]</v>
      </c>
    </row>
    <row r="214" spans="1:19" x14ac:dyDescent="0.2">
      <c r="A214" s="1" t="d">
        <v>2026-03-16</v>
      </c>
      <c r="B214">
        <v>7.29679E-4</v>
      </c>
      <c r="C214">
        <v>7.29679E-4</v>
      </c>
      <c r="D214">
        <v>3.3696699999999997E-4</v>
      </c>
      <c r="E214">
        <v>2.69545E-4</v>
      </c>
      <c r="F214">
        <v>2.8700299999999998E-4</v>
      </c>
      <c r="G214">
        <v>3.4565399999999998E-4</v>
      </c>
      <c r="H214">
        <v>3.5985800000000001E-4</v>
      </c>
      <c r="J214" t="str">
        <f t="shared" si="31"/>
        <v>[</v>
      </c>
      <c r="K214" t="str">
        <f t="shared" si="32"/>
        <v>[0.0003648395],</v>
      </c>
      <c r="L214" t="str">
        <f t="shared" si="33"/>
        <v>[0.000729679],</v>
      </c>
      <c r="M214" t="str">
        <f t="shared" si="34"/>
        <v>[0.000336967],</v>
      </c>
      <c r="N214" t="str">
        <f t="shared" si="35"/>
        <v>[0.000269545],</v>
      </c>
      <c r="O214" t="str">
        <f t="shared" si="36"/>
        <v>[0.000287003],</v>
      </c>
      <c r="P214" t="str">
        <f t="shared" si="37"/>
        <v>[0.000345654],</v>
      </c>
      <c r="Q214" t="str">
        <f t="shared" si="38"/>
        <v>[0.000359858]</v>
      </c>
      <c r="R214" t="str">
        <f t="shared" si="39"/>
        <v>]</v>
      </c>
      <c r="S214" t="str">
        <f t="shared" si="40"/>
        <v>[[0.0003648395],[0.000729679],[0.000336967],[0.000269545],[0.000287003],[0.000345654],[0.000359858]]</v>
      </c>
    </row>
    <row r="215" spans="1:19" x14ac:dyDescent="0.2">
      <c r="A215" s="1" t="d">
        <v>2026-03-17</v>
      </c>
      <c r="B215">
        <v>7.29679E-4</v>
      </c>
      <c r="C215">
        <v>7.29679E-4</v>
      </c>
      <c r="D215">
        <v>3.3696699999999997E-4</v>
      </c>
      <c r="E215">
        <v>2.69545E-4</v>
      </c>
      <c r="F215">
        <v>2.8700299999999998E-4</v>
      </c>
      <c r="G215">
        <v>3.4565399999999998E-4</v>
      </c>
      <c r="H215">
        <v>3.5985800000000001E-4</v>
      </c>
      <c r="J215" t="str">
        <f t="shared" si="31"/>
        <v>[</v>
      </c>
      <c r="K215" t="str">
        <f t="shared" si="32"/>
        <v>[0.0003648395],</v>
      </c>
      <c r="L215" t="str">
        <f t="shared" si="33"/>
        <v>[0.000729679],</v>
      </c>
      <c r="M215" t="str">
        <f t="shared" si="34"/>
        <v>[0.000336967],</v>
      </c>
      <c r="N215" t="str">
        <f t="shared" si="35"/>
        <v>[0.000269545],</v>
      </c>
      <c r="O215" t="str">
        <f t="shared" si="36"/>
        <v>[0.000287003],</v>
      </c>
      <c r="P215" t="str">
        <f t="shared" si="37"/>
        <v>[0.000345654],</v>
      </c>
      <c r="Q215" t="str">
        <f t="shared" si="38"/>
        <v>[0.000359858]</v>
      </c>
      <c r="R215" t="str">
        <f t="shared" si="39"/>
        <v>]</v>
      </c>
      <c r="S215" t="str">
        <f t="shared" si="40"/>
        <v>[[0.0003648395],[0.000729679],[0.000336967],[0.000269545],[0.000287003],[0.000345654],[0.000359858]]</v>
      </c>
    </row>
    <row r="216" spans="1:19" x14ac:dyDescent="0.2">
      <c r="A216" s="1" t="d">
        <v>2026-03-18</v>
      </c>
      <c r="B216">
        <v>7.29679E-4</v>
      </c>
      <c r="C216">
        <v>7.29679E-4</v>
      </c>
      <c r="D216">
        <v>3.3696699999999997E-4</v>
      </c>
      <c r="E216">
        <v>2.69545E-4</v>
      </c>
      <c r="F216">
        <v>2.8700299999999998E-4</v>
      </c>
      <c r="G216">
        <v>3.4565399999999998E-4</v>
      </c>
      <c r="H216">
        <v>3.5985800000000001E-4</v>
      </c>
      <c r="J216" t="str">
        <f t="shared" si="31"/>
        <v>[</v>
      </c>
      <c r="K216" t="str">
        <f t="shared" si="32"/>
        <v>[0.0003648395],</v>
      </c>
      <c r="L216" t="str">
        <f t="shared" si="33"/>
        <v>[0.000729679],</v>
      </c>
      <c r="M216" t="str">
        <f t="shared" si="34"/>
        <v>[0.000336967],</v>
      </c>
      <c r="N216" t="str">
        <f t="shared" si="35"/>
        <v>[0.000269545],</v>
      </c>
      <c r="O216" t="str">
        <f t="shared" si="36"/>
        <v>[0.000287003],</v>
      </c>
      <c r="P216" t="str">
        <f t="shared" si="37"/>
        <v>[0.000345654],</v>
      </c>
      <c r="Q216" t="str">
        <f t="shared" si="38"/>
        <v>[0.000359858]</v>
      </c>
      <c r="R216" t="str">
        <f t="shared" si="39"/>
        <v>]</v>
      </c>
      <c r="S216" t="str">
        <f t="shared" si="40"/>
        <v>[[0.0003648395],[0.000729679],[0.000336967],[0.000269545],[0.000287003],[0.000345654],[0.000359858]]</v>
      </c>
    </row>
    <row r="217" spans="1:19" x14ac:dyDescent="0.2">
      <c r="A217" s="1" t="d">
        <v>2026-03-19</v>
      </c>
      <c r="B217">
        <v>7.29679E-4</v>
      </c>
      <c r="C217">
        <v>7.29679E-4</v>
      </c>
      <c r="D217">
        <v>3.3696699999999997E-4</v>
      </c>
      <c r="E217">
        <v>2.69545E-4</v>
      </c>
      <c r="F217">
        <v>2.8700299999999998E-4</v>
      </c>
      <c r="G217">
        <v>3.4565399999999998E-4</v>
      </c>
      <c r="H217">
        <v>3.5985800000000001E-4</v>
      </c>
      <c r="J217" t="str">
        <f t="shared" si="31"/>
        <v>[</v>
      </c>
      <c r="K217" t="str">
        <f t="shared" si="32"/>
        <v>[0.0003648395],</v>
      </c>
      <c r="L217" t="str">
        <f t="shared" si="33"/>
        <v>[0.000729679],</v>
      </c>
      <c r="M217" t="str">
        <f t="shared" si="34"/>
        <v>[0.000336967],</v>
      </c>
      <c r="N217" t="str">
        <f t="shared" si="35"/>
        <v>[0.000269545],</v>
      </c>
      <c r="O217" t="str">
        <f t="shared" si="36"/>
        <v>[0.000287003],</v>
      </c>
      <c r="P217" t="str">
        <f t="shared" si="37"/>
        <v>[0.000345654],</v>
      </c>
      <c r="Q217" t="str">
        <f t="shared" si="38"/>
        <v>[0.000359858]</v>
      </c>
      <c r="R217" t="str">
        <f t="shared" si="39"/>
        <v>]</v>
      </c>
      <c r="S217" t="str">
        <f t="shared" si="40"/>
        <v>[[0.0003648395],[0.000729679],[0.000336967],[0.000269545],[0.000287003],[0.000345654],[0.000359858]]</v>
      </c>
    </row>
    <row r="218" spans="1:19" x14ac:dyDescent="0.2">
      <c r="A218" s="1" t="d">
        <v>2026-03-20</v>
      </c>
      <c r="B218">
        <v>7.29679E-4</v>
      </c>
      <c r="C218">
        <v>7.29679E-4</v>
      </c>
      <c r="D218">
        <v>3.3696699999999997E-4</v>
      </c>
      <c r="E218">
        <v>2.69545E-4</v>
      </c>
      <c r="F218">
        <v>2.8700299999999998E-4</v>
      </c>
      <c r="G218">
        <v>3.4565399999999998E-4</v>
      </c>
      <c r="H218">
        <v>3.5985800000000001E-4</v>
      </c>
      <c r="J218" t="str">
        <f t="shared" si="31"/>
        <v>[</v>
      </c>
      <c r="K218" t="str">
        <f t="shared" si="32"/>
        <v>[0.0003648395],</v>
      </c>
      <c r="L218" t="str">
        <f t="shared" si="33"/>
        <v>[0.000729679],</v>
      </c>
      <c r="M218" t="str">
        <f t="shared" si="34"/>
        <v>[0.000336967],</v>
      </c>
      <c r="N218" t="str">
        <f t="shared" si="35"/>
        <v>[0.000269545],</v>
      </c>
      <c r="O218" t="str">
        <f t="shared" si="36"/>
        <v>[0.000287003],</v>
      </c>
      <c r="P218" t="str">
        <f t="shared" si="37"/>
        <v>[0.000345654],</v>
      </c>
      <c r="Q218" t="str">
        <f t="shared" si="38"/>
        <v>[0.000359858]</v>
      </c>
      <c r="R218" t="str">
        <f t="shared" si="39"/>
        <v>]</v>
      </c>
      <c r="S218" t="str">
        <f t="shared" si="40"/>
        <v>[[0.0003648395],[0.000729679],[0.000336967],[0.000269545],[0.000287003],[0.000345654],[0.000359858]]</v>
      </c>
    </row>
    <row r="219" spans="1:19" x14ac:dyDescent="0.2">
      <c r="A219" s="1" t="d">
        <v>2026-03-21</v>
      </c>
      <c r="B219">
        <v>4.7813499999999997E-4</v>
      </c>
      <c r="C219">
        <v>4.7813499999999997E-4</v>
      </c>
      <c r="D219">
        <v>1.8939299999999999E-4</v>
      </c>
      <c r="E219">
        <v>2.0235000000000001E-4</v>
      </c>
      <c r="F219">
        <v>2.24026E-4</v>
      </c>
      <c r="G219">
        <v>1.3821600000000001E-4</v>
      </c>
      <c r="H219">
        <v>3.6629799999999998E-4</v>
      </c>
      <c r="J219" t="str">
        <f t="shared" si="31"/>
        <v>[</v>
      </c>
      <c r="K219" t="str">
        <f t="shared" si="32"/>
        <v>[0.0002390675],</v>
      </c>
      <c r="L219" t="str">
        <f t="shared" si="33"/>
        <v>[0.000478135],</v>
      </c>
      <c r="M219" t="str">
        <f t="shared" si="34"/>
        <v>[0.000189393],</v>
      </c>
      <c r="N219" t="str">
        <f t="shared" si="35"/>
        <v>[0.00020235],</v>
      </c>
      <c r="O219" t="str">
        <f t="shared" si="36"/>
        <v>[0.000224026],</v>
      </c>
      <c r="P219" t="str">
        <f t="shared" si="37"/>
        <v>[0.000138216],</v>
      </c>
      <c r="Q219" t="str">
        <f t="shared" si="38"/>
        <v>[0.000366298]</v>
      </c>
      <c r="R219" t="str">
        <f t="shared" si="39"/>
        <v>]</v>
      </c>
      <c r="S219" t="str">
        <f t="shared" si="40"/>
        <v>[[0.0002390675],[0.000478135],[0.000189393],[0.00020235],[0.000224026],[0.000138216],[0.000366298]]</v>
      </c>
    </row>
    <row r="220" spans="1:19" x14ac:dyDescent="0.2">
      <c r="A220" s="1" t="d">
        <v>2026-03-22</v>
      </c>
      <c r="B220">
        <v>4.7813499999999997E-4</v>
      </c>
      <c r="C220">
        <v>4.7813499999999997E-4</v>
      </c>
      <c r="D220">
        <v>1.8939299999999999E-4</v>
      </c>
      <c r="E220">
        <v>2.0235000000000001E-4</v>
      </c>
      <c r="F220">
        <v>2.24026E-4</v>
      </c>
      <c r="G220">
        <v>1.3821600000000001E-4</v>
      </c>
      <c r="H220">
        <v>3.6629799999999998E-4</v>
      </c>
      <c r="J220" t="str">
        <f t="shared" si="31"/>
        <v>[</v>
      </c>
      <c r="K220" t="str">
        <f t="shared" si="32"/>
        <v>[0.0002390675],</v>
      </c>
      <c r="L220" t="str">
        <f t="shared" si="33"/>
        <v>[0.000478135],</v>
      </c>
      <c r="M220" t="str">
        <f t="shared" si="34"/>
        <v>[0.000189393],</v>
      </c>
      <c r="N220" t="str">
        <f t="shared" si="35"/>
        <v>[0.00020235],</v>
      </c>
      <c r="O220" t="str">
        <f t="shared" si="36"/>
        <v>[0.000224026],</v>
      </c>
      <c r="P220" t="str">
        <f t="shared" si="37"/>
        <v>[0.000138216],</v>
      </c>
      <c r="Q220" t="str">
        <f t="shared" si="38"/>
        <v>[0.000366298]</v>
      </c>
      <c r="R220" t="str">
        <f t="shared" si="39"/>
        <v>]</v>
      </c>
      <c r="S220" t="str">
        <f t="shared" si="40"/>
        <v>[[0.0002390675],[0.000478135],[0.000189393],[0.00020235],[0.000224026],[0.000138216],[0.000366298]]</v>
      </c>
    </row>
    <row r="221" spans="1:19" x14ac:dyDescent="0.2">
      <c r="A221" s="1" t="d">
        <v>2026-03-23</v>
      </c>
      <c r="B221">
        <v>4.7813499999999997E-4</v>
      </c>
      <c r="C221">
        <v>4.7813499999999997E-4</v>
      </c>
      <c r="D221">
        <v>1.8939299999999999E-4</v>
      </c>
      <c r="E221">
        <v>2.0235000000000001E-4</v>
      </c>
      <c r="F221">
        <v>2.24026E-4</v>
      </c>
      <c r="G221">
        <v>1.3821600000000001E-4</v>
      </c>
      <c r="H221">
        <v>3.6629799999999998E-4</v>
      </c>
      <c r="J221" t="str">
        <f t="shared" si="31"/>
        <v>[</v>
      </c>
      <c r="K221" t="str">
        <f t="shared" si="32"/>
        <v>[0.0002390675],</v>
      </c>
      <c r="L221" t="str">
        <f t="shared" si="33"/>
        <v>[0.000478135],</v>
      </c>
      <c r="M221" t="str">
        <f t="shared" si="34"/>
        <v>[0.000189393],</v>
      </c>
      <c r="N221" t="str">
        <f t="shared" si="35"/>
        <v>[0.00020235],</v>
      </c>
      <c r="O221" t="str">
        <f t="shared" si="36"/>
        <v>[0.000224026],</v>
      </c>
      <c r="P221" t="str">
        <f t="shared" si="37"/>
        <v>[0.000138216],</v>
      </c>
      <c r="Q221" t="str">
        <f t="shared" si="38"/>
        <v>[0.000366298]</v>
      </c>
      <c r="R221" t="str">
        <f t="shared" si="39"/>
        <v>]</v>
      </c>
      <c r="S221" t="str">
        <f t="shared" si="40"/>
        <v>[[0.0002390675],[0.000478135],[0.000189393],[0.00020235],[0.000224026],[0.000138216],[0.000366298]]</v>
      </c>
    </row>
    <row r="222" spans="1:19" x14ac:dyDescent="0.2">
      <c r="A222" s="1" t="d">
        <v>2026-03-24</v>
      </c>
      <c r="B222">
        <v>4.7813499999999997E-4</v>
      </c>
      <c r="C222">
        <v>4.7813499999999997E-4</v>
      </c>
      <c r="D222">
        <v>1.8939299999999999E-4</v>
      </c>
      <c r="E222">
        <v>2.0235000000000001E-4</v>
      </c>
      <c r="F222">
        <v>2.24026E-4</v>
      </c>
      <c r="G222">
        <v>1.3821600000000001E-4</v>
      </c>
      <c r="H222">
        <v>3.6629799999999998E-4</v>
      </c>
      <c r="J222" t="str">
        <f t="shared" si="31"/>
        <v>[</v>
      </c>
      <c r="K222" t="str">
        <f t="shared" si="32"/>
        <v>[0.0002390675],</v>
      </c>
      <c r="L222" t="str">
        <f t="shared" si="33"/>
        <v>[0.000478135],</v>
      </c>
      <c r="M222" t="str">
        <f t="shared" si="34"/>
        <v>[0.000189393],</v>
      </c>
      <c r="N222" t="str">
        <f t="shared" si="35"/>
        <v>[0.00020235],</v>
      </c>
      <c r="O222" t="str">
        <f t="shared" si="36"/>
        <v>[0.000224026],</v>
      </c>
      <c r="P222" t="str">
        <f t="shared" si="37"/>
        <v>[0.000138216],</v>
      </c>
      <c r="Q222" t="str">
        <f t="shared" si="38"/>
        <v>[0.000366298]</v>
      </c>
      <c r="R222" t="str">
        <f t="shared" si="39"/>
        <v>]</v>
      </c>
      <c r="S222" t="str">
        <f t="shared" si="40"/>
        <v>[[0.0002390675],[0.000478135],[0.000189393],[0.00020235],[0.000224026],[0.000138216],[0.000366298]]</v>
      </c>
    </row>
    <row r="223" spans="1:19" x14ac:dyDescent="0.2">
      <c r="A223" s="1" t="d">
        <v>2026-03-25</v>
      </c>
      <c r="B223">
        <v>4.7813499999999997E-4</v>
      </c>
      <c r="C223">
        <v>4.7813499999999997E-4</v>
      </c>
      <c r="D223">
        <v>1.8939299999999999E-4</v>
      </c>
      <c r="E223">
        <v>2.0235000000000001E-4</v>
      </c>
      <c r="F223">
        <v>2.24026E-4</v>
      </c>
      <c r="G223">
        <v>1.3821600000000001E-4</v>
      </c>
      <c r="H223">
        <v>3.6629799999999998E-4</v>
      </c>
      <c r="J223" t="str">
        <f t="shared" si="31"/>
        <v>[</v>
      </c>
      <c r="K223" t="str">
        <f t="shared" si="32"/>
        <v>[0.0002390675],</v>
      </c>
      <c r="L223" t="str">
        <f t="shared" si="33"/>
        <v>[0.000478135],</v>
      </c>
      <c r="M223" t="str">
        <f t="shared" si="34"/>
        <v>[0.000189393],</v>
      </c>
      <c r="N223" t="str">
        <f t="shared" si="35"/>
        <v>[0.00020235],</v>
      </c>
      <c r="O223" t="str">
        <f t="shared" si="36"/>
        <v>[0.000224026],</v>
      </c>
      <c r="P223" t="str">
        <f t="shared" si="37"/>
        <v>[0.000138216],</v>
      </c>
      <c r="Q223" t="str">
        <f t="shared" si="38"/>
        <v>[0.000366298]</v>
      </c>
      <c r="R223" t="str">
        <f t="shared" si="39"/>
        <v>]</v>
      </c>
      <c r="S223" t="str">
        <f t="shared" si="40"/>
        <v>[[0.0002390675],[0.000478135],[0.000189393],[0.00020235],[0.000224026],[0.000138216],[0.000366298]]</v>
      </c>
    </row>
    <row r="224" spans="1:19" x14ac:dyDescent="0.2">
      <c r="A224" s="1" t="d">
        <v>2026-03-26</v>
      </c>
      <c r="B224">
        <v>4.7813499999999997E-4</v>
      </c>
      <c r="C224">
        <v>4.7813499999999997E-4</v>
      </c>
      <c r="D224">
        <v>1.8939299999999999E-4</v>
      </c>
      <c r="E224">
        <v>2.0235000000000001E-4</v>
      </c>
      <c r="F224">
        <v>2.24026E-4</v>
      </c>
      <c r="G224">
        <v>1.3821600000000001E-4</v>
      </c>
      <c r="H224">
        <v>3.6629799999999998E-4</v>
      </c>
      <c r="J224" t="str">
        <f t="shared" si="31"/>
        <v>[</v>
      </c>
      <c r="K224" t="str">
        <f t="shared" si="32"/>
        <v>[0.0002390675],</v>
      </c>
      <c r="L224" t="str">
        <f t="shared" si="33"/>
        <v>[0.000478135],</v>
      </c>
      <c r="M224" t="str">
        <f t="shared" si="34"/>
        <v>[0.000189393],</v>
      </c>
      <c r="N224" t="str">
        <f t="shared" si="35"/>
        <v>[0.00020235],</v>
      </c>
      <c r="O224" t="str">
        <f t="shared" si="36"/>
        <v>[0.000224026],</v>
      </c>
      <c r="P224" t="str">
        <f t="shared" si="37"/>
        <v>[0.000138216],</v>
      </c>
      <c r="Q224" t="str">
        <f t="shared" si="38"/>
        <v>[0.000366298]</v>
      </c>
      <c r="R224" t="str">
        <f t="shared" si="39"/>
        <v>]</v>
      </c>
      <c r="S224" t="str">
        <f t="shared" si="40"/>
        <v>[[0.0002390675],[0.000478135],[0.000189393],[0.00020235],[0.000224026],[0.000138216],[0.000366298]]</v>
      </c>
    </row>
    <row r="225" spans="1:19" x14ac:dyDescent="0.2">
      <c r="A225" s="1" t="d">
        <v>2026-03-27</v>
      </c>
      <c r="B225">
        <v>4.7813499999999997E-4</v>
      </c>
      <c r="C225">
        <v>4.7813499999999997E-4</v>
      </c>
      <c r="D225">
        <v>1.8939299999999999E-4</v>
      </c>
      <c r="E225">
        <v>2.0235000000000001E-4</v>
      </c>
      <c r="F225">
        <v>2.24026E-4</v>
      </c>
      <c r="G225">
        <v>1.3821600000000001E-4</v>
      </c>
      <c r="H225">
        <v>3.6629799999999998E-4</v>
      </c>
      <c r="J225" t="str">
        <f t="shared" si="31"/>
        <v>[</v>
      </c>
      <c r="K225" t="str">
        <f t="shared" si="32"/>
        <v>[0.0002390675],</v>
      </c>
      <c r="L225" t="str">
        <f t="shared" si="33"/>
        <v>[0.000478135],</v>
      </c>
      <c r="M225" t="str">
        <f t="shared" si="34"/>
        <v>[0.000189393],</v>
      </c>
      <c r="N225" t="str">
        <f t="shared" si="35"/>
        <v>[0.00020235],</v>
      </c>
      <c r="O225" t="str">
        <f t="shared" si="36"/>
        <v>[0.000224026],</v>
      </c>
      <c r="P225" t="str">
        <f t="shared" si="37"/>
        <v>[0.000138216],</v>
      </c>
      <c r="Q225" t="str">
        <f t="shared" si="38"/>
        <v>[0.000366298]</v>
      </c>
      <c r="R225" t="str">
        <f t="shared" si="39"/>
        <v>]</v>
      </c>
      <c r="S225" t="str">
        <f t="shared" si="40"/>
        <v>[[0.0002390675],[0.000478135],[0.000189393],[0.00020235],[0.000224026],[0.000138216],[0.000366298]]</v>
      </c>
    </row>
    <row r="226" spans="1:19" x14ac:dyDescent="0.2">
      <c r="A226" s="1" t="d">
        <v>2026-03-28</v>
      </c>
      <c r="B226">
        <v>4.1743699999999999E-4</v>
      </c>
      <c r="C226">
        <v>4.1743699999999999E-4</v>
      </c>
      <c r="D226">
        <v>2.15952E-4</v>
      </c>
      <c r="E226">
        <v>2.1741999999999999E-4</v>
      </c>
      <c r="F226">
        <v>2.9626199999999999E-4</v>
      </c>
      <c r="G226">
        <v>1.8930100000000001E-4</v>
      </c>
      <c r="H226">
        <v>5.16271E-4</v>
      </c>
      <c r="J226" t="str">
        <f t="shared" si="31"/>
        <v>[</v>
      </c>
      <c r="K226" t="str">
        <f t="shared" si="32"/>
        <v>[0.0002087185],</v>
      </c>
      <c r="L226" t="str">
        <f t="shared" si="33"/>
        <v>[0.000417437],</v>
      </c>
      <c r="M226" t="str">
        <f t="shared" si="34"/>
        <v>[0.000215952],</v>
      </c>
      <c r="N226" t="str">
        <f t="shared" si="35"/>
        <v>[0.00021742],</v>
      </c>
      <c r="O226" t="str">
        <f t="shared" si="36"/>
        <v>[0.000296262],</v>
      </c>
      <c r="P226" t="str">
        <f t="shared" si="37"/>
        <v>[0.000189301],</v>
      </c>
      <c r="Q226" t="str">
        <f t="shared" si="38"/>
        <v>[0.000516271]</v>
      </c>
      <c r="R226" t="str">
        <f t="shared" si="39"/>
        <v>]</v>
      </c>
      <c r="S226" t="str">
        <f t="shared" si="40"/>
        <v>[[0.0002087185],[0.000417437],[0.000215952],[0.00021742],[0.000296262],[0.000189301],[0.000516271]]</v>
      </c>
    </row>
    <row r="227" spans="1:19" x14ac:dyDescent="0.2">
      <c r="A227" s="1" t="d">
        <v>2026-03-29</v>
      </c>
      <c r="B227">
        <v>4.1743699999999999E-4</v>
      </c>
      <c r="C227">
        <v>4.1743699999999999E-4</v>
      </c>
      <c r="D227">
        <v>2.15952E-4</v>
      </c>
      <c r="E227">
        <v>2.1741999999999999E-4</v>
      </c>
      <c r="F227">
        <v>2.9626199999999999E-4</v>
      </c>
      <c r="G227">
        <v>1.8930100000000001E-4</v>
      </c>
      <c r="H227">
        <v>5.16271E-4</v>
      </c>
      <c r="J227" t="str">
        <f t="shared" si="31"/>
        <v>[</v>
      </c>
      <c r="K227" t="str">
        <f t="shared" si="32"/>
        <v>[0.0002087185],</v>
      </c>
      <c r="L227" t="str">
        <f t="shared" si="33"/>
        <v>[0.000417437],</v>
      </c>
      <c r="M227" t="str">
        <f t="shared" si="34"/>
        <v>[0.000215952],</v>
      </c>
      <c r="N227" t="str">
        <f t="shared" si="35"/>
        <v>[0.00021742],</v>
      </c>
      <c r="O227" t="str">
        <f t="shared" si="36"/>
        <v>[0.000296262],</v>
      </c>
      <c r="P227" t="str">
        <f t="shared" si="37"/>
        <v>[0.000189301],</v>
      </c>
      <c r="Q227" t="str">
        <f t="shared" si="38"/>
        <v>[0.000516271]</v>
      </c>
      <c r="R227" t="str">
        <f t="shared" si="39"/>
        <v>]</v>
      </c>
      <c r="S227" t="str">
        <f t="shared" si="40"/>
        <v>[[0.0002087185],[0.000417437],[0.000215952],[0.00021742],[0.000296262],[0.000189301],[0.000516271]]</v>
      </c>
    </row>
    <row r="228" spans="1:19" x14ac:dyDescent="0.2">
      <c r="A228" s="1" t="d">
        <v>2026-03-30</v>
      </c>
      <c r="B228">
        <v>4.1743699999999999E-4</v>
      </c>
      <c r="C228">
        <v>4.1743699999999999E-4</v>
      </c>
      <c r="D228">
        <v>2.15952E-4</v>
      </c>
      <c r="E228">
        <v>2.1741999999999999E-4</v>
      </c>
      <c r="F228">
        <v>2.9626199999999999E-4</v>
      </c>
      <c r="G228">
        <v>1.8930100000000001E-4</v>
      </c>
      <c r="H228">
        <v>5.16271E-4</v>
      </c>
      <c r="J228" t="str">
        <f t="shared" si="31"/>
        <v>[</v>
      </c>
      <c r="K228" t="str">
        <f t="shared" si="32"/>
        <v>[0.0002087185],</v>
      </c>
      <c r="L228" t="str">
        <f t="shared" si="33"/>
        <v>[0.000417437],</v>
      </c>
      <c r="M228" t="str">
        <f t="shared" si="34"/>
        <v>[0.000215952],</v>
      </c>
      <c r="N228" t="str">
        <f t="shared" si="35"/>
        <v>[0.00021742],</v>
      </c>
      <c r="O228" t="str">
        <f t="shared" si="36"/>
        <v>[0.000296262],</v>
      </c>
      <c r="P228" t="str">
        <f t="shared" si="37"/>
        <v>[0.000189301],</v>
      </c>
      <c r="Q228" t="str">
        <f t="shared" si="38"/>
        <v>[0.000516271]</v>
      </c>
      <c r="R228" t="str">
        <f t="shared" si="39"/>
        <v>]</v>
      </c>
      <c r="S228" t="str">
        <f t="shared" si="40"/>
        <v>[[0.0002087185],[0.000417437],[0.000215952],[0.00021742],[0.000296262],[0.000189301],[0.000516271]]</v>
      </c>
    </row>
    <row r="229" spans="1:19" x14ac:dyDescent="0.2">
      <c r="A229" s="1" t="d">
        <v>2026-03-31</v>
      </c>
      <c r="B229">
        <v>4.1743699999999999E-4</v>
      </c>
      <c r="C229">
        <v>4.1743699999999999E-4</v>
      </c>
      <c r="D229">
        <v>2.15952E-4</v>
      </c>
      <c r="E229">
        <v>2.1741999999999999E-4</v>
      </c>
      <c r="F229">
        <v>2.9626199999999999E-4</v>
      </c>
      <c r="G229">
        <v>1.8930100000000001E-4</v>
      </c>
      <c r="H229">
        <v>5.16271E-4</v>
      </c>
      <c r="J229" t="str">
        <f t="shared" si="31"/>
        <v>[</v>
      </c>
      <c r="K229" t="str">
        <f t="shared" si="32"/>
        <v>[0.0002087185],</v>
      </c>
      <c r="L229" t="str">
        <f t="shared" si="33"/>
        <v>[0.000417437],</v>
      </c>
      <c r="M229" t="str">
        <f t="shared" si="34"/>
        <v>[0.000215952],</v>
      </c>
      <c r="N229" t="str">
        <f t="shared" si="35"/>
        <v>[0.00021742],</v>
      </c>
      <c r="O229" t="str">
        <f t="shared" si="36"/>
        <v>[0.000296262],</v>
      </c>
      <c r="P229" t="str">
        <f t="shared" si="37"/>
        <v>[0.000189301],</v>
      </c>
      <c r="Q229" t="str">
        <f t="shared" si="38"/>
        <v>[0.000516271]</v>
      </c>
      <c r="R229" t="str">
        <f t="shared" si="39"/>
        <v>]</v>
      </c>
      <c r="S229" t="str">
        <f t="shared" si="40"/>
        <v>[[0.0002087185],[0.000417437],[0.000215952],[0.00021742],[0.000296262],[0.000189301],[0.000516271]]</v>
      </c>
    </row>
    <row r="230" spans="1:19" x14ac:dyDescent="0.2">
      <c r="A230" s="1" t="d">
        <v>2026-04-01</v>
      </c>
      <c r="B230">
        <v>4.1743699999999999E-4</v>
      </c>
      <c r="C230">
        <v>4.1743699999999999E-4</v>
      </c>
      <c r="D230">
        <v>2.15952E-4</v>
      </c>
      <c r="E230">
        <v>2.1741999999999999E-4</v>
      </c>
      <c r="F230">
        <v>2.9626199999999999E-4</v>
      </c>
      <c r="G230">
        <v>1.8930100000000001E-4</v>
      </c>
      <c r="H230">
        <v>5.16271E-4</v>
      </c>
      <c r="J230" t="str">
        <f t="shared" si="31"/>
        <v>[</v>
      </c>
      <c r="K230" t="str">
        <f t="shared" si="32"/>
        <v>[0.0002087185],</v>
      </c>
      <c r="L230" t="str">
        <f t="shared" si="33"/>
        <v>[0.000417437],</v>
      </c>
      <c r="M230" t="str">
        <f t="shared" si="34"/>
        <v>[0.000215952],</v>
      </c>
      <c r="N230" t="str">
        <f t="shared" si="35"/>
        <v>[0.00021742],</v>
      </c>
      <c r="O230" t="str">
        <f t="shared" si="36"/>
        <v>[0.000296262],</v>
      </c>
      <c r="P230" t="str">
        <f t="shared" si="37"/>
        <v>[0.000189301],</v>
      </c>
      <c r="Q230" t="str">
        <f t="shared" si="38"/>
        <v>[0.000516271]</v>
      </c>
      <c r="R230" t="str">
        <f t="shared" si="39"/>
        <v>]</v>
      </c>
      <c r="S230" t="str">
        <f t="shared" si="40"/>
        <v>[[0.0002087185],[0.000417437],[0.000215952],[0.00021742],[0.000296262],[0.000189301],[0.000516271]]</v>
      </c>
    </row>
    <row r="231" spans="1:19" x14ac:dyDescent="0.2">
      <c r="A231" s="1" t="d">
        <v>2026-04-02</v>
      </c>
      <c r="B231">
        <v>4.1743699999999999E-4</v>
      </c>
      <c r="C231">
        <v>4.1743699999999999E-4</v>
      </c>
      <c r="D231">
        <v>2.15952E-4</v>
      </c>
      <c r="E231">
        <v>2.1741999999999999E-4</v>
      </c>
      <c r="F231">
        <v>2.9626199999999999E-4</v>
      </c>
      <c r="G231">
        <v>1.8930100000000001E-4</v>
      </c>
      <c r="H231">
        <v>5.16271E-4</v>
      </c>
      <c r="J231" t="str">
        <f t="shared" si="31"/>
        <v>[</v>
      </c>
      <c r="K231" t="str">
        <f t="shared" si="32"/>
        <v>[0.0002087185],</v>
      </c>
      <c r="L231" t="str">
        <f t="shared" si="33"/>
        <v>[0.000417437],</v>
      </c>
      <c r="M231" t="str">
        <f t="shared" si="34"/>
        <v>[0.000215952],</v>
      </c>
      <c r="N231" t="str">
        <f t="shared" si="35"/>
        <v>[0.00021742],</v>
      </c>
      <c r="O231" t="str">
        <f t="shared" si="36"/>
        <v>[0.000296262],</v>
      </c>
      <c r="P231" t="str">
        <f t="shared" si="37"/>
        <v>[0.000189301],</v>
      </c>
      <c r="Q231" t="str">
        <f t="shared" si="38"/>
        <v>[0.000516271]</v>
      </c>
      <c r="R231" t="str">
        <f t="shared" si="39"/>
        <v>]</v>
      </c>
      <c r="S231" t="str">
        <f t="shared" si="40"/>
        <v>[[0.0002087185],[0.000417437],[0.000215952],[0.00021742],[0.000296262],[0.000189301],[0.000516271]]</v>
      </c>
    </row>
    <row r="232" spans="1:19" x14ac:dyDescent="0.2">
      <c r="A232" s="1" t="d">
        <v>2026-04-03</v>
      </c>
      <c r="B232">
        <v>4.1743699999999999E-4</v>
      </c>
      <c r="C232">
        <v>4.1743699999999999E-4</v>
      </c>
      <c r="D232">
        <v>2.15952E-4</v>
      </c>
      <c r="E232">
        <v>2.1741999999999999E-4</v>
      </c>
      <c r="F232">
        <v>2.9626199999999999E-4</v>
      </c>
      <c r="G232">
        <v>1.8930100000000001E-4</v>
      </c>
      <c r="H232">
        <v>5.16271E-4</v>
      </c>
      <c r="J232" t="str">
        <f t="shared" si="31"/>
        <v>[</v>
      </c>
      <c r="K232" t="str">
        <f t="shared" si="32"/>
        <v>[0.0002087185],</v>
      </c>
      <c r="L232" t="str">
        <f t="shared" si="33"/>
        <v>[0.000417437],</v>
      </c>
      <c r="M232" t="str">
        <f t="shared" si="34"/>
        <v>[0.000215952],</v>
      </c>
      <c r="N232" t="str">
        <f t="shared" si="35"/>
        <v>[0.00021742],</v>
      </c>
      <c r="O232" t="str">
        <f t="shared" si="36"/>
        <v>[0.000296262],</v>
      </c>
      <c r="P232" t="str">
        <f t="shared" si="37"/>
        <v>[0.000189301],</v>
      </c>
      <c r="Q232" t="str">
        <f t="shared" si="38"/>
        <v>[0.000516271]</v>
      </c>
      <c r="R232" t="str">
        <f t="shared" si="39"/>
        <v>]</v>
      </c>
      <c r="S232" t="str">
        <f t="shared" si="40"/>
        <v>[[0.0002087185],[0.000417437],[0.000215952],[0.00021742],[0.000296262],[0.000189301],[0.000516271]]</v>
      </c>
    </row>
    <row r="233" spans="1:19" x14ac:dyDescent="0.2">
      <c r="A233" s="1" t="d">
        <v>2026-04-04</v>
      </c>
      <c r="B233">
        <v>5.3283699999999998E-4</v>
      </c>
      <c r="C233">
        <v>5.3283699999999998E-4</v>
      </c>
      <c r="D233">
        <v>3.3210100000000001E-4</v>
      </c>
      <c r="E233">
        <v>3.2822100000000001E-4</v>
      </c>
      <c r="F233">
        <v>5.0999499999999996E-4</v>
      </c>
      <c r="G233">
        <v>3.3240400000000001E-4</v>
      </c>
      <c r="H233">
        <v>9.3286300000000003E-4</v>
      </c>
      <c r="J233" t="str">
        <f t="shared" si="31"/>
        <v>[</v>
      </c>
      <c r="K233" t="str">
        <f t="shared" si="32"/>
        <v>[0.0002664185],</v>
      </c>
      <c r="L233" t="str">
        <f t="shared" si="33"/>
        <v>[0.000532837],</v>
      </c>
      <c r="M233" t="str">
        <f t="shared" si="34"/>
        <v>[0.000332101],</v>
      </c>
      <c r="N233" t="str">
        <f t="shared" si="35"/>
        <v>[0.000328221],</v>
      </c>
      <c r="O233" t="str">
        <f t="shared" si="36"/>
        <v>[0.000509995],</v>
      </c>
      <c r="P233" t="str">
        <f t="shared" si="37"/>
        <v>[0.000332404],</v>
      </c>
      <c r="Q233" t="str">
        <f t="shared" si="38"/>
        <v>[0.000932863]</v>
      </c>
      <c r="R233" t="str">
        <f t="shared" si="39"/>
        <v>]</v>
      </c>
      <c r="S233" t="str">
        <f t="shared" si="40"/>
        <v>[[0.0002664185],[0.000532837],[0.000332101],[0.000328221],[0.000509995],[0.000332404],[0.000932863]]</v>
      </c>
    </row>
    <row r="234" spans="1:19" x14ac:dyDescent="0.2">
      <c r="A234" s="1" t="d">
        <v>2026-04-05</v>
      </c>
      <c r="B234">
        <v>5.3283699999999998E-4</v>
      </c>
      <c r="C234">
        <v>5.3283699999999998E-4</v>
      </c>
      <c r="D234">
        <v>3.3210100000000001E-4</v>
      </c>
      <c r="E234">
        <v>3.2822100000000001E-4</v>
      </c>
      <c r="F234">
        <v>5.0999499999999996E-4</v>
      </c>
      <c r="G234">
        <v>3.3240400000000001E-4</v>
      </c>
      <c r="H234">
        <v>9.3286300000000003E-4</v>
      </c>
      <c r="J234" t="str">
        <f t="shared" si="31"/>
        <v>[</v>
      </c>
      <c r="K234" t="str">
        <f t="shared" si="32"/>
        <v>[0.0002664185],</v>
      </c>
      <c r="L234" t="str">
        <f t="shared" si="33"/>
        <v>[0.000532837],</v>
      </c>
      <c r="M234" t="str">
        <f t="shared" si="34"/>
        <v>[0.000332101],</v>
      </c>
      <c r="N234" t="str">
        <f t="shared" si="35"/>
        <v>[0.000328221],</v>
      </c>
      <c r="O234" t="str">
        <f t="shared" si="36"/>
        <v>[0.000509995],</v>
      </c>
      <c r="P234" t="str">
        <f t="shared" si="37"/>
        <v>[0.000332404],</v>
      </c>
      <c r="Q234" t="str">
        <f t="shared" si="38"/>
        <v>[0.000932863]</v>
      </c>
      <c r="R234" t="str">
        <f t="shared" si="39"/>
        <v>]</v>
      </c>
      <c r="S234" t="str">
        <f t="shared" si="40"/>
        <v>[[0.0002664185],[0.000532837],[0.000332101],[0.000328221],[0.000509995],[0.000332404],[0.000932863]]</v>
      </c>
    </row>
    <row r="235" spans="1:19" x14ac:dyDescent="0.2">
      <c r="A235" s="1" t="d">
        <v>2026-04-06</v>
      </c>
      <c r="B235">
        <v>5.3283699999999998E-4</v>
      </c>
      <c r="C235">
        <v>5.3283699999999998E-4</v>
      </c>
      <c r="D235">
        <v>3.3210100000000001E-4</v>
      </c>
      <c r="E235">
        <v>3.2822100000000001E-4</v>
      </c>
      <c r="F235">
        <v>5.0999499999999996E-4</v>
      </c>
      <c r="G235">
        <v>3.3240400000000001E-4</v>
      </c>
      <c r="H235">
        <v>9.3286300000000003E-4</v>
      </c>
      <c r="J235" t="str">
        <f t="shared" si="31"/>
        <v>[</v>
      </c>
      <c r="K235" t="str">
        <f t="shared" si="32"/>
        <v>[0.0002664185],</v>
      </c>
      <c r="L235" t="str">
        <f t="shared" si="33"/>
        <v>[0.000532837],</v>
      </c>
      <c r="M235" t="str">
        <f t="shared" si="34"/>
        <v>[0.000332101],</v>
      </c>
      <c r="N235" t="str">
        <f t="shared" si="35"/>
        <v>[0.000328221],</v>
      </c>
      <c r="O235" t="str">
        <f t="shared" si="36"/>
        <v>[0.000509995],</v>
      </c>
      <c r="P235" t="str">
        <f t="shared" si="37"/>
        <v>[0.000332404],</v>
      </c>
      <c r="Q235" t="str">
        <f t="shared" si="38"/>
        <v>[0.000932863]</v>
      </c>
      <c r="R235" t="str">
        <f t="shared" si="39"/>
        <v>]</v>
      </c>
      <c r="S235" t="str">
        <f t="shared" si="40"/>
        <v>[[0.0002664185],[0.000532837],[0.000332101],[0.000328221],[0.000509995],[0.000332404],[0.000932863]]</v>
      </c>
    </row>
    <row r="236" spans="1:19" x14ac:dyDescent="0.2">
      <c r="A236" s="1" t="d">
        <v>2026-04-07</v>
      </c>
      <c r="B236">
        <v>5.3283699999999998E-4</v>
      </c>
      <c r="C236">
        <v>5.3283699999999998E-4</v>
      </c>
      <c r="D236">
        <v>3.3210100000000001E-4</v>
      </c>
      <c r="E236">
        <v>3.2822100000000001E-4</v>
      </c>
      <c r="F236">
        <v>5.0999499999999996E-4</v>
      </c>
      <c r="G236">
        <v>3.3240400000000001E-4</v>
      </c>
      <c r="H236">
        <v>9.3286300000000003E-4</v>
      </c>
      <c r="J236" t="str">
        <f t="shared" si="31"/>
        <v>[</v>
      </c>
      <c r="K236" t="str">
        <f t="shared" si="32"/>
        <v>[0.0002664185],</v>
      </c>
      <c r="L236" t="str">
        <f t="shared" si="33"/>
        <v>[0.000532837],</v>
      </c>
      <c r="M236" t="str">
        <f t="shared" si="34"/>
        <v>[0.000332101],</v>
      </c>
      <c r="N236" t="str">
        <f t="shared" si="35"/>
        <v>[0.000328221],</v>
      </c>
      <c r="O236" t="str">
        <f t="shared" si="36"/>
        <v>[0.000509995],</v>
      </c>
      <c r="P236" t="str">
        <f t="shared" si="37"/>
        <v>[0.000332404],</v>
      </c>
      <c r="Q236" t="str">
        <f t="shared" si="38"/>
        <v>[0.000932863]</v>
      </c>
      <c r="R236" t="str">
        <f t="shared" si="39"/>
        <v>]</v>
      </c>
      <c r="S236" t="str">
        <f t="shared" si="40"/>
        <v>[[0.0002664185],[0.000532837],[0.000332101],[0.000328221],[0.000509995],[0.000332404],[0.000932863]]</v>
      </c>
    </row>
    <row r="237" spans="1:19" x14ac:dyDescent="0.2">
      <c r="A237" s="1" t="d">
        <v>2026-04-08</v>
      </c>
      <c r="B237">
        <v>5.3283699999999998E-4</v>
      </c>
      <c r="C237">
        <v>5.3283699999999998E-4</v>
      </c>
      <c r="D237">
        <v>3.3210100000000001E-4</v>
      </c>
      <c r="E237">
        <v>3.2822100000000001E-4</v>
      </c>
      <c r="F237">
        <v>5.0999499999999996E-4</v>
      </c>
      <c r="G237">
        <v>3.3240400000000001E-4</v>
      </c>
      <c r="H237">
        <v>9.3286300000000003E-4</v>
      </c>
      <c r="J237" t="str">
        <f t="shared" si="31"/>
        <v>[</v>
      </c>
      <c r="K237" t="str">
        <f t="shared" si="32"/>
        <v>[0.0002664185],</v>
      </c>
      <c r="L237" t="str">
        <f t="shared" si="33"/>
        <v>[0.000532837],</v>
      </c>
      <c r="M237" t="str">
        <f t="shared" si="34"/>
        <v>[0.000332101],</v>
      </c>
      <c r="N237" t="str">
        <f t="shared" si="35"/>
        <v>[0.000328221],</v>
      </c>
      <c r="O237" t="str">
        <f t="shared" si="36"/>
        <v>[0.000509995],</v>
      </c>
      <c r="P237" t="str">
        <f t="shared" si="37"/>
        <v>[0.000332404],</v>
      </c>
      <c r="Q237" t="str">
        <f t="shared" si="38"/>
        <v>[0.000932863]</v>
      </c>
      <c r="R237" t="str">
        <f t="shared" si="39"/>
        <v>]</v>
      </c>
      <c r="S237" t="str">
        <f t="shared" si="40"/>
        <v>[[0.0002664185],[0.000532837],[0.000332101],[0.000328221],[0.000509995],[0.000332404],[0.000932863]]</v>
      </c>
    </row>
    <row r="238" spans="1:19" x14ac:dyDescent="0.2">
      <c r="A238" s="1" t="d">
        <v>2026-04-09</v>
      </c>
      <c r="B238">
        <v>5.3283699999999998E-4</v>
      </c>
      <c r="C238">
        <v>5.3283699999999998E-4</v>
      </c>
      <c r="D238">
        <v>3.3210100000000001E-4</v>
      </c>
      <c r="E238">
        <v>3.2822100000000001E-4</v>
      </c>
      <c r="F238">
        <v>5.0999499999999996E-4</v>
      </c>
      <c r="G238">
        <v>3.3240400000000001E-4</v>
      </c>
      <c r="H238">
        <v>9.3286300000000003E-4</v>
      </c>
      <c r="J238" t="str">
        <f t="shared" si="31"/>
        <v>[</v>
      </c>
      <c r="K238" t="str">
        <f t="shared" si="32"/>
        <v>[0.0002664185],</v>
      </c>
      <c r="L238" t="str">
        <f t="shared" si="33"/>
        <v>[0.000532837],</v>
      </c>
      <c r="M238" t="str">
        <f t="shared" si="34"/>
        <v>[0.000332101],</v>
      </c>
      <c r="N238" t="str">
        <f t="shared" si="35"/>
        <v>[0.000328221],</v>
      </c>
      <c r="O238" t="str">
        <f t="shared" si="36"/>
        <v>[0.000509995],</v>
      </c>
      <c r="P238" t="str">
        <f t="shared" si="37"/>
        <v>[0.000332404],</v>
      </c>
      <c r="Q238" t="str">
        <f t="shared" si="38"/>
        <v>[0.000932863]</v>
      </c>
      <c r="R238" t="str">
        <f t="shared" si="39"/>
        <v>]</v>
      </c>
      <c r="S238" t="str">
        <f t="shared" si="40"/>
        <v>[[0.0002664185],[0.000532837],[0.000332101],[0.000328221],[0.000509995],[0.000332404],[0.000932863]]</v>
      </c>
    </row>
    <row r="239" spans="1:19" x14ac:dyDescent="0.2">
      <c r="A239" s="1" t="d">
        <v>2026-04-10</v>
      </c>
      <c r="B239">
        <v>5.3283699999999998E-4</v>
      </c>
      <c r="C239">
        <v>5.3283699999999998E-4</v>
      </c>
      <c r="D239">
        <v>3.3210100000000001E-4</v>
      </c>
      <c r="E239">
        <v>3.2822100000000001E-4</v>
      </c>
      <c r="F239">
        <v>5.0999499999999996E-4</v>
      </c>
      <c r="G239">
        <v>3.3240400000000001E-4</v>
      </c>
      <c r="H239">
        <v>9.3286300000000003E-4</v>
      </c>
      <c r="J239" t="str">
        <f t="shared" si="31"/>
        <v>[</v>
      </c>
      <c r="K239" t="str">
        <f t="shared" si="32"/>
        <v>[0.0002664185],</v>
      </c>
      <c r="L239" t="str">
        <f t="shared" si="33"/>
        <v>[0.000532837],</v>
      </c>
      <c r="M239" t="str">
        <f t="shared" si="34"/>
        <v>[0.000332101],</v>
      </c>
      <c r="N239" t="str">
        <f t="shared" si="35"/>
        <v>[0.000328221],</v>
      </c>
      <c r="O239" t="str">
        <f t="shared" si="36"/>
        <v>[0.000509995],</v>
      </c>
      <c r="P239" t="str">
        <f t="shared" si="37"/>
        <v>[0.000332404],</v>
      </c>
      <c r="Q239" t="str">
        <f t="shared" si="38"/>
        <v>[0.000932863]</v>
      </c>
      <c r="R239" t="str">
        <f t="shared" si="39"/>
        <v>]</v>
      </c>
      <c r="S239" t="str">
        <f t="shared" si="40"/>
        <v>[[0.0002664185],[0.000532837],[0.000332101],[0.000328221],[0.000509995],[0.000332404],[0.000932863]]</v>
      </c>
    </row>
    <row r="240" spans="1:19" x14ac:dyDescent="0.2">
      <c r="A240" s="1" t="d">
        <v>2026-04-11</v>
      </c>
      <c r="B240" s="2">
        <v>9.7007800000000003E-5</v>
      </c>
      <c r="C240" s="2">
        <v>9.7007800000000003E-5</v>
      </c>
      <c r="D240">
        <v>1.91993E-4</v>
      </c>
      <c r="E240">
        <v>1.2925400000000001E-4</v>
      </c>
      <c r="F240">
        <v>3.4480099999999999E-4</v>
      </c>
      <c r="G240">
        <v>3.6422499999999998E-4</v>
      </c>
      <c r="H240">
        <v>5.9625900000000003E-4</v>
      </c>
      <c r="J240" t="str">
        <f t="shared" si="31"/>
        <v>[</v>
      </c>
      <c r="K240" t="str">
        <f t="shared" si="32"/>
        <v>[0.0000485039],</v>
      </c>
      <c r="L240" t="str">
        <f t="shared" si="33"/>
        <v>[0.0000970078],</v>
      </c>
      <c r="M240" t="str">
        <f t="shared" si="34"/>
        <v>[0.000191993],</v>
      </c>
      <c r="N240" t="str">
        <f t="shared" si="35"/>
        <v>[0.000129254],</v>
      </c>
      <c r="O240" t="str">
        <f t="shared" si="36"/>
        <v>[0.000344801],</v>
      </c>
      <c r="P240" t="str">
        <f t="shared" si="37"/>
        <v>[0.000364225],</v>
      </c>
      <c r="Q240" t="str">
        <f t="shared" si="38"/>
        <v>[0.000596259]</v>
      </c>
      <c r="R240" t="str">
        <f t="shared" si="39"/>
        <v>]</v>
      </c>
      <c r="S240" t="str">
        <f t="shared" si="40"/>
        <v>[[0.0000485039],[0.0000970078],[0.000191993],[0.000129254],[0.000344801],[0.000364225],[0.000596259]]</v>
      </c>
    </row>
    <row r="241" spans="1:19" x14ac:dyDescent="0.2">
      <c r="A241" s="1" t="d">
        <v>2026-04-12</v>
      </c>
      <c r="B241" s="2">
        <v>9.7007800000000003E-5</v>
      </c>
      <c r="C241" s="2">
        <v>9.7007800000000003E-5</v>
      </c>
      <c r="D241">
        <v>1.91993E-4</v>
      </c>
      <c r="E241">
        <v>1.2925400000000001E-4</v>
      </c>
      <c r="F241">
        <v>3.4480099999999999E-4</v>
      </c>
      <c r="G241">
        <v>3.6422499999999998E-4</v>
      </c>
      <c r="H241">
        <v>5.9625900000000003E-4</v>
      </c>
      <c r="J241" t="str">
        <f t="shared" si="31"/>
        <v>[</v>
      </c>
      <c r="K241" t="str">
        <f t="shared" si="32"/>
        <v>[0.0000485039],</v>
      </c>
      <c r="L241" t="str">
        <f t="shared" si="33"/>
        <v>[0.0000970078],</v>
      </c>
      <c r="M241" t="str">
        <f t="shared" si="34"/>
        <v>[0.000191993],</v>
      </c>
      <c r="N241" t="str">
        <f t="shared" si="35"/>
        <v>[0.000129254],</v>
      </c>
      <c r="O241" t="str">
        <f t="shared" si="36"/>
        <v>[0.000344801],</v>
      </c>
      <c r="P241" t="str">
        <f t="shared" si="37"/>
        <v>[0.000364225],</v>
      </c>
      <c r="Q241" t="str">
        <f t="shared" si="38"/>
        <v>[0.000596259]</v>
      </c>
      <c r="R241" t="str">
        <f t="shared" si="39"/>
        <v>]</v>
      </c>
      <c r="S241" t="str">
        <f t="shared" si="40"/>
        <v>[[0.0000485039],[0.0000970078],[0.000191993],[0.000129254],[0.000344801],[0.000364225],[0.000596259]]</v>
      </c>
    </row>
    <row r="242" spans="1:19" x14ac:dyDescent="0.2">
      <c r="A242" s="1" t="d">
        <v>2026-04-13</v>
      </c>
      <c r="B242" s="2">
        <v>9.7007800000000003E-5</v>
      </c>
      <c r="C242" s="2">
        <v>9.7007800000000003E-5</v>
      </c>
      <c r="D242">
        <v>1.91993E-4</v>
      </c>
      <c r="E242">
        <v>1.2925400000000001E-4</v>
      </c>
      <c r="F242">
        <v>3.4480099999999999E-4</v>
      </c>
      <c r="G242">
        <v>3.6422499999999998E-4</v>
      </c>
      <c r="H242">
        <v>5.9625900000000003E-4</v>
      </c>
      <c r="J242" t="str">
        <f t="shared" si="31"/>
        <v>[</v>
      </c>
      <c r="K242" t="str">
        <f t="shared" si="32"/>
        <v>[0.0000485039],</v>
      </c>
      <c r="L242" t="str">
        <f t="shared" si="33"/>
        <v>[0.0000970078],</v>
      </c>
      <c r="M242" t="str">
        <f t="shared" si="34"/>
        <v>[0.000191993],</v>
      </c>
      <c r="N242" t="str">
        <f t="shared" si="35"/>
        <v>[0.000129254],</v>
      </c>
      <c r="O242" t="str">
        <f t="shared" si="36"/>
        <v>[0.000344801],</v>
      </c>
      <c r="P242" t="str">
        <f t="shared" si="37"/>
        <v>[0.000364225],</v>
      </c>
      <c r="Q242" t="str">
        <f t="shared" si="38"/>
        <v>[0.000596259]</v>
      </c>
      <c r="R242" t="str">
        <f t="shared" si="39"/>
        <v>]</v>
      </c>
      <c r="S242" t="str">
        <f t="shared" si="40"/>
        <v>[[0.0000485039],[0.0000970078],[0.000191993],[0.000129254],[0.000344801],[0.000364225],[0.000596259]]</v>
      </c>
    </row>
    <row r="243" spans="1:19" x14ac:dyDescent="0.2">
      <c r="A243" s="1" t="d">
        <v>2026-04-14</v>
      </c>
      <c r="B243" s="2">
        <v>9.7007800000000003E-5</v>
      </c>
      <c r="C243" s="2">
        <v>9.7007800000000003E-5</v>
      </c>
      <c r="D243">
        <v>1.91993E-4</v>
      </c>
      <c r="E243">
        <v>1.2925400000000001E-4</v>
      </c>
      <c r="F243">
        <v>3.4480099999999999E-4</v>
      </c>
      <c r="G243">
        <v>3.6422499999999998E-4</v>
      </c>
      <c r="H243">
        <v>5.9625900000000003E-4</v>
      </c>
      <c r="J243" t="str">
        <f t="shared" si="31"/>
        <v>[</v>
      </c>
      <c r="K243" t="str">
        <f t="shared" si="32"/>
        <v>[0.0000485039],</v>
      </c>
      <c r="L243" t="str">
        <f t="shared" si="33"/>
        <v>[0.0000970078],</v>
      </c>
      <c r="M243" t="str">
        <f t="shared" si="34"/>
        <v>[0.000191993],</v>
      </c>
      <c r="N243" t="str">
        <f t="shared" si="35"/>
        <v>[0.000129254],</v>
      </c>
      <c r="O243" t="str">
        <f t="shared" si="36"/>
        <v>[0.000344801],</v>
      </c>
      <c r="P243" t="str">
        <f t="shared" si="37"/>
        <v>[0.000364225],</v>
      </c>
      <c r="Q243" t="str">
        <f t="shared" si="38"/>
        <v>[0.000596259]</v>
      </c>
      <c r="R243" t="str">
        <f t="shared" si="39"/>
        <v>]</v>
      </c>
      <c r="S243" t="str">
        <f t="shared" si="40"/>
        <v>[[0.0000485039],[0.0000970078],[0.000191993],[0.000129254],[0.000344801],[0.000364225],[0.000596259]]</v>
      </c>
    </row>
    <row r="244" spans="1:19" x14ac:dyDescent="0.2">
      <c r="A244" s="1" t="d">
        <v>2026-04-15</v>
      </c>
      <c r="B244" s="2">
        <v>9.7007800000000003E-5</v>
      </c>
      <c r="C244" s="2">
        <v>9.7007800000000003E-5</v>
      </c>
      <c r="D244">
        <v>1.91993E-4</v>
      </c>
      <c r="E244">
        <v>1.2925400000000001E-4</v>
      </c>
      <c r="F244">
        <v>3.4480099999999999E-4</v>
      </c>
      <c r="G244">
        <v>3.6422499999999998E-4</v>
      </c>
      <c r="H244">
        <v>5.9625900000000003E-4</v>
      </c>
      <c r="J244" t="str">
        <f t="shared" si="31"/>
        <v>[</v>
      </c>
      <c r="K244" t="str">
        <f t="shared" si="32"/>
        <v>[0.0000485039],</v>
      </c>
      <c r="L244" t="str">
        <f t="shared" si="33"/>
        <v>[0.0000970078],</v>
      </c>
      <c r="M244" t="str">
        <f t="shared" si="34"/>
        <v>[0.000191993],</v>
      </c>
      <c r="N244" t="str">
        <f t="shared" si="35"/>
        <v>[0.000129254],</v>
      </c>
      <c r="O244" t="str">
        <f t="shared" si="36"/>
        <v>[0.000344801],</v>
      </c>
      <c r="P244" t="str">
        <f t="shared" si="37"/>
        <v>[0.000364225],</v>
      </c>
      <c r="Q244" t="str">
        <f t="shared" si="38"/>
        <v>[0.000596259]</v>
      </c>
      <c r="R244" t="str">
        <f t="shared" si="39"/>
        <v>]</v>
      </c>
      <c r="S244" t="str">
        <f t="shared" si="40"/>
        <v>[[0.0000485039],[0.0000970078],[0.000191993],[0.000129254],[0.000344801],[0.000364225],[0.000596259]]</v>
      </c>
    </row>
    <row r="245" spans="1:19" x14ac:dyDescent="0.2">
      <c r="A245" s="1" t="d">
        <v>2026-04-16</v>
      </c>
      <c r="B245" s="2">
        <v>9.7007800000000003E-5</v>
      </c>
      <c r="C245" s="2">
        <v>9.7007800000000003E-5</v>
      </c>
      <c r="D245">
        <v>1.91993E-4</v>
      </c>
      <c r="E245">
        <v>1.2925400000000001E-4</v>
      </c>
      <c r="F245">
        <v>3.4480099999999999E-4</v>
      </c>
      <c r="G245">
        <v>3.6422499999999998E-4</v>
      </c>
      <c r="H245">
        <v>5.9625900000000003E-4</v>
      </c>
      <c r="J245" t="str">
        <f t="shared" si="31"/>
        <v>[</v>
      </c>
      <c r="K245" t="str">
        <f t="shared" si="32"/>
        <v>[0.0000485039],</v>
      </c>
      <c r="L245" t="str">
        <f t="shared" si="33"/>
        <v>[0.0000970078],</v>
      </c>
      <c r="M245" t="str">
        <f t="shared" si="34"/>
        <v>[0.000191993],</v>
      </c>
      <c r="N245" t="str">
        <f t="shared" si="35"/>
        <v>[0.000129254],</v>
      </c>
      <c r="O245" t="str">
        <f t="shared" si="36"/>
        <v>[0.000344801],</v>
      </c>
      <c r="P245" t="str">
        <f t="shared" si="37"/>
        <v>[0.000364225],</v>
      </c>
      <c r="Q245" t="str">
        <f t="shared" si="38"/>
        <v>[0.000596259]</v>
      </c>
      <c r="R245" t="str">
        <f t="shared" si="39"/>
        <v>]</v>
      </c>
      <c r="S245" t="str">
        <f t="shared" si="40"/>
        <v>[[0.0000485039],[0.0000970078],[0.000191993],[0.000129254],[0.000344801],[0.000364225],[0.000596259]]</v>
      </c>
    </row>
    <row r="246" spans="1:19" x14ac:dyDescent="0.2">
      <c r="A246" s="1" t="d">
        <v>2026-04-17</v>
      </c>
      <c r="B246" s="2">
        <v>9.7007800000000003E-5</v>
      </c>
      <c r="C246" s="2">
        <v>9.7007800000000003E-5</v>
      </c>
      <c r="D246">
        <v>1.91993E-4</v>
      </c>
      <c r="E246">
        <v>1.2925400000000001E-4</v>
      </c>
      <c r="F246">
        <v>3.4480099999999999E-4</v>
      </c>
      <c r="G246">
        <v>3.6422499999999998E-4</v>
      </c>
      <c r="H246">
        <v>5.9625900000000003E-4</v>
      </c>
      <c r="J246" t="str">
        <f t="shared" si="31"/>
        <v>[</v>
      </c>
      <c r="K246" t="str">
        <f t="shared" si="32"/>
        <v>[0.0000485039],</v>
      </c>
      <c r="L246" t="str">
        <f t="shared" si="33"/>
        <v>[0.0000970078],</v>
      </c>
      <c r="M246" t="str">
        <f t="shared" si="34"/>
        <v>[0.000191993],</v>
      </c>
      <c r="N246" t="str">
        <f t="shared" si="35"/>
        <v>[0.000129254],</v>
      </c>
      <c r="O246" t="str">
        <f t="shared" si="36"/>
        <v>[0.000344801],</v>
      </c>
      <c r="P246" t="str">
        <f t="shared" si="37"/>
        <v>[0.000364225],</v>
      </c>
      <c r="Q246" t="str">
        <f t="shared" si="38"/>
        <v>[0.000596259]</v>
      </c>
      <c r="R246" t="str">
        <f t="shared" si="39"/>
        <v>]</v>
      </c>
      <c r="S246" t="str">
        <f t="shared" si="40"/>
        <v>[[0.0000485039],[0.0000970078],[0.000191993],[0.000129254],[0.000344801],[0.000364225],[0.000596259]]</v>
      </c>
    </row>
    <row r="247" spans="1:19" x14ac:dyDescent="0.2">
      <c r="A247" s="1" t="d">
        <v>2026-04-18</v>
      </c>
      <c r="B247" s="2">
        <v>2.6043699999999999E-5</v>
      </c>
      <c r="C247" s="2">
        <v>2.6043699999999999E-5</v>
      </c>
      <c r="D247">
        <v>2.33386E-4</v>
      </c>
      <c r="E247">
        <v>1.17936E-4</v>
      </c>
      <c r="F247">
        <v>4.3054200000000001E-4</v>
      </c>
      <c r="G247">
        <v>5.4705599999999997E-4</v>
      </c>
      <c r="H247">
        <v>7.1311900000000001E-4</v>
      </c>
      <c r="J247" t="str">
        <f t="shared" si="31"/>
        <v>[</v>
      </c>
      <c r="K247" t="str">
        <f t="shared" si="32"/>
        <v>[0.00001302185],</v>
      </c>
      <c r="L247" t="str">
        <f t="shared" si="33"/>
        <v>[0.0000260437],</v>
      </c>
      <c r="M247" t="str">
        <f t="shared" si="34"/>
        <v>[0.000233386],</v>
      </c>
      <c r="N247" t="str">
        <f t="shared" si="35"/>
        <v>[0.000117936],</v>
      </c>
      <c r="O247" t="str">
        <f t="shared" si="36"/>
        <v>[0.000430542],</v>
      </c>
      <c r="P247" t="str">
        <f t="shared" si="37"/>
        <v>[0.000547056],</v>
      </c>
      <c r="Q247" t="str">
        <f t="shared" si="38"/>
        <v>[0.000713119]</v>
      </c>
      <c r="R247" t="str">
        <f t="shared" si="39"/>
        <v>]</v>
      </c>
      <c r="S247" t="str">
        <f t="shared" si="40"/>
        <v>[[0.00001302185],[0.0000260437],[0.000233386],[0.000117936],[0.000430542],[0.000547056],[0.000713119]]</v>
      </c>
    </row>
    <row r="248" spans="1:19" x14ac:dyDescent="0.2">
      <c r="A248" s="1" t="d">
        <v>2026-04-19</v>
      </c>
      <c r="B248" s="2">
        <v>2.6043699999999999E-5</v>
      </c>
      <c r="C248" s="2">
        <v>2.6043699999999999E-5</v>
      </c>
      <c r="D248">
        <v>2.33386E-4</v>
      </c>
      <c r="E248">
        <v>1.17936E-4</v>
      </c>
      <c r="F248">
        <v>4.3054200000000001E-4</v>
      </c>
      <c r="G248">
        <v>5.4705599999999997E-4</v>
      </c>
      <c r="H248">
        <v>7.1311900000000001E-4</v>
      </c>
      <c r="J248" t="str">
        <f t="shared" si="31"/>
        <v>[</v>
      </c>
      <c r="K248" t="str">
        <f t="shared" si="32"/>
        <v>[0.00001302185],</v>
      </c>
      <c r="L248" t="str">
        <f t="shared" si="33"/>
        <v>[0.0000260437],</v>
      </c>
      <c r="M248" t="str">
        <f t="shared" si="34"/>
        <v>[0.000233386],</v>
      </c>
      <c r="N248" t="str">
        <f t="shared" si="35"/>
        <v>[0.000117936],</v>
      </c>
      <c r="O248" t="str">
        <f t="shared" si="36"/>
        <v>[0.000430542],</v>
      </c>
      <c r="P248" t="str">
        <f t="shared" si="37"/>
        <v>[0.000547056],</v>
      </c>
      <c r="Q248" t="str">
        <f t="shared" si="38"/>
        <v>[0.000713119]</v>
      </c>
      <c r="R248" t="str">
        <f t="shared" si="39"/>
        <v>]</v>
      </c>
      <c r="S248" t="str">
        <f t="shared" si="40"/>
        <v>[[0.00001302185],[0.0000260437],[0.000233386],[0.000117936],[0.000430542],[0.000547056],[0.000713119]]</v>
      </c>
    </row>
    <row r="249" spans="1:19" x14ac:dyDescent="0.2">
      <c r="A249" s="1" t="d">
        <v>2026-04-20</v>
      </c>
      <c r="B249" s="2">
        <v>2.6043699999999999E-5</v>
      </c>
      <c r="C249" s="2">
        <v>2.6043699999999999E-5</v>
      </c>
      <c r="D249">
        <v>2.33386E-4</v>
      </c>
      <c r="E249">
        <v>1.17936E-4</v>
      </c>
      <c r="F249">
        <v>4.3054200000000001E-4</v>
      </c>
      <c r="G249">
        <v>5.4705599999999997E-4</v>
      </c>
      <c r="H249">
        <v>7.1311900000000001E-4</v>
      </c>
      <c r="J249" t="str">
        <f t="shared" si="31"/>
        <v>[</v>
      </c>
      <c r="K249" t="str">
        <f t="shared" si="32"/>
        <v>[0.00001302185],</v>
      </c>
      <c r="L249" t="str">
        <f t="shared" si="33"/>
        <v>[0.0000260437],</v>
      </c>
      <c r="M249" t="str">
        <f t="shared" si="34"/>
        <v>[0.000233386],</v>
      </c>
      <c r="N249" t="str">
        <f t="shared" si="35"/>
        <v>[0.000117936],</v>
      </c>
      <c r="O249" t="str">
        <f t="shared" si="36"/>
        <v>[0.000430542],</v>
      </c>
      <c r="P249" t="str">
        <f t="shared" si="37"/>
        <v>[0.000547056],</v>
      </c>
      <c r="Q249" t="str">
        <f t="shared" si="38"/>
        <v>[0.000713119]</v>
      </c>
      <c r="R249" t="str">
        <f t="shared" si="39"/>
        <v>]</v>
      </c>
      <c r="S249" t="str">
        <f t="shared" si="40"/>
        <v>[[0.00001302185],[0.0000260437],[0.000233386],[0.000117936],[0.000430542],[0.000547056],[0.000713119]]</v>
      </c>
    </row>
    <row r="250" spans="1:19" x14ac:dyDescent="0.2">
      <c r="A250" s="1" t="d">
        <v>2026-04-21</v>
      </c>
      <c r="B250" s="2">
        <v>2.6043699999999999E-5</v>
      </c>
      <c r="C250" s="2">
        <v>2.6043699999999999E-5</v>
      </c>
      <c r="D250">
        <v>2.33386E-4</v>
      </c>
      <c r="E250">
        <v>1.17936E-4</v>
      </c>
      <c r="F250">
        <v>4.3054200000000001E-4</v>
      </c>
      <c r="G250">
        <v>5.4705599999999997E-4</v>
      </c>
      <c r="H250">
        <v>7.1311900000000001E-4</v>
      </c>
      <c r="J250" t="str">
        <f t="shared" si="31"/>
        <v>[</v>
      </c>
      <c r="K250" t="str">
        <f t="shared" si="32"/>
        <v>[0.00001302185],</v>
      </c>
      <c r="L250" t="str">
        <f t="shared" si="33"/>
        <v>[0.0000260437],</v>
      </c>
      <c r="M250" t="str">
        <f t="shared" si="34"/>
        <v>[0.000233386],</v>
      </c>
      <c r="N250" t="str">
        <f t="shared" si="35"/>
        <v>[0.000117936],</v>
      </c>
      <c r="O250" t="str">
        <f t="shared" si="36"/>
        <v>[0.000430542],</v>
      </c>
      <c r="P250" t="str">
        <f t="shared" si="37"/>
        <v>[0.000547056],</v>
      </c>
      <c r="Q250" t="str">
        <f t="shared" si="38"/>
        <v>[0.000713119]</v>
      </c>
      <c r="R250" t="str">
        <f t="shared" si="39"/>
        <v>]</v>
      </c>
      <c r="S250" t="str">
        <f t="shared" si="40"/>
        <v>[[0.00001302185],[0.0000260437],[0.000233386],[0.000117936],[0.000430542],[0.000547056],[0.000713119]]</v>
      </c>
    </row>
    <row r="251" spans="1:19" x14ac:dyDescent="0.2">
      <c r="A251" s="1" t="d">
        <v>2026-04-22</v>
      </c>
      <c r="B251" s="2">
        <v>2.6043699999999999E-5</v>
      </c>
      <c r="C251" s="2">
        <v>2.6043699999999999E-5</v>
      </c>
      <c r="D251">
        <v>2.33386E-4</v>
      </c>
      <c r="E251">
        <v>1.17936E-4</v>
      </c>
      <c r="F251">
        <v>4.3054200000000001E-4</v>
      </c>
      <c r="G251">
        <v>5.4705599999999997E-4</v>
      </c>
      <c r="H251">
        <v>7.1311900000000001E-4</v>
      </c>
      <c r="J251" t="str">
        <f t="shared" si="31"/>
        <v>[</v>
      </c>
      <c r="K251" t="str">
        <f t="shared" si="32"/>
        <v>[0.00001302185],</v>
      </c>
      <c r="L251" t="str">
        <f t="shared" si="33"/>
        <v>[0.0000260437],</v>
      </c>
      <c r="M251" t="str">
        <f t="shared" si="34"/>
        <v>[0.000233386],</v>
      </c>
      <c r="N251" t="str">
        <f t="shared" si="35"/>
        <v>[0.000117936],</v>
      </c>
      <c r="O251" t="str">
        <f t="shared" si="36"/>
        <v>[0.000430542],</v>
      </c>
      <c r="P251" t="str">
        <f t="shared" si="37"/>
        <v>[0.000547056],</v>
      </c>
      <c r="Q251" t="str">
        <f t="shared" si="38"/>
        <v>[0.000713119]</v>
      </c>
      <c r="R251" t="str">
        <f t="shared" si="39"/>
        <v>]</v>
      </c>
      <c r="S251" t="str">
        <f t="shared" si="40"/>
        <v>[[0.00001302185],[0.0000260437],[0.000233386],[0.000117936],[0.000430542],[0.000547056],[0.000713119]]</v>
      </c>
    </row>
    <row r="252" spans="1:19" x14ac:dyDescent="0.2">
      <c r="A252" s="1" t="d">
        <v>2026-04-23</v>
      </c>
      <c r="B252" s="2">
        <v>2.6043699999999999E-5</v>
      </c>
      <c r="C252" s="2">
        <v>2.6043699999999999E-5</v>
      </c>
      <c r="D252">
        <v>2.33386E-4</v>
      </c>
      <c r="E252">
        <v>1.17936E-4</v>
      </c>
      <c r="F252">
        <v>4.3054200000000001E-4</v>
      </c>
      <c r="G252">
        <v>5.4705599999999997E-4</v>
      </c>
      <c r="H252">
        <v>7.1311900000000001E-4</v>
      </c>
      <c r="J252" t="str">
        <f t="shared" si="31"/>
        <v>[</v>
      </c>
      <c r="K252" t="str">
        <f t="shared" si="32"/>
        <v>[0.00001302185],</v>
      </c>
      <c r="L252" t="str">
        <f t="shared" si="33"/>
        <v>[0.0000260437],</v>
      </c>
      <c r="M252" t="str">
        <f t="shared" si="34"/>
        <v>[0.000233386],</v>
      </c>
      <c r="N252" t="str">
        <f t="shared" si="35"/>
        <v>[0.000117936],</v>
      </c>
      <c r="O252" t="str">
        <f t="shared" si="36"/>
        <v>[0.000430542],</v>
      </c>
      <c r="P252" t="str">
        <f t="shared" si="37"/>
        <v>[0.000547056],</v>
      </c>
      <c r="Q252" t="str">
        <f t="shared" si="38"/>
        <v>[0.000713119]</v>
      </c>
      <c r="R252" t="str">
        <f t="shared" si="39"/>
        <v>]</v>
      </c>
      <c r="S252" t="str">
        <f t="shared" si="40"/>
        <v>[[0.00001302185],[0.0000260437],[0.000233386],[0.000117936],[0.000430542],[0.000547056],[0.000713119]]</v>
      </c>
    </row>
    <row r="253" spans="1:19" x14ac:dyDescent="0.2">
      <c r="A253" s="1" t="d">
        <v>2026-04-24</v>
      </c>
      <c r="B253" s="2">
        <v>2.6043699999999999E-5</v>
      </c>
      <c r="C253" s="2">
        <v>2.6043699999999999E-5</v>
      </c>
      <c r="D253">
        <v>2.33386E-4</v>
      </c>
      <c r="E253">
        <v>1.17936E-4</v>
      </c>
      <c r="F253">
        <v>4.3054200000000001E-4</v>
      </c>
      <c r="G253">
        <v>5.4705599999999997E-4</v>
      </c>
      <c r="H253">
        <v>7.1311900000000001E-4</v>
      </c>
      <c r="J253" t="str">
        <f t="shared" si="31"/>
        <v>[</v>
      </c>
      <c r="K253" t="str">
        <f t="shared" si="32"/>
        <v>[0.00001302185],</v>
      </c>
      <c r="L253" t="str">
        <f t="shared" si="33"/>
        <v>[0.0000260437],</v>
      </c>
      <c r="M253" t="str">
        <f t="shared" si="34"/>
        <v>[0.000233386],</v>
      </c>
      <c r="N253" t="str">
        <f t="shared" si="35"/>
        <v>[0.000117936],</v>
      </c>
      <c r="O253" t="str">
        <f t="shared" si="36"/>
        <v>[0.000430542],</v>
      </c>
      <c r="P253" t="str">
        <f t="shared" si="37"/>
        <v>[0.000547056],</v>
      </c>
      <c r="Q253" t="str">
        <f t="shared" si="38"/>
        <v>[0.000713119]</v>
      </c>
      <c r="R253" t="str">
        <f t="shared" si="39"/>
        <v>]</v>
      </c>
      <c r="S253" t="str">
        <f t="shared" si="40"/>
        <v>[[0.00001302185],[0.0000260437],[0.000233386],[0.000117936],[0.000430542],[0.000547056],[0.000713119]]</v>
      </c>
    </row>
    <row r="254" spans="1:19" x14ac:dyDescent="0.2">
      <c r="A254" s="1" t="d">
        <v>2026-04-25</v>
      </c>
      <c r="B254">
        <v>0</v>
      </c>
      <c r="C254">
        <v>0</v>
      </c>
      <c r="D254">
        <v>2.3850400000000001E-4</v>
      </c>
      <c r="E254" s="2">
        <v>9.6274500000000001E-5</v>
      </c>
      <c r="F254">
        <v>4.0846699999999998E-4</v>
      </c>
      <c r="G254">
        <v>5.7721400000000005E-4</v>
      </c>
      <c r="H254">
        <v>6.6342199999999999E-4</v>
      </c>
      <c r="J254" t="str">
        <f t="shared" si="31"/>
        <v>[</v>
      </c>
      <c r="K254" t="str">
        <f t="shared" si="32"/>
        <v>[0],</v>
      </c>
      <c r="L254" t="str">
        <f t="shared" si="33"/>
        <v>[0],</v>
      </c>
      <c r="M254" t="str">
        <f t="shared" si="34"/>
        <v>[0.000238504],</v>
      </c>
      <c r="N254" t="str">
        <f t="shared" si="35"/>
        <v>[0.0000962745],</v>
      </c>
      <c r="O254" t="str">
        <f t="shared" si="36"/>
        <v>[0.000408467],</v>
      </c>
      <c r="P254" t="str">
        <f t="shared" si="37"/>
        <v>[0.000577214],</v>
      </c>
      <c r="Q254" t="str">
        <f t="shared" si="38"/>
        <v>[0.000663422]</v>
      </c>
      <c r="R254" t="str">
        <f t="shared" si="39"/>
        <v>]</v>
      </c>
      <c r="S254" t="str">
        <f t="shared" si="40"/>
        <v>[[0],[0],[0.000238504],[0.0000962745],[0.000408467],[0.000577214],[0.000663422]]</v>
      </c>
    </row>
    <row r="255" spans="1:19" x14ac:dyDescent="0.2">
      <c r="A255" s="1" t="d">
        <v>2026-04-26</v>
      </c>
      <c r="B255">
        <v>0</v>
      </c>
      <c r="C255">
        <v>0</v>
      </c>
      <c r="D255">
        <v>2.3850400000000001E-4</v>
      </c>
      <c r="E255" s="2">
        <v>9.6274500000000001E-5</v>
      </c>
      <c r="F255">
        <v>4.0846699999999998E-4</v>
      </c>
      <c r="G255">
        <v>5.7721400000000005E-4</v>
      </c>
      <c r="H255">
        <v>6.6342199999999999E-4</v>
      </c>
      <c r="J255" t="str">
        <f t="shared" si="31"/>
        <v>[</v>
      </c>
      <c r="K255" t="str">
        <f t="shared" si="32"/>
        <v>[0],</v>
      </c>
      <c r="L255" t="str">
        <f t="shared" si="33"/>
        <v>[0],</v>
      </c>
      <c r="M255" t="str">
        <f t="shared" si="34"/>
        <v>[0.000238504],</v>
      </c>
      <c r="N255" t="str">
        <f t="shared" si="35"/>
        <v>[0.0000962745],</v>
      </c>
      <c r="O255" t="str">
        <f t="shared" si="36"/>
        <v>[0.000408467],</v>
      </c>
      <c r="P255" t="str">
        <f t="shared" si="37"/>
        <v>[0.000577214],</v>
      </c>
      <c r="Q255" t="str">
        <f t="shared" si="38"/>
        <v>[0.000663422]</v>
      </c>
      <c r="R255" t="str">
        <f t="shared" si="39"/>
        <v>]</v>
      </c>
      <c r="S255" t="str">
        <f t="shared" si="40"/>
        <v>[[0],[0],[0.000238504],[0.0000962745],[0.000408467],[0.000577214],[0.000663422]]</v>
      </c>
    </row>
    <row r="256" spans="1:19" x14ac:dyDescent="0.2">
      <c r="A256" s="1" t="d">
        <v>2026-04-27</v>
      </c>
      <c r="B256">
        <v>0</v>
      </c>
      <c r="C256">
        <v>0</v>
      </c>
      <c r="D256">
        <v>2.3850400000000001E-4</v>
      </c>
      <c r="E256" s="2">
        <v>9.6274500000000001E-5</v>
      </c>
      <c r="F256">
        <v>4.0846699999999998E-4</v>
      </c>
      <c r="G256">
        <v>5.7721400000000005E-4</v>
      </c>
      <c r="H256">
        <v>6.6342199999999999E-4</v>
      </c>
      <c r="J256" t="str">
        <f t="shared" si="31"/>
        <v>[</v>
      </c>
      <c r="K256" t="str">
        <f t="shared" si="32"/>
        <v>[0],</v>
      </c>
      <c r="L256" t="str">
        <f t="shared" si="33"/>
        <v>[0],</v>
      </c>
      <c r="M256" t="str">
        <f t="shared" si="34"/>
        <v>[0.000238504],</v>
      </c>
      <c r="N256" t="str">
        <f t="shared" si="35"/>
        <v>[0.0000962745],</v>
      </c>
      <c r="O256" t="str">
        <f t="shared" si="36"/>
        <v>[0.000408467],</v>
      </c>
      <c r="P256" t="str">
        <f t="shared" si="37"/>
        <v>[0.000577214],</v>
      </c>
      <c r="Q256" t="str">
        <f t="shared" si="38"/>
        <v>[0.000663422]</v>
      </c>
      <c r="R256" t="str">
        <f t="shared" si="39"/>
        <v>]</v>
      </c>
      <c r="S256" t="str">
        <f t="shared" si="40"/>
        <v>[[0],[0],[0.000238504],[0.0000962745],[0.000408467],[0.000577214],[0.000663422]]</v>
      </c>
    </row>
    <row r="257" spans="1:19" x14ac:dyDescent="0.2">
      <c r="A257" s="1" t="d">
        <v>2026-04-28</v>
      </c>
      <c r="B257">
        <v>0</v>
      </c>
      <c r="C257">
        <v>0</v>
      </c>
      <c r="D257">
        <v>2.3850400000000001E-4</v>
      </c>
      <c r="E257" s="2">
        <v>9.6274500000000001E-5</v>
      </c>
      <c r="F257">
        <v>4.0846699999999998E-4</v>
      </c>
      <c r="G257">
        <v>5.7721400000000005E-4</v>
      </c>
      <c r="H257">
        <v>6.6342199999999999E-4</v>
      </c>
      <c r="J257" t="str">
        <f t="shared" si="31"/>
        <v>[</v>
      </c>
      <c r="K257" t="str">
        <f t="shared" si="32"/>
        <v>[0],</v>
      </c>
      <c r="L257" t="str">
        <f t="shared" si="33"/>
        <v>[0],</v>
      </c>
      <c r="M257" t="str">
        <f t="shared" si="34"/>
        <v>[0.000238504],</v>
      </c>
      <c r="N257" t="str">
        <f t="shared" si="35"/>
        <v>[0.0000962745],</v>
      </c>
      <c r="O257" t="str">
        <f t="shared" si="36"/>
        <v>[0.000408467],</v>
      </c>
      <c r="P257" t="str">
        <f t="shared" si="37"/>
        <v>[0.000577214],</v>
      </c>
      <c r="Q257" t="str">
        <f t="shared" si="38"/>
        <v>[0.000663422]</v>
      </c>
      <c r="R257" t="str">
        <f t="shared" si="39"/>
        <v>]</v>
      </c>
      <c r="S257" t="str">
        <f t="shared" si="40"/>
        <v>[[0],[0],[0.000238504],[0.0000962745],[0.000408467],[0.000577214],[0.000663422]]</v>
      </c>
    </row>
    <row r="258" spans="1:19" x14ac:dyDescent="0.2">
      <c r="A258" s="1" t="d">
        <v>2026-04-29</v>
      </c>
      <c r="B258">
        <v>0</v>
      </c>
      <c r="C258">
        <v>0</v>
      </c>
      <c r="D258">
        <v>2.3850400000000001E-4</v>
      </c>
      <c r="E258" s="2">
        <v>9.6274500000000001E-5</v>
      </c>
      <c r="F258">
        <v>4.0846699999999998E-4</v>
      </c>
      <c r="G258">
        <v>5.7721400000000005E-4</v>
      </c>
      <c r="H258">
        <v>6.6342199999999999E-4</v>
      </c>
      <c r="J258" t="str">
        <f t="shared" si="31"/>
        <v>[</v>
      </c>
      <c r="K258" t="str">
        <f t="shared" si="32"/>
        <v>[0],</v>
      </c>
      <c r="L258" t="str">
        <f t="shared" si="33"/>
        <v>[0],</v>
      </c>
      <c r="M258" t="str">
        <f t="shared" si="34"/>
        <v>[0.000238504],</v>
      </c>
      <c r="N258" t="str">
        <f t="shared" si="35"/>
        <v>[0.0000962745],</v>
      </c>
      <c r="O258" t="str">
        <f t="shared" si="36"/>
        <v>[0.000408467],</v>
      </c>
      <c r="P258" t="str">
        <f t="shared" si="37"/>
        <v>[0.000577214],</v>
      </c>
      <c r="Q258" t="str">
        <f t="shared" si="38"/>
        <v>[0.000663422]</v>
      </c>
      <c r="R258" t="str">
        <f t="shared" si="39"/>
        <v>]</v>
      </c>
      <c r="S258" t="str">
        <f t="shared" si="40"/>
        <v>[[0],[0],[0.000238504],[0.0000962745],[0.000408467],[0.000577214],[0.000663422]]</v>
      </c>
    </row>
    <row r="259" spans="1:19" x14ac:dyDescent="0.2">
      <c r="A259" s="1" t="d">
        <v>2026-04-30</v>
      </c>
      <c r="B259">
        <v>0</v>
      </c>
      <c r="C259">
        <v>0</v>
      </c>
      <c r="D259">
        <v>2.3850400000000001E-4</v>
      </c>
      <c r="E259" s="2">
        <v>9.6274500000000001E-5</v>
      </c>
      <c r="F259">
        <v>4.0846699999999998E-4</v>
      </c>
      <c r="G259">
        <v>5.7721400000000005E-4</v>
      </c>
      <c r="H259">
        <v>6.6342199999999999E-4</v>
      </c>
      <c r="J259" t="str">
        <f t="shared" ref="J259:J302" si="41">"["</f>
        <v>[</v>
      </c>
      <c r="K259" t="str">
        <f t="shared" ref="K259:K302" si="42">"["&amp;B259/2&amp;"],"</f>
        <v>[0],</v>
      </c>
      <c r="L259" t="str">
        <f t="shared" ref="L259:L302" si="43">"["&amp;C259&amp;"],"</f>
        <v>[0],</v>
      </c>
      <c r="M259" t="str">
        <f t="shared" ref="M259:M302" si="44">"["&amp;D259&amp;"],"</f>
        <v>[0.000238504],</v>
      </c>
      <c r="N259" t="str">
        <f t="shared" ref="N259:N302" si="45">"["&amp;E259&amp;"],"</f>
        <v>[0.0000962745],</v>
      </c>
      <c r="O259" t="str">
        <f t="shared" ref="O259:O302" si="46">"["&amp;F259&amp;"],"</f>
        <v>[0.000408467],</v>
      </c>
      <c r="P259" t="str">
        <f t="shared" ref="P259:P302" si="47">"["&amp;G259&amp;"],"</f>
        <v>[0.000577214],</v>
      </c>
      <c r="Q259" t="str">
        <f t="shared" ref="Q259:Q302" si="48">"["&amp;H259&amp;"]"</f>
        <v>[0.000663422]</v>
      </c>
      <c r="R259" t="str">
        <f t="shared" ref="R259:R302" si="49">"]"</f>
        <v>]</v>
      </c>
      <c r="S259" t="str">
        <f t="shared" ref="S259:S302" si="50">J259&amp;K259&amp;L259&amp;M259&amp;N259&amp;O259&amp;P259&amp;Q259&amp;R259</f>
        <v>[[0],[0],[0.000238504],[0.0000962745],[0.000408467],[0.000577214],[0.000663422]]</v>
      </c>
    </row>
    <row r="260" spans="1:19" x14ac:dyDescent="0.2">
      <c r="A260" s="1" t="d">
        <v>2026-05-01</v>
      </c>
      <c r="B260">
        <v>0</v>
      </c>
      <c r="C260">
        <v>0</v>
      </c>
      <c r="D260">
        <v>2.3850400000000001E-4</v>
      </c>
      <c r="E260" s="2">
        <v>9.6274500000000001E-5</v>
      </c>
      <c r="F260">
        <v>4.0846699999999998E-4</v>
      </c>
      <c r="G260">
        <v>5.7721400000000005E-4</v>
      </c>
      <c r="H260">
        <v>6.6342199999999999E-4</v>
      </c>
      <c r="J260" t="str">
        <f t="shared" si="41"/>
        <v>[</v>
      </c>
      <c r="K260" t="str">
        <f t="shared" si="42"/>
        <v>[0],</v>
      </c>
      <c r="L260" t="str">
        <f t="shared" si="43"/>
        <v>[0],</v>
      </c>
      <c r="M260" t="str">
        <f t="shared" si="44"/>
        <v>[0.000238504],</v>
      </c>
      <c r="N260" t="str">
        <f t="shared" si="45"/>
        <v>[0.0000962745],</v>
      </c>
      <c r="O260" t="str">
        <f t="shared" si="46"/>
        <v>[0.000408467],</v>
      </c>
      <c r="P260" t="str">
        <f t="shared" si="47"/>
        <v>[0.000577214],</v>
      </c>
      <c r="Q260" t="str">
        <f t="shared" si="48"/>
        <v>[0.000663422]</v>
      </c>
      <c r="R260" t="str">
        <f t="shared" si="49"/>
        <v>]</v>
      </c>
      <c r="S260" t="str">
        <f t="shared" si="50"/>
        <v>[[0],[0],[0.000238504],[0.0000962745],[0.000408467],[0.000577214],[0.000663422]]</v>
      </c>
    </row>
    <row r="261" spans="1:19" x14ac:dyDescent="0.2">
      <c r="A261" s="1" t="d">
        <v>2026-05-02</v>
      </c>
      <c r="B261">
        <v>0</v>
      </c>
      <c r="C261">
        <v>0</v>
      </c>
      <c r="D261">
        <v>5.5833599999999999E-4</v>
      </c>
      <c r="E261">
        <v>2.2636499999999999E-4</v>
      </c>
      <c r="F261">
        <v>8.1591699999999999E-4</v>
      </c>
      <c r="G261">
        <v>1.1085629999999999E-3</v>
      </c>
      <c r="H261">
        <v>1.338136E-3</v>
      </c>
      <c r="J261" t="str">
        <f t="shared" si="41"/>
        <v>[</v>
      </c>
      <c r="K261" t="str">
        <f t="shared" si="42"/>
        <v>[0],</v>
      </c>
      <c r="L261" t="str">
        <f t="shared" si="43"/>
        <v>[0],</v>
      </c>
      <c r="M261" t="str">
        <f t="shared" si="44"/>
        <v>[0.000558336],</v>
      </c>
      <c r="N261" t="str">
        <f t="shared" si="45"/>
        <v>[0.000226365],</v>
      </c>
      <c r="O261" t="str">
        <f t="shared" si="46"/>
        <v>[0.000815917],</v>
      </c>
      <c r="P261" t="str">
        <f t="shared" si="47"/>
        <v>[0.001108563],</v>
      </c>
      <c r="Q261" t="str">
        <f t="shared" si="48"/>
        <v>[0.001338136]</v>
      </c>
      <c r="R261" t="str">
        <f t="shared" si="49"/>
        <v>]</v>
      </c>
      <c r="S261" t="str">
        <f t="shared" si="50"/>
        <v>[[0],[0],[0.000558336],[0.000226365],[0.000815917],[0.001108563],[0.001338136]]</v>
      </c>
    </row>
    <row r="262" spans="1:19" x14ac:dyDescent="0.2">
      <c r="A262" s="1" t="d">
        <v>2026-05-03</v>
      </c>
      <c r="B262">
        <v>0</v>
      </c>
      <c r="C262">
        <v>0</v>
      </c>
      <c r="D262">
        <v>5.5833599999999999E-4</v>
      </c>
      <c r="E262">
        <v>2.2636499999999999E-4</v>
      </c>
      <c r="F262">
        <v>8.1591699999999999E-4</v>
      </c>
      <c r="G262">
        <v>1.1085629999999999E-3</v>
      </c>
      <c r="H262">
        <v>1.338136E-3</v>
      </c>
      <c r="J262" t="str">
        <f t="shared" si="41"/>
        <v>[</v>
      </c>
      <c r="K262" t="str">
        <f t="shared" si="42"/>
        <v>[0],</v>
      </c>
      <c r="L262" t="str">
        <f t="shared" si="43"/>
        <v>[0],</v>
      </c>
      <c r="M262" t="str">
        <f t="shared" si="44"/>
        <v>[0.000558336],</v>
      </c>
      <c r="N262" t="str">
        <f t="shared" si="45"/>
        <v>[0.000226365],</v>
      </c>
      <c r="O262" t="str">
        <f t="shared" si="46"/>
        <v>[0.000815917],</v>
      </c>
      <c r="P262" t="str">
        <f t="shared" si="47"/>
        <v>[0.001108563],</v>
      </c>
      <c r="Q262" t="str">
        <f t="shared" si="48"/>
        <v>[0.001338136]</v>
      </c>
      <c r="R262" t="str">
        <f t="shared" si="49"/>
        <v>]</v>
      </c>
      <c r="S262" t="str">
        <f t="shared" si="50"/>
        <v>[[0],[0],[0.000558336],[0.000226365],[0.000815917],[0.001108563],[0.001338136]]</v>
      </c>
    </row>
    <row r="263" spans="1:19" x14ac:dyDescent="0.2">
      <c r="A263" s="1" t="d">
        <v>2026-05-04</v>
      </c>
      <c r="B263">
        <v>0</v>
      </c>
      <c r="C263">
        <v>0</v>
      </c>
      <c r="D263">
        <v>5.5833599999999999E-4</v>
      </c>
      <c r="E263">
        <v>2.2636499999999999E-4</v>
      </c>
      <c r="F263">
        <v>8.1591699999999999E-4</v>
      </c>
      <c r="G263">
        <v>1.1085629999999999E-3</v>
      </c>
      <c r="H263">
        <v>1.338136E-3</v>
      </c>
      <c r="J263" t="str">
        <f t="shared" si="41"/>
        <v>[</v>
      </c>
      <c r="K263" t="str">
        <f t="shared" si="42"/>
        <v>[0],</v>
      </c>
      <c r="L263" t="str">
        <f t="shared" si="43"/>
        <v>[0],</v>
      </c>
      <c r="M263" t="str">
        <f t="shared" si="44"/>
        <v>[0.000558336],</v>
      </c>
      <c r="N263" t="str">
        <f t="shared" si="45"/>
        <v>[0.000226365],</v>
      </c>
      <c r="O263" t="str">
        <f t="shared" si="46"/>
        <v>[0.000815917],</v>
      </c>
      <c r="P263" t="str">
        <f t="shared" si="47"/>
        <v>[0.001108563],</v>
      </c>
      <c r="Q263" t="str">
        <f t="shared" si="48"/>
        <v>[0.001338136]</v>
      </c>
      <c r="R263" t="str">
        <f t="shared" si="49"/>
        <v>]</v>
      </c>
      <c r="S263" t="str">
        <f t="shared" si="50"/>
        <v>[[0],[0],[0.000558336],[0.000226365],[0.000815917],[0.001108563],[0.001338136]]</v>
      </c>
    </row>
    <row r="264" spans="1:19" x14ac:dyDescent="0.2">
      <c r="A264" s="1" t="d">
        <v>2026-05-05</v>
      </c>
      <c r="B264">
        <v>0</v>
      </c>
      <c r="C264">
        <v>0</v>
      </c>
      <c r="D264">
        <v>5.5833599999999999E-4</v>
      </c>
      <c r="E264">
        <v>2.2636499999999999E-4</v>
      </c>
      <c r="F264">
        <v>8.1591699999999999E-4</v>
      </c>
      <c r="G264">
        <v>1.1085629999999999E-3</v>
      </c>
      <c r="H264">
        <v>1.338136E-3</v>
      </c>
      <c r="J264" t="str">
        <f t="shared" si="41"/>
        <v>[</v>
      </c>
      <c r="K264" t="str">
        <f t="shared" si="42"/>
        <v>[0],</v>
      </c>
      <c r="L264" t="str">
        <f t="shared" si="43"/>
        <v>[0],</v>
      </c>
      <c r="M264" t="str">
        <f t="shared" si="44"/>
        <v>[0.000558336],</v>
      </c>
      <c r="N264" t="str">
        <f t="shared" si="45"/>
        <v>[0.000226365],</v>
      </c>
      <c r="O264" t="str">
        <f t="shared" si="46"/>
        <v>[0.000815917],</v>
      </c>
      <c r="P264" t="str">
        <f t="shared" si="47"/>
        <v>[0.001108563],</v>
      </c>
      <c r="Q264" t="str">
        <f t="shared" si="48"/>
        <v>[0.001338136]</v>
      </c>
      <c r="R264" t="str">
        <f t="shared" si="49"/>
        <v>]</v>
      </c>
      <c r="S264" t="str">
        <f t="shared" si="50"/>
        <v>[[0],[0],[0.000558336],[0.000226365],[0.000815917],[0.001108563],[0.001338136]]</v>
      </c>
    </row>
    <row r="265" spans="1:19" x14ac:dyDescent="0.2">
      <c r="A265" s="1" t="d">
        <v>2026-05-06</v>
      </c>
      <c r="B265">
        <v>0</v>
      </c>
      <c r="C265">
        <v>0</v>
      </c>
      <c r="D265">
        <v>5.5833599999999999E-4</v>
      </c>
      <c r="E265">
        <v>2.2636499999999999E-4</v>
      </c>
      <c r="F265">
        <v>8.1591699999999999E-4</v>
      </c>
      <c r="G265">
        <v>1.1085629999999999E-3</v>
      </c>
      <c r="H265">
        <v>1.338136E-3</v>
      </c>
      <c r="J265" t="str">
        <f t="shared" si="41"/>
        <v>[</v>
      </c>
      <c r="K265" t="str">
        <f t="shared" si="42"/>
        <v>[0],</v>
      </c>
      <c r="L265" t="str">
        <f t="shared" si="43"/>
        <v>[0],</v>
      </c>
      <c r="M265" t="str">
        <f t="shared" si="44"/>
        <v>[0.000558336],</v>
      </c>
      <c r="N265" t="str">
        <f t="shared" si="45"/>
        <v>[0.000226365],</v>
      </c>
      <c r="O265" t="str">
        <f t="shared" si="46"/>
        <v>[0.000815917],</v>
      </c>
      <c r="P265" t="str">
        <f t="shared" si="47"/>
        <v>[0.001108563],</v>
      </c>
      <c r="Q265" t="str">
        <f t="shared" si="48"/>
        <v>[0.001338136]</v>
      </c>
      <c r="R265" t="str">
        <f t="shared" si="49"/>
        <v>]</v>
      </c>
      <c r="S265" t="str">
        <f t="shared" si="50"/>
        <v>[[0],[0],[0.000558336],[0.000226365],[0.000815917],[0.001108563],[0.001338136]]</v>
      </c>
    </row>
    <row r="266" spans="1:19" x14ac:dyDescent="0.2">
      <c r="A266" s="1" t="d">
        <v>2026-05-07</v>
      </c>
      <c r="B266">
        <v>0</v>
      </c>
      <c r="C266">
        <v>0</v>
      </c>
      <c r="D266">
        <v>5.5833599999999999E-4</v>
      </c>
      <c r="E266">
        <v>2.2636499999999999E-4</v>
      </c>
      <c r="F266">
        <v>8.1591699999999999E-4</v>
      </c>
      <c r="G266">
        <v>1.1085629999999999E-3</v>
      </c>
      <c r="H266">
        <v>1.338136E-3</v>
      </c>
      <c r="J266" t="str">
        <f t="shared" si="41"/>
        <v>[</v>
      </c>
      <c r="K266" t="str">
        <f t="shared" si="42"/>
        <v>[0],</v>
      </c>
      <c r="L266" t="str">
        <f t="shared" si="43"/>
        <v>[0],</v>
      </c>
      <c r="M266" t="str">
        <f t="shared" si="44"/>
        <v>[0.000558336],</v>
      </c>
      <c r="N266" t="str">
        <f t="shared" si="45"/>
        <v>[0.000226365],</v>
      </c>
      <c r="O266" t="str">
        <f t="shared" si="46"/>
        <v>[0.000815917],</v>
      </c>
      <c r="P266" t="str">
        <f t="shared" si="47"/>
        <v>[0.001108563],</v>
      </c>
      <c r="Q266" t="str">
        <f t="shared" si="48"/>
        <v>[0.001338136]</v>
      </c>
      <c r="R266" t="str">
        <f t="shared" si="49"/>
        <v>]</v>
      </c>
      <c r="S266" t="str">
        <f t="shared" si="50"/>
        <v>[[0],[0],[0.000558336],[0.000226365],[0.000815917],[0.001108563],[0.001338136]]</v>
      </c>
    </row>
    <row r="267" spans="1:19" x14ac:dyDescent="0.2">
      <c r="A267" s="1" t="d">
        <v>2026-05-08</v>
      </c>
      <c r="B267">
        <v>0</v>
      </c>
      <c r="C267">
        <v>0</v>
      </c>
      <c r="D267">
        <v>5.5833599999999999E-4</v>
      </c>
      <c r="E267">
        <v>2.2636499999999999E-4</v>
      </c>
      <c r="F267">
        <v>8.1591699999999999E-4</v>
      </c>
      <c r="G267">
        <v>1.1085629999999999E-3</v>
      </c>
      <c r="H267">
        <v>1.338136E-3</v>
      </c>
      <c r="J267" t="str">
        <f t="shared" si="41"/>
        <v>[</v>
      </c>
      <c r="K267" t="str">
        <f t="shared" si="42"/>
        <v>[0],</v>
      </c>
      <c r="L267" t="str">
        <f t="shared" si="43"/>
        <v>[0],</v>
      </c>
      <c r="M267" t="str">
        <f t="shared" si="44"/>
        <v>[0.000558336],</v>
      </c>
      <c r="N267" t="str">
        <f t="shared" si="45"/>
        <v>[0.000226365],</v>
      </c>
      <c r="O267" t="str">
        <f t="shared" si="46"/>
        <v>[0.000815917],</v>
      </c>
      <c r="P267" t="str">
        <f t="shared" si="47"/>
        <v>[0.001108563],</v>
      </c>
      <c r="Q267" t="str">
        <f t="shared" si="48"/>
        <v>[0.001338136]</v>
      </c>
      <c r="R267" t="str">
        <f t="shared" si="49"/>
        <v>]</v>
      </c>
      <c r="S267" t="str">
        <f t="shared" si="50"/>
        <v>[[0],[0],[0.000558336],[0.000226365],[0.000815917],[0.001108563],[0.001338136]]</v>
      </c>
    </row>
    <row r="268" spans="1:19" x14ac:dyDescent="0.2">
      <c r="A268" s="1" t="d">
        <v>2026-05-09</v>
      </c>
      <c r="B268">
        <v>0</v>
      </c>
      <c r="C268">
        <v>0</v>
      </c>
      <c r="D268">
        <v>2.9296699999999999E-4</v>
      </c>
      <c r="E268">
        <v>1.2272199999999999E-4</v>
      </c>
      <c r="F268">
        <v>2.7979300000000002E-4</v>
      </c>
      <c r="G268">
        <v>3.2819400000000002E-4</v>
      </c>
      <c r="H268">
        <v>4.7436599999999999E-4</v>
      </c>
      <c r="J268" t="str">
        <f t="shared" si="41"/>
        <v>[</v>
      </c>
      <c r="K268" t="str">
        <f t="shared" si="42"/>
        <v>[0],</v>
      </c>
      <c r="L268" t="str">
        <f t="shared" si="43"/>
        <v>[0],</v>
      </c>
      <c r="M268" t="str">
        <f t="shared" si="44"/>
        <v>[0.000292967],</v>
      </c>
      <c r="N268" t="str">
        <f t="shared" si="45"/>
        <v>[0.000122722],</v>
      </c>
      <c r="O268" t="str">
        <f t="shared" si="46"/>
        <v>[0.000279793],</v>
      </c>
      <c r="P268" t="str">
        <f t="shared" si="47"/>
        <v>[0.000328194],</v>
      </c>
      <c r="Q268" t="str">
        <f t="shared" si="48"/>
        <v>[0.000474366]</v>
      </c>
      <c r="R268" t="str">
        <f t="shared" si="49"/>
        <v>]</v>
      </c>
      <c r="S268" t="str">
        <f t="shared" si="50"/>
        <v>[[0],[0],[0.000292967],[0.000122722],[0.000279793],[0.000328194],[0.000474366]]</v>
      </c>
    </row>
    <row r="269" spans="1:19" x14ac:dyDescent="0.2">
      <c r="A269" s="1" t="d">
        <v>2026-05-10</v>
      </c>
      <c r="B269">
        <v>0</v>
      </c>
      <c r="C269">
        <v>0</v>
      </c>
      <c r="D269">
        <v>2.9296699999999999E-4</v>
      </c>
      <c r="E269">
        <v>1.2272199999999999E-4</v>
      </c>
      <c r="F269">
        <v>2.7979300000000002E-4</v>
      </c>
      <c r="G269">
        <v>3.2819400000000002E-4</v>
      </c>
      <c r="H269">
        <v>4.7436599999999999E-4</v>
      </c>
      <c r="J269" t="str">
        <f t="shared" si="41"/>
        <v>[</v>
      </c>
      <c r="K269" t="str">
        <f t="shared" si="42"/>
        <v>[0],</v>
      </c>
      <c r="L269" t="str">
        <f t="shared" si="43"/>
        <v>[0],</v>
      </c>
      <c r="M269" t="str">
        <f t="shared" si="44"/>
        <v>[0.000292967],</v>
      </c>
      <c r="N269" t="str">
        <f t="shared" si="45"/>
        <v>[0.000122722],</v>
      </c>
      <c r="O269" t="str">
        <f t="shared" si="46"/>
        <v>[0.000279793],</v>
      </c>
      <c r="P269" t="str">
        <f t="shared" si="47"/>
        <v>[0.000328194],</v>
      </c>
      <c r="Q269" t="str">
        <f t="shared" si="48"/>
        <v>[0.000474366]</v>
      </c>
      <c r="R269" t="str">
        <f t="shared" si="49"/>
        <v>]</v>
      </c>
      <c r="S269" t="str">
        <f t="shared" si="50"/>
        <v>[[0],[0],[0.000292967],[0.000122722],[0.000279793],[0.000328194],[0.000474366]]</v>
      </c>
    </row>
    <row r="270" spans="1:19" x14ac:dyDescent="0.2">
      <c r="A270" s="1" t="d">
        <v>2026-05-11</v>
      </c>
      <c r="B270">
        <v>0</v>
      </c>
      <c r="C270">
        <v>0</v>
      </c>
      <c r="D270">
        <v>2.9296699999999999E-4</v>
      </c>
      <c r="E270">
        <v>1.2272199999999999E-4</v>
      </c>
      <c r="F270">
        <v>2.7979300000000002E-4</v>
      </c>
      <c r="G270">
        <v>3.2819400000000002E-4</v>
      </c>
      <c r="H270">
        <v>4.7436599999999999E-4</v>
      </c>
      <c r="J270" t="str">
        <f t="shared" si="41"/>
        <v>[</v>
      </c>
      <c r="K270" t="str">
        <f t="shared" si="42"/>
        <v>[0],</v>
      </c>
      <c r="L270" t="str">
        <f t="shared" si="43"/>
        <v>[0],</v>
      </c>
      <c r="M270" t="str">
        <f t="shared" si="44"/>
        <v>[0.000292967],</v>
      </c>
      <c r="N270" t="str">
        <f t="shared" si="45"/>
        <v>[0.000122722],</v>
      </c>
      <c r="O270" t="str">
        <f t="shared" si="46"/>
        <v>[0.000279793],</v>
      </c>
      <c r="P270" t="str">
        <f t="shared" si="47"/>
        <v>[0.000328194],</v>
      </c>
      <c r="Q270" t="str">
        <f t="shared" si="48"/>
        <v>[0.000474366]</v>
      </c>
      <c r="R270" t="str">
        <f t="shared" si="49"/>
        <v>]</v>
      </c>
      <c r="S270" t="str">
        <f t="shared" si="50"/>
        <v>[[0],[0],[0.000292967],[0.000122722],[0.000279793],[0.000328194],[0.000474366]]</v>
      </c>
    </row>
    <row r="271" spans="1:19" x14ac:dyDescent="0.2">
      <c r="A271" s="1" t="d">
        <v>2026-05-12</v>
      </c>
      <c r="B271">
        <v>0</v>
      </c>
      <c r="C271">
        <v>0</v>
      </c>
      <c r="D271">
        <v>2.9296699999999999E-4</v>
      </c>
      <c r="E271">
        <v>1.2272199999999999E-4</v>
      </c>
      <c r="F271">
        <v>2.7979300000000002E-4</v>
      </c>
      <c r="G271">
        <v>3.2819400000000002E-4</v>
      </c>
      <c r="H271">
        <v>4.7436599999999999E-4</v>
      </c>
      <c r="J271" t="str">
        <f t="shared" si="41"/>
        <v>[</v>
      </c>
      <c r="K271" t="str">
        <f t="shared" si="42"/>
        <v>[0],</v>
      </c>
      <c r="L271" t="str">
        <f t="shared" si="43"/>
        <v>[0],</v>
      </c>
      <c r="M271" t="str">
        <f t="shared" si="44"/>
        <v>[0.000292967],</v>
      </c>
      <c r="N271" t="str">
        <f t="shared" si="45"/>
        <v>[0.000122722],</v>
      </c>
      <c r="O271" t="str">
        <f t="shared" si="46"/>
        <v>[0.000279793],</v>
      </c>
      <c r="P271" t="str">
        <f t="shared" si="47"/>
        <v>[0.000328194],</v>
      </c>
      <c r="Q271" t="str">
        <f t="shared" si="48"/>
        <v>[0.000474366]</v>
      </c>
      <c r="R271" t="str">
        <f t="shared" si="49"/>
        <v>]</v>
      </c>
      <c r="S271" t="str">
        <f t="shared" si="50"/>
        <v>[[0],[0],[0.000292967],[0.000122722],[0.000279793],[0.000328194],[0.000474366]]</v>
      </c>
    </row>
    <row r="272" spans="1:19" x14ac:dyDescent="0.2">
      <c r="A272" s="1" t="d">
        <v>2026-05-13</v>
      </c>
      <c r="B272">
        <v>0</v>
      </c>
      <c r="C272">
        <v>0</v>
      </c>
      <c r="D272">
        <v>2.9296699999999999E-4</v>
      </c>
      <c r="E272">
        <v>1.2272199999999999E-4</v>
      </c>
      <c r="F272">
        <v>2.7979300000000002E-4</v>
      </c>
      <c r="G272">
        <v>3.2819400000000002E-4</v>
      </c>
      <c r="H272">
        <v>4.7436599999999999E-4</v>
      </c>
      <c r="J272" t="str">
        <f t="shared" si="41"/>
        <v>[</v>
      </c>
      <c r="K272" t="str">
        <f t="shared" si="42"/>
        <v>[0],</v>
      </c>
      <c r="L272" t="str">
        <f t="shared" si="43"/>
        <v>[0],</v>
      </c>
      <c r="M272" t="str">
        <f t="shared" si="44"/>
        <v>[0.000292967],</v>
      </c>
      <c r="N272" t="str">
        <f t="shared" si="45"/>
        <v>[0.000122722],</v>
      </c>
      <c r="O272" t="str">
        <f t="shared" si="46"/>
        <v>[0.000279793],</v>
      </c>
      <c r="P272" t="str">
        <f t="shared" si="47"/>
        <v>[0.000328194],</v>
      </c>
      <c r="Q272" t="str">
        <f t="shared" si="48"/>
        <v>[0.000474366]</v>
      </c>
      <c r="R272" t="str">
        <f t="shared" si="49"/>
        <v>]</v>
      </c>
      <c r="S272" t="str">
        <f t="shared" si="50"/>
        <v>[[0],[0],[0.000292967],[0.000122722],[0.000279793],[0.000328194],[0.000474366]]</v>
      </c>
    </row>
    <row r="273" spans="1:19" x14ac:dyDescent="0.2">
      <c r="A273" s="1" t="d">
        <v>2026-05-14</v>
      </c>
      <c r="B273">
        <v>0</v>
      </c>
      <c r="C273">
        <v>0</v>
      </c>
      <c r="D273">
        <v>2.9296699999999999E-4</v>
      </c>
      <c r="E273">
        <v>1.2272199999999999E-4</v>
      </c>
      <c r="F273">
        <v>2.7979300000000002E-4</v>
      </c>
      <c r="G273">
        <v>3.2819400000000002E-4</v>
      </c>
      <c r="H273">
        <v>4.7436599999999999E-4</v>
      </c>
      <c r="J273" t="str">
        <f t="shared" si="41"/>
        <v>[</v>
      </c>
      <c r="K273" t="str">
        <f t="shared" si="42"/>
        <v>[0],</v>
      </c>
      <c r="L273" t="str">
        <f t="shared" si="43"/>
        <v>[0],</v>
      </c>
      <c r="M273" t="str">
        <f t="shared" si="44"/>
        <v>[0.000292967],</v>
      </c>
      <c r="N273" t="str">
        <f t="shared" si="45"/>
        <v>[0.000122722],</v>
      </c>
      <c r="O273" t="str">
        <f t="shared" si="46"/>
        <v>[0.000279793],</v>
      </c>
      <c r="P273" t="str">
        <f t="shared" si="47"/>
        <v>[0.000328194],</v>
      </c>
      <c r="Q273" t="str">
        <f t="shared" si="48"/>
        <v>[0.000474366]</v>
      </c>
      <c r="R273" t="str">
        <f t="shared" si="49"/>
        <v>]</v>
      </c>
      <c r="S273" t="str">
        <f t="shared" si="50"/>
        <v>[[0],[0],[0.000292967],[0.000122722],[0.000279793],[0.000328194],[0.000474366]]</v>
      </c>
    </row>
    <row r="274" spans="1:19" x14ac:dyDescent="0.2">
      <c r="A274" s="1" t="d">
        <v>2026-05-15</v>
      </c>
      <c r="B274">
        <v>0</v>
      </c>
      <c r="C274">
        <v>0</v>
      </c>
      <c r="D274">
        <v>2.9296699999999999E-4</v>
      </c>
      <c r="E274">
        <v>1.2272199999999999E-4</v>
      </c>
      <c r="F274">
        <v>2.7979300000000002E-4</v>
      </c>
      <c r="G274">
        <v>3.2819400000000002E-4</v>
      </c>
      <c r="H274">
        <v>4.7436599999999999E-4</v>
      </c>
      <c r="J274" t="str">
        <f t="shared" si="41"/>
        <v>[</v>
      </c>
      <c r="K274" t="str">
        <f t="shared" si="42"/>
        <v>[0],</v>
      </c>
      <c r="L274" t="str">
        <f t="shared" si="43"/>
        <v>[0],</v>
      </c>
      <c r="M274" t="str">
        <f t="shared" si="44"/>
        <v>[0.000292967],</v>
      </c>
      <c r="N274" t="str">
        <f t="shared" si="45"/>
        <v>[0.000122722],</v>
      </c>
      <c r="O274" t="str">
        <f t="shared" si="46"/>
        <v>[0.000279793],</v>
      </c>
      <c r="P274" t="str">
        <f t="shared" si="47"/>
        <v>[0.000328194],</v>
      </c>
      <c r="Q274" t="str">
        <f t="shared" si="48"/>
        <v>[0.000474366]</v>
      </c>
      <c r="R274" t="str">
        <f t="shared" si="49"/>
        <v>]</v>
      </c>
      <c r="S274" t="str">
        <f t="shared" si="50"/>
        <v>[[0],[0],[0.000292967],[0.000122722],[0.000279793],[0.000328194],[0.000474366]]</v>
      </c>
    </row>
    <row r="275" spans="1:19" x14ac:dyDescent="0.2">
      <c r="A275" s="1" t="d">
        <v>2026-05-16</v>
      </c>
      <c r="B275">
        <v>0</v>
      </c>
      <c r="C275">
        <v>0</v>
      </c>
      <c r="D275">
        <v>2.9921800000000002E-4</v>
      </c>
      <c r="E275">
        <v>1.3524199999999999E-4</v>
      </c>
      <c r="F275">
        <v>1.66711E-4</v>
      </c>
      <c r="G275">
        <v>1.26892E-4</v>
      </c>
      <c r="H275">
        <v>3.0127799999999998E-4</v>
      </c>
      <c r="J275" t="str">
        <f t="shared" si="41"/>
        <v>[</v>
      </c>
      <c r="K275" t="str">
        <f t="shared" si="42"/>
        <v>[0],</v>
      </c>
      <c r="L275" t="str">
        <f t="shared" si="43"/>
        <v>[0],</v>
      </c>
      <c r="M275" t="str">
        <f t="shared" si="44"/>
        <v>[0.000299218],</v>
      </c>
      <c r="N275" t="str">
        <f t="shared" si="45"/>
        <v>[0.000135242],</v>
      </c>
      <c r="O275" t="str">
        <f t="shared" si="46"/>
        <v>[0.000166711],</v>
      </c>
      <c r="P275" t="str">
        <f t="shared" si="47"/>
        <v>[0.000126892],</v>
      </c>
      <c r="Q275" t="str">
        <f t="shared" si="48"/>
        <v>[0.000301278]</v>
      </c>
      <c r="R275" t="str">
        <f t="shared" si="49"/>
        <v>]</v>
      </c>
      <c r="S275" t="str">
        <f t="shared" si="50"/>
        <v>[[0],[0],[0.000299218],[0.000135242],[0.000166711],[0.000126892],[0.000301278]]</v>
      </c>
    </row>
    <row r="276" spans="1:19" x14ac:dyDescent="0.2">
      <c r="A276" s="1" t="d">
        <v>2026-05-17</v>
      </c>
      <c r="B276">
        <v>0</v>
      </c>
      <c r="C276">
        <v>0</v>
      </c>
      <c r="D276">
        <v>2.9921800000000002E-4</v>
      </c>
      <c r="E276">
        <v>1.3524199999999999E-4</v>
      </c>
      <c r="F276">
        <v>1.66711E-4</v>
      </c>
      <c r="G276">
        <v>1.26892E-4</v>
      </c>
      <c r="H276">
        <v>3.0127799999999998E-4</v>
      </c>
      <c r="J276" t="str">
        <f t="shared" si="41"/>
        <v>[</v>
      </c>
      <c r="K276" t="str">
        <f t="shared" si="42"/>
        <v>[0],</v>
      </c>
      <c r="L276" t="str">
        <f t="shared" si="43"/>
        <v>[0],</v>
      </c>
      <c r="M276" t="str">
        <f t="shared" si="44"/>
        <v>[0.000299218],</v>
      </c>
      <c r="N276" t="str">
        <f t="shared" si="45"/>
        <v>[0.000135242],</v>
      </c>
      <c r="O276" t="str">
        <f t="shared" si="46"/>
        <v>[0.000166711],</v>
      </c>
      <c r="P276" t="str">
        <f t="shared" si="47"/>
        <v>[0.000126892],</v>
      </c>
      <c r="Q276" t="str">
        <f t="shared" si="48"/>
        <v>[0.000301278]</v>
      </c>
      <c r="R276" t="str">
        <f t="shared" si="49"/>
        <v>]</v>
      </c>
      <c r="S276" t="str">
        <f t="shared" si="50"/>
        <v>[[0],[0],[0.000299218],[0.000135242],[0.000166711],[0.000126892],[0.000301278]]</v>
      </c>
    </row>
    <row r="277" spans="1:19" x14ac:dyDescent="0.2">
      <c r="A277" s="1" t="d">
        <v>2026-05-18</v>
      </c>
      <c r="B277">
        <v>0</v>
      </c>
      <c r="C277">
        <v>0</v>
      </c>
      <c r="D277">
        <v>2.9921800000000002E-4</v>
      </c>
      <c r="E277">
        <v>1.3524199999999999E-4</v>
      </c>
      <c r="F277">
        <v>1.66711E-4</v>
      </c>
      <c r="G277">
        <v>1.26892E-4</v>
      </c>
      <c r="H277">
        <v>3.0127799999999998E-4</v>
      </c>
      <c r="J277" t="str">
        <f t="shared" si="41"/>
        <v>[</v>
      </c>
      <c r="K277" t="str">
        <f t="shared" si="42"/>
        <v>[0],</v>
      </c>
      <c r="L277" t="str">
        <f t="shared" si="43"/>
        <v>[0],</v>
      </c>
      <c r="M277" t="str">
        <f t="shared" si="44"/>
        <v>[0.000299218],</v>
      </c>
      <c r="N277" t="str">
        <f t="shared" si="45"/>
        <v>[0.000135242],</v>
      </c>
      <c r="O277" t="str">
        <f t="shared" si="46"/>
        <v>[0.000166711],</v>
      </c>
      <c r="P277" t="str">
        <f t="shared" si="47"/>
        <v>[0.000126892],</v>
      </c>
      <c r="Q277" t="str">
        <f t="shared" si="48"/>
        <v>[0.000301278]</v>
      </c>
      <c r="R277" t="str">
        <f t="shared" si="49"/>
        <v>]</v>
      </c>
      <c r="S277" t="str">
        <f t="shared" si="50"/>
        <v>[[0],[0],[0.000299218],[0.000135242],[0.000166711],[0.000126892],[0.000301278]]</v>
      </c>
    </row>
    <row r="278" spans="1:19" x14ac:dyDescent="0.2">
      <c r="A278" s="1" t="d">
        <v>2026-05-19</v>
      </c>
      <c r="B278">
        <v>0</v>
      </c>
      <c r="C278">
        <v>0</v>
      </c>
      <c r="D278">
        <v>2.9921800000000002E-4</v>
      </c>
      <c r="E278">
        <v>1.3524199999999999E-4</v>
      </c>
      <c r="F278">
        <v>1.66711E-4</v>
      </c>
      <c r="G278">
        <v>1.26892E-4</v>
      </c>
      <c r="H278">
        <v>3.0127799999999998E-4</v>
      </c>
      <c r="J278" t="str">
        <f t="shared" si="41"/>
        <v>[</v>
      </c>
      <c r="K278" t="str">
        <f t="shared" si="42"/>
        <v>[0],</v>
      </c>
      <c r="L278" t="str">
        <f t="shared" si="43"/>
        <v>[0],</v>
      </c>
      <c r="M278" t="str">
        <f t="shared" si="44"/>
        <v>[0.000299218],</v>
      </c>
      <c r="N278" t="str">
        <f t="shared" si="45"/>
        <v>[0.000135242],</v>
      </c>
      <c r="O278" t="str">
        <f t="shared" si="46"/>
        <v>[0.000166711],</v>
      </c>
      <c r="P278" t="str">
        <f t="shared" si="47"/>
        <v>[0.000126892],</v>
      </c>
      <c r="Q278" t="str">
        <f t="shared" si="48"/>
        <v>[0.000301278]</v>
      </c>
      <c r="R278" t="str">
        <f t="shared" si="49"/>
        <v>]</v>
      </c>
      <c r="S278" t="str">
        <f t="shared" si="50"/>
        <v>[[0],[0],[0.000299218],[0.000135242],[0.000166711],[0.000126892],[0.000301278]]</v>
      </c>
    </row>
    <row r="279" spans="1:19" x14ac:dyDescent="0.2">
      <c r="A279" s="1" t="d">
        <v>2026-05-20</v>
      </c>
      <c r="B279">
        <v>0</v>
      </c>
      <c r="C279">
        <v>0</v>
      </c>
      <c r="D279">
        <v>2.9921800000000002E-4</v>
      </c>
      <c r="E279">
        <v>1.3524199999999999E-4</v>
      </c>
      <c r="F279">
        <v>1.66711E-4</v>
      </c>
      <c r="G279">
        <v>1.26892E-4</v>
      </c>
      <c r="H279">
        <v>3.0127799999999998E-4</v>
      </c>
      <c r="J279" t="str">
        <f t="shared" si="41"/>
        <v>[</v>
      </c>
      <c r="K279" t="str">
        <f t="shared" si="42"/>
        <v>[0],</v>
      </c>
      <c r="L279" t="str">
        <f t="shared" si="43"/>
        <v>[0],</v>
      </c>
      <c r="M279" t="str">
        <f t="shared" si="44"/>
        <v>[0.000299218],</v>
      </c>
      <c r="N279" t="str">
        <f t="shared" si="45"/>
        <v>[0.000135242],</v>
      </c>
      <c r="O279" t="str">
        <f t="shared" si="46"/>
        <v>[0.000166711],</v>
      </c>
      <c r="P279" t="str">
        <f t="shared" si="47"/>
        <v>[0.000126892],</v>
      </c>
      <c r="Q279" t="str">
        <f t="shared" si="48"/>
        <v>[0.000301278]</v>
      </c>
      <c r="R279" t="str">
        <f t="shared" si="49"/>
        <v>]</v>
      </c>
      <c r="S279" t="str">
        <f t="shared" si="50"/>
        <v>[[0],[0],[0.000299218],[0.000135242],[0.000166711],[0.000126892],[0.000301278]]</v>
      </c>
    </row>
    <row r="280" spans="1:19" x14ac:dyDescent="0.2">
      <c r="A280" s="1" t="d">
        <v>2026-05-21</v>
      </c>
      <c r="B280">
        <v>0</v>
      </c>
      <c r="C280">
        <v>0</v>
      </c>
      <c r="D280">
        <v>2.9921800000000002E-4</v>
      </c>
      <c r="E280">
        <v>1.3524199999999999E-4</v>
      </c>
      <c r="F280">
        <v>1.66711E-4</v>
      </c>
      <c r="G280">
        <v>1.26892E-4</v>
      </c>
      <c r="H280">
        <v>3.0127799999999998E-4</v>
      </c>
      <c r="J280" t="str">
        <f t="shared" si="41"/>
        <v>[</v>
      </c>
      <c r="K280" t="str">
        <f t="shared" si="42"/>
        <v>[0],</v>
      </c>
      <c r="L280" t="str">
        <f t="shared" si="43"/>
        <v>[0],</v>
      </c>
      <c r="M280" t="str">
        <f t="shared" si="44"/>
        <v>[0.000299218],</v>
      </c>
      <c r="N280" t="str">
        <f t="shared" si="45"/>
        <v>[0.000135242],</v>
      </c>
      <c r="O280" t="str">
        <f t="shared" si="46"/>
        <v>[0.000166711],</v>
      </c>
      <c r="P280" t="str">
        <f t="shared" si="47"/>
        <v>[0.000126892],</v>
      </c>
      <c r="Q280" t="str">
        <f t="shared" si="48"/>
        <v>[0.000301278]</v>
      </c>
      <c r="R280" t="str">
        <f t="shared" si="49"/>
        <v>]</v>
      </c>
      <c r="S280" t="str">
        <f t="shared" si="50"/>
        <v>[[0],[0],[0.000299218],[0.000135242],[0.000166711],[0.000126892],[0.000301278]]</v>
      </c>
    </row>
    <row r="281" spans="1:19" x14ac:dyDescent="0.2">
      <c r="A281" s="1" t="d">
        <v>2026-05-22</v>
      </c>
      <c r="B281">
        <v>0</v>
      </c>
      <c r="C281">
        <v>0</v>
      </c>
      <c r="D281">
        <v>2.9921800000000002E-4</v>
      </c>
      <c r="E281">
        <v>1.3524199999999999E-4</v>
      </c>
      <c r="F281">
        <v>1.66711E-4</v>
      </c>
      <c r="G281">
        <v>1.26892E-4</v>
      </c>
      <c r="H281">
        <v>3.0127799999999998E-4</v>
      </c>
      <c r="J281" t="str">
        <f t="shared" si="41"/>
        <v>[</v>
      </c>
      <c r="K281" t="str">
        <f t="shared" si="42"/>
        <v>[0],</v>
      </c>
      <c r="L281" t="str">
        <f t="shared" si="43"/>
        <v>[0],</v>
      </c>
      <c r="M281" t="str">
        <f t="shared" si="44"/>
        <v>[0.000299218],</v>
      </c>
      <c r="N281" t="str">
        <f t="shared" si="45"/>
        <v>[0.000135242],</v>
      </c>
      <c r="O281" t="str">
        <f t="shared" si="46"/>
        <v>[0.000166711],</v>
      </c>
      <c r="P281" t="str">
        <f t="shared" si="47"/>
        <v>[0.000126892],</v>
      </c>
      <c r="Q281" t="str">
        <f t="shared" si="48"/>
        <v>[0.000301278]</v>
      </c>
      <c r="R281" t="str">
        <f t="shared" si="49"/>
        <v>]</v>
      </c>
      <c r="S281" t="str">
        <f t="shared" si="50"/>
        <v>[[0],[0],[0.000299218],[0.000135242],[0.000166711],[0.000126892],[0.000301278]]</v>
      </c>
    </row>
    <row r="282" spans="1:19" x14ac:dyDescent="0.2">
      <c r="A282" s="1" t="d">
        <v>2026-05-23</v>
      </c>
      <c r="B282">
        <v>0</v>
      </c>
      <c r="C282">
        <v>0</v>
      </c>
      <c r="D282">
        <v>3.0624899999999997E-4</v>
      </c>
      <c r="E282">
        <v>1.4766200000000001E-4</v>
      </c>
      <c r="F282" s="2">
        <v>8.8490000000000001E-5</v>
      </c>
      <c r="G282" s="2">
        <v>7.4045400000000003E-6</v>
      </c>
      <c r="H282">
        <v>1.76723E-4</v>
      </c>
      <c r="J282" t="str">
        <f t="shared" si="41"/>
        <v>[</v>
      </c>
      <c r="K282" t="str">
        <f t="shared" si="42"/>
        <v>[0],</v>
      </c>
      <c r="L282" t="str">
        <f t="shared" si="43"/>
        <v>[0],</v>
      </c>
      <c r="M282" t="str">
        <f t="shared" si="44"/>
        <v>[0.000306249],</v>
      </c>
      <c r="N282" t="str">
        <f t="shared" si="45"/>
        <v>[0.000147662],</v>
      </c>
      <c r="O282" t="str">
        <f t="shared" si="46"/>
        <v>[0.00008849],</v>
      </c>
      <c r="P282" t="str">
        <f t="shared" si="47"/>
        <v>[0.00000740454],</v>
      </c>
      <c r="Q282" t="str">
        <f t="shared" si="48"/>
        <v>[0.000176723]</v>
      </c>
      <c r="R282" t="str">
        <f t="shared" si="49"/>
        <v>]</v>
      </c>
      <c r="S282" t="str">
        <f t="shared" si="50"/>
        <v>[[0],[0],[0.000306249],[0.000147662],[0.00008849],[0.00000740454],[0.000176723]]</v>
      </c>
    </row>
    <row r="283" spans="1:19" x14ac:dyDescent="0.2">
      <c r="A283" s="1" t="d">
        <v>2026-05-24</v>
      </c>
      <c r="B283">
        <v>0</v>
      </c>
      <c r="C283">
        <v>0</v>
      </c>
      <c r="D283">
        <v>3.0624899999999997E-4</v>
      </c>
      <c r="E283">
        <v>1.4766200000000001E-4</v>
      </c>
      <c r="F283" s="2">
        <v>8.8490000000000001E-5</v>
      </c>
      <c r="G283" s="2">
        <v>7.4045400000000003E-6</v>
      </c>
      <c r="H283">
        <v>1.76723E-4</v>
      </c>
      <c r="J283" t="str">
        <f t="shared" si="41"/>
        <v>[</v>
      </c>
      <c r="K283" t="str">
        <f t="shared" si="42"/>
        <v>[0],</v>
      </c>
      <c r="L283" t="str">
        <f t="shared" si="43"/>
        <v>[0],</v>
      </c>
      <c r="M283" t="str">
        <f t="shared" si="44"/>
        <v>[0.000306249],</v>
      </c>
      <c r="N283" t="str">
        <f t="shared" si="45"/>
        <v>[0.000147662],</v>
      </c>
      <c r="O283" t="str">
        <f t="shared" si="46"/>
        <v>[0.00008849],</v>
      </c>
      <c r="P283" t="str">
        <f t="shared" si="47"/>
        <v>[0.00000740454],</v>
      </c>
      <c r="Q283" t="str">
        <f t="shared" si="48"/>
        <v>[0.000176723]</v>
      </c>
      <c r="R283" t="str">
        <f t="shared" si="49"/>
        <v>]</v>
      </c>
      <c r="S283" t="str">
        <f t="shared" si="50"/>
        <v>[[0],[0],[0.000306249],[0.000147662],[0.00008849],[0.00000740454],[0.000176723]]</v>
      </c>
    </row>
    <row r="284" spans="1:19" x14ac:dyDescent="0.2">
      <c r="A284" s="1" t="d">
        <v>2026-05-25</v>
      </c>
      <c r="B284">
        <v>0</v>
      </c>
      <c r="C284">
        <v>0</v>
      </c>
      <c r="D284">
        <v>3.0624899999999997E-4</v>
      </c>
      <c r="E284">
        <v>1.4766200000000001E-4</v>
      </c>
      <c r="F284" s="2">
        <v>8.8490000000000001E-5</v>
      </c>
      <c r="G284" s="2">
        <v>7.4045400000000003E-6</v>
      </c>
      <c r="H284">
        <v>1.76723E-4</v>
      </c>
      <c r="J284" t="str">
        <f t="shared" si="41"/>
        <v>[</v>
      </c>
      <c r="K284" t="str">
        <f t="shared" si="42"/>
        <v>[0],</v>
      </c>
      <c r="L284" t="str">
        <f t="shared" si="43"/>
        <v>[0],</v>
      </c>
      <c r="M284" t="str">
        <f t="shared" si="44"/>
        <v>[0.000306249],</v>
      </c>
      <c r="N284" t="str">
        <f t="shared" si="45"/>
        <v>[0.000147662],</v>
      </c>
      <c r="O284" t="str">
        <f t="shared" si="46"/>
        <v>[0.00008849],</v>
      </c>
      <c r="P284" t="str">
        <f t="shared" si="47"/>
        <v>[0.00000740454],</v>
      </c>
      <c r="Q284" t="str">
        <f t="shared" si="48"/>
        <v>[0.000176723]</v>
      </c>
      <c r="R284" t="str">
        <f t="shared" si="49"/>
        <v>]</v>
      </c>
      <c r="S284" t="str">
        <f t="shared" si="50"/>
        <v>[[0],[0],[0.000306249],[0.000147662],[0.00008849],[0.00000740454],[0.000176723]]</v>
      </c>
    </row>
    <row r="285" spans="1:19" x14ac:dyDescent="0.2">
      <c r="A285" s="1" t="d">
        <v>2026-05-26</v>
      </c>
      <c r="B285">
        <v>0</v>
      </c>
      <c r="C285">
        <v>0</v>
      </c>
      <c r="D285">
        <v>3.0624899999999997E-4</v>
      </c>
      <c r="E285">
        <v>1.4766200000000001E-4</v>
      </c>
      <c r="F285" s="2">
        <v>8.8490000000000001E-5</v>
      </c>
      <c r="G285" s="2">
        <v>7.4045400000000003E-6</v>
      </c>
      <c r="H285">
        <v>1.76723E-4</v>
      </c>
      <c r="J285" t="str">
        <f t="shared" si="41"/>
        <v>[</v>
      </c>
      <c r="K285" t="str">
        <f t="shared" si="42"/>
        <v>[0],</v>
      </c>
      <c r="L285" t="str">
        <f t="shared" si="43"/>
        <v>[0],</v>
      </c>
      <c r="M285" t="str">
        <f t="shared" si="44"/>
        <v>[0.000306249],</v>
      </c>
      <c r="N285" t="str">
        <f t="shared" si="45"/>
        <v>[0.000147662],</v>
      </c>
      <c r="O285" t="str">
        <f t="shared" si="46"/>
        <v>[0.00008849],</v>
      </c>
      <c r="P285" t="str">
        <f t="shared" si="47"/>
        <v>[0.00000740454],</v>
      </c>
      <c r="Q285" t="str">
        <f t="shared" si="48"/>
        <v>[0.000176723]</v>
      </c>
      <c r="R285" t="str">
        <f t="shared" si="49"/>
        <v>]</v>
      </c>
      <c r="S285" t="str">
        <f t="shared" si="50"/>
        <v>[[0],[0],[0.000306249],[0.000147662],[0.00008849],[0.00000740454],[0.000176723]]</v>
      </c>
    </row>
    <row r="286" spans="1:19" x14ac:dyDescent="0.2">
      <c r="A286" s="1" t="d">
        <v>2026-05-27</v>
      </c>
      <c r="B286">
        <v>0</v>
      </c>
      <c r="C286">
        <v>0</v>
      </c>
      <c r="D286">
        <v>3.0624899999999997E-4</v>
      </c>
      <c r="E286">
        <v>1.4766200000000001E-4</v>
      </c>
      <c r="F286" s="2">
        <v>8.8490000000000001E-5</v>
      </c>
      <c r="G286" s="2">
        <v>7.4045400000000003E-6</v>
      </c>
      <c r="H286">
        <v>1.76723E-4</v>
      </c>
      <c r="J286" t="str">
        <f t="shared" si="41"/>
        <v>[</v>
      </c>
      <c r="K286" t="str">
        <f t="shared" si="42"/>
        <v>[0],</v>
      </c>
      <c r="L286" t="str">
        <f t="shared" si="43"/>
        <v>[0],</v>
      </c>
      <c r="M286" t="str">
        <f t="shared" si="44"/>
        <v>[0.000306249],</v>
      </c>
      <c r="N286" t="str">
        <f t="shared" si="45"/>
        <v>[0.000147662],</v>
      </c>
      <c r="O286" t="str">
        <f t="shared" si="46"/>
        <v>[0.00008849],</v>
      </c>
      <c r="P286" t="str">
        <f t="shared" si="47"/>
        <v>[0.00000740454],</v>
      </c>
      <c r="Q286" t="str">
        <f t="shared" si="48"/>
        <v>[0.000176723]</v>
      </c>
      <c r="R286" t="str">
        <f t="shared" si="49"/>
        <v>]</v>
      </c>
      <c r="S286" t="str">
        <f t="shared" si="50"/>
        <v>[[0],[0],[0.000306249],[0.000147662],[0.00008849],[0.00000740454],[0.000176723]]</v>
      </c>
    </row>
    <row r="287" spans="1:19" x14ac:dyDescent="0.2">
      <c r="A287" s="1" t="d">
        <v>2026-05-28</v>
      </c>
      <c r="B287">
        <v>0</v>
      </c>
      <c r="C287">
        <v>0</v>
      </c>
      <c r="D287">
        <v>3.0624899999999997E-4</v>
      </c>
      <c r="E287">
        <v>1.4766200000000001E-4</v>
      </c>
      <c r="F287" s="2">
        <v>8.8490000000000001E-5</v>
      </c>
      <c r="G287" s="2">
        <v>7.4045400000000003E-6</v>
      </c>
      <c r="H287">
        <v>1.76723E-4</v>
      </c>
      <c r="J287" t="str">
        <f t="shared" si="41"/>
        <v>[</v>
      </c>
      <c r="K287" t="str">
        <f t="shared" si="42"/>
        <v>[0],</v>
      </c>
      <c r="L287" t="str">
        <f t="shared" si="43"/>
        <v>[0],</v>
      </c>
      <c r="M287" t="str">
        <f t="shared" si="44"/>
        <v>[0.000306249],</v>
      </c>
      <c r="N287" t="str">
        <f t="shared" si="45"/>
        <v>[0.000147662],</v>
      </c>
      <c r="O287" t="str">
        <f t="shared" si="46"/>
        <v>[0.00008849],</v>
      </c>
      <c r="P287" t="str">
        <f t="shared" si="47"/>
        <v>[0.00000740454],</v>
      </c>
      <c r="Q287" t="str">
        <f t="shared" si="48"/>
        <v>[0.000176723]</v>
      </c>
      <c r="R287" t="str">
        <f t="shared" si="49"/>
        <v>]</v>
      </c>
      <c r="S287" t="str">
        <f t="shared" si="50"/>
        <v>[[0],[0],[0.000306249],[0.000147662],[0.00008849],[0.00000740454],[0.000176723]]</v>
      </c>
    </row>
    <row r="288" spans="1:19" x14ac:dyDescent="0.2">
      <c r="A288" s="1" t="d">
        <v>2026-05-29</v>
      </c>
      <c r="B288">
        <v>0</v>
      </c>
      <c r="C288">
        <v>0</v>
      </c>
      <c r="D288">
        <v>3.0624899999999997E-4</v>
      </c>
      <c r="E288">
        <v>1.4766200000000001E-4</v>
      </c>
      <c r="F288" s="2">
        <v>8.8490000000000001E-5</v>
      </c>
      <c r="G288" s="2">
        <v>7.4045400000000003E-6</v>
      </c>
      <c r="H288">
        <v>1.76723E-4</v>
      </c>
      <c r="J288" t="str">
        <f t="shared" si="41"/>
        <v>[</v>
      </c>
      <c r="K288" t="str">
        <f t="shared" si="42"/>
        <v>[0],</v>
      </c>
      <c r="L288" t="str">
        <f t="shared" si="43"/>
        <v>[0],</v>
      </c>
      <c r="M288" t="str">
        <f t="shared" si="44"/>
        <v>[0.000306249],</v>
      </c>
      <c r="N288" t="str">
        <f t="shared" si="45"/>
        <v>[0.000147662],</v>
      </c>
      <c r="O288" t="str">
        <f t="shared" si="46"/>
        <v>[0.00008849],</v>
      </c>
      <c r="P288" t="str">
        <f t="shared" si="47"/>
        <v>[0.00000740454],</v>
      </c>
      <c r="Q288" t="str">
        <f t="shared" si="48"/>
        <v>[0.000176723]</v>
      </c>
      <c r="R288" t="str">
        <f t="shared" si="49"/>
        <v>]</v>
      </c>
      <c r="S288" t="str">
        <f t="shared" si="50"/>
        <v>[[0],[0],[0.000306249],[0.000147662],[0.00008849],[0.00000740454],[0.000176723]]</v>
      </c>
    </row>
    <row r="289" spans="1:19" x14ac:dyDescent="0.2">
      <c r="A289" s="1" t="d">
        <v>2026-05-30</v>
      </c>
      <c r="B289">
        <v>0</v>
      </c>
      <c r="C289">
        <v>0</v>
      </c>
      <c r="D289">
        <v>6.2746999999999998E-4</v>
      </c>
      <c r="E289">
        <v>3.1024999999999998E-4</v>
      </c>
      <c r="F289">
        <v>1.30202E-4</v>
      </c>
      <c r="G289" s="2">
        <v>3.7022700000000001E-6</v>
      </c>
      <c r="H289">
        <v>2.6413400000000002E-4</v>
      </c>
      <c r="J289" t="str">
        <f t="shared" si="41"/>
        <v>[</v>
      </c>
      <c r="K289" t="str">
        <f t="shared" si="42"/>
        <v>[0],</v>
      </c>
      <c r="L289" t="str">
        <f t="shared" si="43"/>
        <v>[0],</v>
      </c>
      <c r="M289" t="str">
        <f t="shared" si="44"/>
        <v>[0.00062747],</v>
      </c>
      <c r="N289" t="str">
        <f t="shared" si="45"/>
        <v>[0.00031025],</v>
      </c>
      <c r="O289" t="str">
        <f t="shared" si="46"/>
        <v>[0.000130202],</v>
      </c>
      <c r="P289" t="str">
        <f t="shared" si="47"/>
        <v>[0.00000370227],</v>
      </c>
      <c r="Q289" t="str">
        <f t="shared" si="48"/>
        <v>[0.000264134]</v>
      </c>
      <c r="R289" t="str">
        <f t="shared" si="49"/>
        <v>]</v>
      </c>
      <c r="S289" t="str">
        <f t="shared" si="50"/>
        <v>[[0],[0],[0.00062747],[0.00031025],[0.000130202],[0.00000370227],[0.000264134]]</v>
      </c>
    </row>
    <row r="290" spans="1:19" x14ac:dyDescent="0.2">
      <c r="A290" s="1" t="d">
        <v>2026-05-31</v>
      </c>
      <c r="B290">
        <v>0</v>
      </c>
      <c r="C290">
        <v>0</v>
      </c>
      <c r="D290">
        <v>6.2746999999999998E-4</v>
      </c>
      <c r="E290">
        <v>3.1024999999999998E-4</v>
      </c>
      <c r="F290">
        <v>1.30202E-4</v>
      </c>
      <c r="G290" s="2">
        <v>3.7022700000000001E-6</v>
      </c>
      <c r="H290">
        <v>2.6413400000000002E-4</v>
      </c>
      <c r="J290" t="str">
        <f t="shared" si="41"/>
        <v>[</v>
      </c>
      <c r="K290" t="str">
        <f t="shared" si="42"/>
        <v>[0],</v>
      </c>
      <c r="L290" t="str">
        <f t="shared" si="43"/>
        <v>[0],</v>
      </c>
      <c r="M290" t="str">
        <f t="shared" si="44"/>
        <v>[0.00062747],</v>
      </c>
      <c r="N290" t="str">
        <f t="shared" si="45"/>
        <v>[0.00031025],</v>
      </c>
      <c r="O290" t="str">
        <f t="shared" si="46"/>
        <v>[0.000130202],</v>
      </c>
      <c r="P290" t="str">
        <f t="shared" si="47"/>
        <v>[0.00000370227],</v>
      </c>
      <c r="Q290" t="str">
        <f t="shared" si="48"/>
        <v>[0.000264134]</v>
      </c>
      <c r="R290" t="str">
        <f t="shared" si="49"/>
        <v>]</v>
      </c>
      <c r="S290" t="str">
        <f t="shared" si="50"/>
        <v>[[0],[0],[0.00062747],[0.00031025],[0.000130202],[0.00000370227],[0.000264134]]</v>
      </c>
    </row>
    <row r="291" spans="1:19" x14ac:dyDescent="0.2">
      <c r="A291" s="1" t="d">
        <v>2026-06-01</v>
      </c>
      <c r="B291">
        <v>0</v>
      </c>
      <c r="C291">
        <v>0</v>
      </c>
      <c r="D291">
        <v>6.2746999999999998E-4</v>
      </c>
      <c r="E291">
        <v>3.1024999999999998E-4</v>
      </c>
      <c r="F291">
        <v>1.30202E-4</v>
      </c>
      <c r="G291" s="2">
        <v>3.7022700000000001E-6</v>
      </c>
      <c r="H291">
        <v>2.6413400000000002E-4</v>
      </c>
      <c r="J291" t="str">
        <f t="shared" si="41"/>
        <v>[</v>
      </c>
      <c r="K291" t="str">
        <f t="shared" si="42"/>
        <v>[0],</v>
      </c>
      <c r="L291" t="str">
        <f t="shared" si="43"/>
        <v>[0],</v>
      </c>
      <c r="M291" t="str">
        <f t="shared" si="44"/>
        <v>[0.00062747],</v>
      </c>
      <c r="N291" t="str">
        <f t="shared" si="45"/>
        <v>[0.00031025],</v>
      </c>
      <c r="O291" t="str">
        <f t="shared" si="46"/>
        <v>[0.000130202],</v>
      </c>
      <c r="P291" t="str">
        <f t="shared" si="47"/>
        <v>[0.00000370227],</v>
      </c>
      <c r="Q291" t="str">
        <f t="shared" si="48"/>
        <v>[0.000264134]</v>
      </c>
      <c r="R291" t="str">
        <f t="shared" si="49"/>
        <v>]</v>
      </c>
      <c r="S291" t="str">
        <f t="shared" si="50"/>
        <v>[[0],[0],[0.00062747],[0.00031025],[0.000130202],[0.00000370227],[0.000264134]]</v>
      </c>
    </row>
    <row r="292" spans="1:19" x14ac:dyDescent="0.2">
      <c r="A292" s="1" t="d">
        <v>2026-06-02</v>
      </c>
      <c r="B292">
        <v>0</v>
      </c>
      <c r="C292">
        <v>0</v>
      </c>
      <c r="D292">
        <v>6.2746999999999998E-4</v>
      </c>
      <c r="E292">
        <v>3.1024999999999998E-4</v>
      </c>
      <c r="F292">
        <v>1.30202E-4</v>
      </c>
      <c r="G292" s="2">
        <v>3.7022700000000001E-6</v>
      </c>
      <c r="H292">
        <v>2.6413400000000002E-4</v>
      </c>
      <c r="J292" t="str">
        <f t="shared" si="41"/>
        <v>[</v>
      </c>
      <c r="K292" t="str">
        <f t="shared" si="42"/>
        <v>[0],</v>
      </c>
      <c r="L292" t="str">
        <f t="shared" si="43"/>
        <v>[0],</v>
      </c>
      <c r="M292" t="str">
        <f t="shared" si="44"/>
        <v>[0.00062747],</v>
      </c>
      <c r="N292" t="str">
        <f t="shared" si="45"/>
        <v>[0.00031025],</v>
      </c>
      <c r="O292" t="str">
        <f t="shared" si="46"/>
        <v>[0.000130202],</v>
      </c>
      <c r="P292" t="str">
        <f t="shared" si="47"/>
        <v>[0.00000370227],</v>
      </c>
      <c r="Q292" t="str">
        <f t="shared" si="48"/>
        <v>[0.000264134]</v>
      </c>
      <c r="R292" t="str">
        <f t="shared" si="49"/>
        <v>]</v>
      </c>
      <c r="S292" t="str">
        <f t="shared" si="50"/>
        <v>[[0],[0],[0.00062747],[0.00031025],[0.000130202],[0.00000370227],[0.000264134]]</v>
      </c>
    </row>
    <row r="293" spans="1:19" x14ac:dyDescent="0.2">
      <c r="A293" s="1" t="d">
        <v>2026-06-03</v>
      </c>
      <c r="B293">
        <v>0</v>
      </c>
      <c r="C293">
        <v>0</v>
      </c>
      <c r="D293">
        <v>6.2746999999999998E-4</v>
      </c>
      <c r="E293">
        <v>3.1024999999999998E-4</v>
      </c>
      <c r="F293">
        <v>1.30202E-4</v>
      </c>
      <c r="G293" s="2">
        <v>3.7022700000000001E-6</v>
      </c>
      <c r="H293">
        <v>2.6413400000000002E-4</v>
      </c>
      <c r="J293" t="str">
        <f t="shared" si="41"/>
        <v>[</v>
      </c>
      <c r="K293" t="str">
        <f t="shared" si="42"/>
        <v>[0],</v>
      </c>
      <c r="L293" t="str">
        <f t="shared" si="43"/>
        <v>[0],</v>
      </c>
      <c r="M293" t="str">
        <f t="shared" si="44"/>
        <v>[0.00062747],</v>
      </c>
      <c r="N293" t="str">
        <f t="shared" si="45"/>
        <v>[0.00031025],</v>
      </c>
      <c r="O293" t="str">
        <f t="shared" si="46"/>
        <v>[0.000130202],</v>
      </c>
      <c r="P293" t="str">
        <f t="shared" si="47"/>
        <v>[0.00000370227],</v>
      </c>
      <c r="Q293" t="str">
        <f t="shared" si="48"/>
        <v>[0.000264134]</v>
      </c>
      <c r="R293" t="str">
        <f t="shared" si="49"/>
        <v>]</v>
      </c>
      <c r="S293" t="str">
        <f t="shared" si="50"/>
        <v>[[0],[0],[0.00062747],[0.00031025],[0.000130202],[0.00000370227],[0.000264134]]</v>
      </c>
    </row>
    <row r="294" spans="1:19" x14ac:dyDescent="0.2">
      <c r="A294" s="1" t="d">
        <v>2026-06-04</v>
      </c>
      <c r="B294">
        <v>0</v>
      </c>
      <c r="C294">
        <v>0</v>
      </c>
      <c r="D294">
        <v>6.2746999999999998E-4</v>
      </c>
      <c r="E294">
        <v>3.1024999999999998E-4</v>
      </c>
      <c r="F294">
        <v>1.30202E-4</v>
      </c>
      <c r="G294" s="2">
        <v>3.7022700000000001E-6</v>
      </c>
      <c r="H294">
        <v>2.6413400000000002E-4</v>
      </c>
      <c r="J294" t="str">
        <f t="shared" si="41"/>
        <v>[</v>
      </c>
      <c r="K294" t="str">
        <f t="shared" si="42"/>
        <v>[0],</v>
      </c>
      <c r="L294" t="str">
        <f t="shared" si="43"/>
        <v>[0],</v>
      </c>
      <c r="M294" t="str">
        <f t="shared" si="44"/>
        <v>[0.00062747],</v>
      </c>
      <c r="N294" t="str">
        <f t="shared" si="45"/>
        <v>[0.00031025],</v>
      </c>
      <c r="O294" t="str">
        <f t="shared" si="46"/>
        <v>[0.000130202],</v>
      </c>
      <c r="P294" t="str">
        <f t="shared" si="47"/>
        <v>[0.00000370227],</v>
      </c>
      <c r="Q294" t="str">
        <f t="shared" si="48"/>
        <v>[0.000264134]</v>
      </c>
      <c r="R294" t="str">
        <f t="shared" si="49"/>
        <v>]</v>
      </c>
      <c r="S294" t="str">
        <f t="shared" si="50"/>
        <v>[[0],[0],[0.00062747],[0.00031025],[0.000130202],[0.00000370227],[0.000264134]]</v>
      </c>
    </row>
    <row r="295" spans="1:19" x14ac:dyDescent="0.2">
      <c r="A295" s="1" t="d">
        <v>2026-06-05</v>
      </c>
      <c r="B295">
        <v>0</v>
      </c>
      <c r="C295">
        <v>0</v>
      </c>
      <c r="D295">
        <v>6.2746999999999998E-4</v>
      </c>
      <c r="E295">
        <v>3.1024999999999998E-4</v>
      </c>
      <c r="F295">
        <v>1.30202E-4</v>
      </c>
      <c r="G295" s="2">
        <v>3.7022700000000001E-6</v>
      </c>
      <c r="H295">
        <v>2.6413400000000002E-4</v>
      </c>
      <c r="J295" t="str">
        <f t="shared" si="41"/>
        <v>[</v>
      </c>
      <c r="K295" t="str">
        <f t="shared" si="42"/>
        <v>[0],</v>
      </c>
      <c r="L295" t="str">
        <f t="shared" si="43"/>
        <v>[0],</v>
      </c>
      <c r="M295" t="str">
        <f t="shared" si="44"/>
        <v>[0.00062747],</v>
      </c>
      <c r="N295" t="str">
        <f t="shared" si="45"/>
        <v>[0.00031025],</v>
      </c>
      <c r="O295" t="str">
        <f t="shared" si="46"/>
        <v>[0.000130202],</v>
      </c>
      <c r="P295" t="str">
        <f t="shared" si="47"/>
        <v>[0.00000370227],</v>
      </c>
      <c r="Q295" t="str">
        <f t="shared" si="48"/>
        <v>[0.000264134]</v>
      </c>
      <c r="R295" t="str">
        <f t="shared" si="49"/>
        <v>]</v>
      </c>
      <c r="S295" t="str">
        <f t="shared" si="50"/>
        <v>[[0],[0],[0.00062747],[0.00031025],[0.000130202],[0.00000370227],[0.000264134]]</v>
      </c>
    </row>
    <row r="296" spans="1:19" x14ac:dyDescent="0.2">
      <c r="A296" s="1" t="d">
        <v>2026-06-06</v>
      </c>
      <c r="B296">
        <v>0</v>
      </c>
      <c r="C296">
        <v>0</v>
      </c>
      <c r="D296">
        <v>3.26037E-4</v>
      </c>
      <c r="E296">
        <v>1.6656700000000001E-4</v>
      </c>
      <c r="F296" s="2">
        <v>2.3690199999999999E-5</v>
      </c>
      <c r="G296">
        <v>0</v>
      </c>
      <c r="H296" s="2">
        <v>4.8367700000000001E-5</v>
      </c>
      <c r="J296" t="str">
        <f t="shared" si="41"/>
        <v>[</v>
      </c>
      <c r="K296" t="str">
        <f t="shared" si="42"/>
        <v>[0],</v>
      </c>
      <c r="L296" t="str">
        <f t="shared" si="43"/>
        <v>[0],</v>
      </c>
      <c r="M296" t="str">
        <f t="shared" si="44"/>
        <v>[0.000326037],</v>
      </c>
      <c r="N296" t="str">
        <f t="shared" si="45"/>
        <v>[0.000166567],</v>
      </c>
      <c r="O296" t="str">
        <f t="shared" si="46"/>
        <v>[0.0000236902],</v>
      </c>
      <c r="P296" t="str">
        <f t="shared" si="47"/>
        <v>[0],</v>
      </c>
      <c r="Q296" t="str">
        <f t="shared" si="48"/>
        <v>[0.0000483677]</v>
      </c>
      <c r="R296" t="str">
        <f t="shared" si="49"/>
        <v>]</v>
      </c>
      <c r="S296" t="str">
        <f t="shared" si="50"/>
        <v>[[0],[0],[0.000326037],[0.000166567],[0.0000236902],[0],[0.0000483677]]</v>
      </c>
    </row>
    <row r="297" spans="1:19" x14ac:dyDescent="0.2">
      <c r="A297" s="1" t="d">
        <v>2026-06-07</v>
      </c>
      <c r="B297">
        <v>0</v>
      </c>
      <c r="C297">
        <v>0</v>
      </c>
      <c r="D297">
        <v>3.26037E-4</v>
      </c>
      <c r="E297">
        <v>1.6656700000000001E-4</v>
      </c>
      <c r="F297" s="2">
        <v>2.3690199999999999E-5</v>
      </c>
      <c r="G297">
        <v>0</v>
      </c>
      <c r="H297" s="2">
        <v>4.8367700000000001E-5</v>
      </c>
      <c r="J297" t="str">
        <f t="shared" si="41"/>
        <v>[</v>
      </c>
      <c r="K297" t="str">
        <f t="shared" si="42"/>
        <v>[0],</v>
      </c>
      <c r="L297" t="str">
        <f t="shared" si="43"/>
        <v>[0],</v>
      </c>
      <c r="M297" t="str">
        <f t="shared" si="44"/>
        <v>[0.000326037],</v>
      </c>
      <c r="N297" t="str">
        <f t="shared" si="45"/>
        <v>[0.000166567],</v>
      </c>
      <c r="O297" t="str">
        <f t="shared" si="46"/>
        <v>[0.0000236902],</v>
      </c>
      <c r="P297" t="str">
        <f t="shared" si="47"/>
        <v>[0],</v>
      </c>
      <c r="Q297" t="str">
        <f t="shared" si="48"/>
        <v>[0.0000483677]</v>
      </c>
      <c r="R297" t="str">
        <f t="shared" si="49"/>
        <v>]</v>
      </c>
      <c r="S297" t="str">
        <f t="shared" si="50"/>
        <v>[[0],[0],[0.000326037],[0.000166567],[0.0000236902],[0],[0.0000483677]]</v>
      </c>
    </row>
    <row r="298" spans="1:19" x14ac:dyDescent="0.2">
      <c r="A298" s="1" t="d">
        <v>2026-06-08</v>
      </c>
      <c r="B298">
        <v>0</v>
      </c>
      <c r="C298">
        <v>0</v>
      </c>
      <c r="D298">
        <v>3.26037E-4</v>
      </c>
      <c r="E298">
        <v>1.6656700000000001E-4</v>
      </c>
      <c r="F298" s="2">
        <v>2.3690199999999999E-5</v>
      </c>
      <c r="G298">
        <v>0</v>
      </c>
      <c r="H298" s="2">
        <v>4.8367700000000001E-5</v>
      </c>
      <c r="J298" t="str">
        <f t="shared" si="41"/>
        <v>[</v>
      </c>
      <c r="K298" t="str">
        <f t="shared" si="42"/>
        <v>[0],</v>
      </c>
      <c r="L298" t="str">
        <f t="shared" si="43"/>
        <v>[0],</v>
      </c>
      <c r="M298" t="str">
        <f t="shared" si="44"/>
        <v>[0.000326037],</v>
      </c>
      <c r="N298" t="str">
        <f t="shared" si="45"/>
        <v>[0.000166567],</v>
      </c>
      <c r="O298" t="str">
        <f t="shared" si="46"/>
        <v>[0.0000236902],</v>
      </c>
      <c r="P298" t="str">
        <f t="shared" si="47"/>
        <v>[0],</v>
      </c>
      <c r="Q298" t="str">
        <f t="shared" si="48"/>
        <v>[0.0000483677]</v>
      </c>
      <c r="R298" t="str">
        <f t="shared" si="49"/>
        <v>]</v>
      </c>
      <c r="S298" t="str">
        <f t="shared" si="50"/>
        <v>[[0],[0],[0.000326037],[0.000166567],[0.0000236902],[0],[0.0000483677]]</v>
      </c>
    </row>
    <row r="299" spans="1:19" x14ac:dyDescent="0.2">
      <c r="A299" s="1" t="d">
        <v>2026-06-09</v>
      </c>
      <c r="B299">
        <v>0</v>
      </c>
      <c r="C299">
        <v>0</v>
      </c>
      <c r="D299">
        <v>3.26037E-4</v>
      </c>
      <c r="E299">
        <v>1.6656700000000001E-4</v>
      </c>
      <c r="F299" s="2">
        <v>2.3690199999999999E-5</v>
      </c>
      <c r="G299">
        <v>0</v>
      </c>
      <c r="H299" s="2">
        <v>4.8367700000000001E-5</v>
      </c>
      <c r="J299" t="str">
        <f t="shared" si="41"/>
        <v>[</v>
      </c>
      <c r="K299" t="str">
        <f t="shared" si="42"/>
        <v>[0],</v>
      </c>
      <c r="L299" t="str">
        <f t="shared" si="43"/>
        <v>[0],</v>
      </c>
      <c r="M299" t="str">
        <f t="shared" si="44"/>
        <v>[0.000326037],</v>
      </c>
      <c r="N299" t="str">
        <f t="shared" si="45"/>
        <v>[0.000166567],</v>
      </c>
      <c r="O299" t="str">
        <f t="shared" si="46"/>
        <v>[0.0000236902],</v>
      </c>
      <c r="P299" t="str">
        <f t="shared" si="47"/>
        <v>[0],</v>
      </c>
      <c r="Q299" t="str">
        <f t="shared" si="48"/>
        <v>[0.0000483677]</v>
      </c>
      <c r="R299" t="str">
        <f t="shared" si="49"/>
        <v>]</v>
      </c>
      <c r="S299" t="str">
        <f t="shared" si="50"/>
        <v>[[0],[0],[0.000326037],[0.000166567],[0.0000236902],[0],[0.0000483677]]</v>
      </c>
    </row>
    <row r="300" spans="1:19" x14ac:dyDescent="0.2">
      <c r="A300" s="1" t="d">
        <v>2026-06-10</v>
      </c>
      <c r="B300">
        <v>0</v>
      </c>
      <c r="C300">
        <v>0</v>
      </c>
      <c r="D300">
        <v>3.26037E-4</v>
      </c>
      <c r="E300">
        <v>1.6656700000000001E-4</v>
      </c>
      <c r="F300" s="2">
        <v>2.3690199999999999E-5</v>
      </c>
      <c r="G300">
        <v>0</v>
      </c>
      <c r="H300" s="2">
        <v>4.8367700000000001E-5</v>
      </c>
      <c r="J300" t="str">
        <f t="shared" si="41"/>
        <v>[</v>
      </c>
      <c r="K300" t="str">
        <f t="shared" si="42"/>
        <v>[0],</v>
      </c>
      <c r="L300" t="str">
        <f t="shared" si="43"/>
        <v>[0],</v>
      </c>
      <c r="M300" t="str">
        <f t="shared" si="44"/>
        <v>[0.000326037],</v>
      </c>
      <c r="N300" t="str">
        <f t="shared" si="45"/>
        <v>[0.000166567],</v>
      </c>
      <c r="O300" t="str">
        <f t="shared" si="46"/>
        <v>[0.0000236902],</v>
      </c>
      <c r="P300" t="str">
        <f t="shared" si="47"/>
        <v>[0],</v>
      </c>
      <c r="Q300" t="str">
        <f t="shared" si="48"/>
        <v>[0.0000483677]</v>
      </c>
      <c r="R300" t="str">
        <f t="shared" si="49"/>
        <v>]</v>
      </c>
      <c r="S300" t="str">
        <f t="shared" si="50"/>
        <v>[[0],[0],[0.000326037],[0.000166567],[0.0000236902],[0],[0.0000483677]]</v>
      </c>
    </row>
    <row r="301" spans="1:19" x14ac:dyDescent="0.2">
      <c r="A301" s="1" t="d">
        <v>2026-06-11</v>
      </c>
      <c r="B301">
        <v>0</v>
      </c>
      <c r="C301">
        <v>0</v>
      </c>
      <c r="D301">
        <v>3.26037E-4</v>
      </c>
      <c r="E301">
        <v>1.6656700000000001E-4</v>
      </c>
      <c r="F301" s="2">
        <v>2.3690199999999999E-5</v>
      </c>
      <c r="G301">
        <v>0</v>
      </c>
      <c r="H301" s="2">
        <v>4.8367700000000001E-5</v>
      </c>
      <c r="J301" t="str">
        <f t="shared" si="41"/>
        <v>[</v>
      </c>
      <c r="K301" t="str">
        <f t="shared" si="42"/>
        <v>[0],</v>
      </c>
      <c r="L301" t="str">
        <f t="shared" si="43"/>
        <v>[0],</v>
      </c>
      <c r="M301" t="str">
        <f t="shared" si="44"/>
        <v>[0.000326037],</v>
      </c>
      <c r="N301" t="str">
        <f t="shared" si="45"/>
        <v>[0.000166567],</v>
      </c>
      <c r="O301" t="str">
        <f t="shared" si="46"/>
        <v>[0.0000236902],</v>
      </c>
      <c r="P301" t="str">
        <f t="shared" si="47"/>
        <v>[0],</v>
      </c>
      <c r="Q301" t="str">
        <f t="shared" si="48"/>
        <v>[0.0000483677]</v>
      </c>
      <c r="R301" t="str">
        <f t="shared" si="49"/>
        <v>]</v>
      </c>
      <c r="S301" t="str">
        <f t="shared" si="50"/>
        <v>[[0],[0],[0.000326037],[0.000166567],[0.0000236902],[0],[0.0000483677]]</v>
      </c>
    </row>
    <row r="302" spans="1:19" x14ac:dyDescent="0.2">
      <c r="A302" s="1" t="d">
        <v>2026-06-12</v>
      </c>
      <c r="B302">
        <v>0</v>
      </c>
      <c r="C302">
        <v>0</v>
      </c>
      <c r="D302">
        <v>3.26037E-4</v>
      </c>
      <c r="E302">
        <v>1.6656700000000001E-4</v>
      </c>
      <c r="F302" s="2">
        <v>2.3690199999999999E-5</v>
      </c>
      <c r="G302">
        <v>0</v>
      </c>
      <c r="H302" s="2">
        <v>4.8367700000000001E-5</v>
      </c>
      <c r="J302" t="str">
        <f t="shared" si="41"/>
        <v>[</v>
      </c>
      <c r="K302" t="str">
        <f t="shared" si="42"/>
        <v>[0],</v>
      </c>
      <c r="L302" t="str">
        <f t="shared" si="43"/>
        <v>[0],</v>
      </c>
      <c r="M302" t="str">
        <f t="shared" si="44"/>
        <v>[0.000326037],</v>
      </c>
      <c r="N302" t="str">
        <f t="shared" si="45"/>
        <v>[0.000166567],</v>
      </c>
      <c r="O302" t="str">
        <f t="shared" si="46"/>
        <v>[0.0000236902],</v>
      </c>
      <c r="P302" t="str">
        <f t="shared" si="47"/>
        <v>[0],</v>
      </c>
      <c r="Q302" t="str">
        <f t="shared" si="48"/>
        <v>[0.0000483677]</v>
      </c>
      <c r="R302" t="str">
        <f t="shared" si="49"/>
        <v>]</v>
      </c>
      <c r="S302" t="str">
        <f t="shared" si="50"/>
        <v>[[0],[0],[0.000326037],[0.000166567],[0.0000236902],[0],[0.0000483677]]</v>
      </c>
    </row>
    <row r="304" spans="1:19" x14ac:dyDescent="0.2">
      <c r="A304" t="s">
        <v>121</v>
      </c>
      <c r="B304">
        <f>SUM(B2:B302)</f>
        <v>0.90704788649999912</v>
      </c>
      <c r="C304">
        <f t="shared" ref="C304:H304" si="51">SUM(C2:C302)</f>
        <v>0.90704788649999912</v>
      </c>
      <c r="D304">
        <f t="shared" si="51"/>
        <v>0.72735368299999914</v>
      </c>
      <c r="E304">
        <f t="shared" si="51"/>
        <v>0.55942221649999946</v>
      </c>
      <c r="F304">
        <f t="shared" si="51"/>
        <v>0.41005907039999984</v>
      </c>
      <c r="G304">
        <f t="shared" si="51"/>
        <v>0.60679674167000131</v>
      </c>
      <c r="H304">
        <f t="shared" si="51"/>
        <v>0.7409139479000012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4A951-2A72-414C-8F6A-0F451E522429}">
  <dimension ref="A1:S302"/>
  <sheetViews>
    <sheetView workbookViewId="0">
      <selection activeCell="F15" sqref="F15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tr">
        <f t="shared" ref="K1:Q1" si="0">B1</f>
        <v>0_0</v>
      </c>
      <c r="L1" t="str">
        <f t="shared" si="0"/>
        <v>1_4</v>
      </c>
      <c r="M1" t="str">
        <f t="shared" si="0"/>
        <v>5_12</v>
      </c>
      <c r="N1" t="str">
        <f t="shared" si="0"/>
        <v>13_17</v>
      </c>
      <c r="O1" t="str">
        <f t="shared" si="0"/>
        <v>18_49</v>
      </c>
      <c r="P1" t="str">
        <f t="shared" si="0"/>
        <v>50_64</v>
      </c>
      <c r="Q1" t="str">
        <f t="shared" si="0"/>
        <v>65_99</v>
      </c>
    </row>
    <row r="2" spans="1:19" x14ac:dyDescent="0.2">
      <c r="A2" s="1" t="d">
        <v>2025-08-16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J2" t="str">
        <f>"["</f>
        <v>[</v>
      </c>
      <c r="K2" t="str">
        <f>"["&amp;B2/2&amp;"],"</f>
        <v>[0],</v>
      </c>
      <c r="L2" t="str">
        <f>"["&amp;C2&amp;"],"</f>
        <v>[0],</v>
      </c>
      <c r="M2" t="str">
        <f>"["&amp;D2&amp;"],"</f>
        <v>[0],</v>
      </c>
      <c r="N2" t="str">
        <f>"["&amp;E2&amp;"],"</f>
        <v>[0],</v>
      </c>
      <c r="O2" t="str">
        <f>"["&amp;F2&amp;"],"</f>
        <v>[0],</v>
      </c>
      <c r="P2" t="str">
        <f>"["&amp;G2&amp;"],"</f>
        <v>[0],</v>
      </c>
      <c r="Q2" t="str">
        <f>"["&amp;H2&amp;"]"</f>
        <v>[0]</v>
      </c>
      <c r="R2" t="str">
        <f>"]"</f>
        <v>]</v>
      </c>
      <c r="S2" t="str">
        <f>J2&amp;K2&amp;L2&amp;M2&amp;N2&amp;O2&amp;P2&amp;Q2&amp;R2</f>
        <v>[[0],[0],[0],[0],[0],[0],[0]]</v>
      </c>
    </row>
    <row r="3" spans="1:19" x14ac:dyDescent="0.2">
      <c r="A3" s="1" t="d">
        <v>2025-08-17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J3" t="str">
        <f t="shared" ref="J3:J66" si="1">"["</f>
        <v>[</v>
      </c>
      <c r="K3" t="str">
        <f t="shared" ref="K3:K66" si="2">"["&amp;B3/2&amp;"],"</f>
        <v>[0],</v>
      </c>
      <c r="L3" t="str">
        <f t="shared" ref="L3:P53" si="3">"["&amp;C3&amp;"],"</f>
        <v>[0],</v>
      </c>
      <c r="M3" t="str">
        <f t="shared" si="3"/>
        <v>[0],</v>
      </c>
      <c r="N3" t="str">
        <f t="shared" si="3"/>
        <v>[0],</v>
      </c>
      <c r="O3" t="str">
        <f t="shared" si="3"/>
        <v>[0],</v>
      </c>
      <c r="P3" t="str">
        <f t="shared" si="3"/>
        <v>[0],</v>
      </c>
      <c r="Q3" t="str">
        <f t="shared" ref="Q3:Q66" si="4">"["&amp;H3&amp;"]"</f>
        <v>[0]</v>
      </c>
      <c r="R3" t="str">
        <f t="shared" ref="R3:R66" si="5">"]"</f>
        <v>]</v>
      </c>
      <c r="S3" t="str">
        <f t="shared" ref="S3:S66" si="6">J3&amp;K3&amp;L3&amp;M3&amp;N3&amp;O3&amp;P3&amp;Q3&amp;R3</f>
        <v>[[0],[0],[0],[0],[0],[0],[0]]</v>
      </c>
    </row>
    <row r="4" spans="1:19" x14ac:dyDescent="0.2">
      <c r="A4" s="1" t="d">
        <v>2025-08-18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J4" t="str">
        <f t="shared" si="1"/>
        <v>[</v>
      </c>
      <c r="K4" t="str">
        <f t="shared" si="2"/>
        <v>[0],</v>
      </c>
      <c r="L4" t="str">
        <f t="shared" si="3"/>
        <v>[0],</v>
      </c>
      <c r="M4" t="str">
        <f t="shared" si="3"/>
        <v>[0],</v>
      </c>
      <c r="N4" t="str">
        <f t="shared" si="3"/>
        <v>[0],</v>
      </c>
      <c r="O4" t="str">
        <f t="shared" si="3"/>
        <v>[0],</v>
      </c>
      <c r="P4" t="str">
        <f t="shared" si="3"/>
        <v>[0],</v>
      </c>
      <c r="Q4" t="str">
        <f t="shared" si="4"/>
        <v>[0]</v>
      </c>
      <c r="R4" t="str">
        <f t="shared" si="5"/>
        <v>]</v>
      </c>
      <c r="S4" t="str">
        <f t="shared" si="6"/>
        <v>[[0],[0],[0],[0],[0],[0],[0]]</v>
      </c>
    </row>
    <row r="5" spans="1:19" x14ac:dyDescent="0.2">
      <c r="A5" s="1" t="d">
        <v>2025-08-19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J5" t="str">
        <f t="shared" si="1"/>
        <v>[</v>
      </c>
      <c r="K5" t="str">
        <f t="shared" si="2"/>
        <v>[0],</v>
      </c>
      <c r="L5" t="str">
        <f t="shared" si="3"/>
        <v>[0],</v>
      </c>
      <c r="M5" t="str">
        <f t="shared" si="3"/>
        <v>[0],</v>
      </c>
      <c r="N5" t="str">
        <f t="shared" si="3"/>
        <v>[0],</v>
      </c>
      <c r="O5" t="str">
        <f t="shared" si="3"/>
        <v>[0],</v>
      </c>
      <c r="P5" t="str">
        <f t="shared" si="3"/>
        <v>[0],</v>
      </c>
      <c r="Q5" t="str">
        <f t="shared" si="4"/>
        <v>[0]</v>
      </c>
      <c r="R5" t="str">
        <f t="shared" si="5"/>
        <v>]</v>
      </c>
      <c r="S5" t="str">
        <f t="shared" si="6"/>
        <v>[[0],[0],[0],[0],[0],[0],[0]]</v>
      </c>
    </row>
    <row r="6" spans="1:19" x14ac:dyDescent="0.2">
      <c r="A6" s="1" t="d">
        <v>2025-08-20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J6" t="str">
        <f t="shared" si="1"/>
        <v>[</v>
      </c>
      <c r="K6" t="str">
        <f t="shared" si="2"/>
        <v>[0],</v>
      </c>
      <c r="L6" t="str">
        <f t="shared" si="3"/>
        <v>[0],</v>
      </c>
      <c r="M6" t="str">
        <f t="shared" si="3"/>
        <v>[0],</v>
      </c>
      <c r="N6" t="str">
        <f t="shared" si="3"/>
        <v>[0],</v>
      </c>
      <c r="O6" t="str">
        <f t="shared" si="3"/>
        <v>[0],</v>
      </c>
      <c r="P6" t="str">
        <f t="shared" si="3"/>
        <v>[0],</v>
      </c>
      <c r="Q6" t="str">
        <f t="shared" si="4"/>
        <v>[0]</v>
      </c>
      <c r="R6" t="str">
        <f t="shared" si="5"/>
        <v>]</v>
      </c>
      <c r="S6" t="str">
        <f t="shared" si="6"/>
        <v>[[0],[0],[0],[0],[0],[0],[0]]</v>
      </c>
    </row>
    <row r="7" spans="1:19" x14ac:dyDescent="0.2">
      <c r="A7" s="1" t="d">
        <v>2025-08-21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J7" t="str">
        <f t="shared" si="1"/>
        <v>[</v>
      </c>
      <c r="K7" t="str">
        <f t="shared" si="2"/>
        <v>[0],</v>
      </c>
      <c r="L7" t="str">
        <f t="shared" si="3"/>
        <v>[0],</v>
      </c>
      <c r="M7" t="str">
        <f t="shared" si="3"/>
        <v>[0],</v>
      </c>
      <c r="N7" t="str">
        <f t="shared" si="3"/>
        <v>[0],</v>
      </c>
      <c r="O7" t="str">
        <f t="shared" si="3"/>
        <v>[0],</v>
      </c>
      <c r="P7" t="str">
        <f t="shared" si="3"/>
        <v>[0],</v>
      </c>
      <c r="Q7" t="str">
        <f t="shared" si="4"/>
        <v>[0]</v>
      </c>
      <c r="R7" t="str">
        <f t="shared" si="5"/>
        <v>]</v>
      </c>
      <c r="S7" t="str">
        <f t="shared" si="6"/>
        <v>[[0],[0],[0],[0],[0],[0],[0]]</v>
      </c>
    </row>
    <row r="8" spans="1:19" x14ac:dyDescent="0.2">
      <c r="A8" s="1" t="d">
        <v>2025-08-22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J8" t="str">
        <f t="shared" si="1"/>
        <v>[</v>
      </c>
      <c r="K8" t="str">
        <f t="shared" si="2"/>
        <v>[0],</v>
      </c>
      <c r="L8" t="str">
        <f t="shared" si="3"/>
        <v>[0],</v>
      </c>
      <c r="M8" t="str">
        <f t="shared" si="3"/>
        <v>[0],</v>
      </c>
      <c r="N8" t="str">
        <f t="shared" si="3"/>
        <v>[0],</v>
      </c>
      <c r="O8" t="str">
        <f t="shared" si="3"/>
        <v>[0],</v>
      </c>
      <c r="P8" t="str">
        <f t="shared" si="3"/>
        <v>[0],</v>
      </c>
      <c r="Q8" t="str">
        <f t="shared" si="4"/>
        <v>[0]</v>
      </c>
      <c r="R8" t="str">
        <f t="shared" si="5"/>
        <v>]</v>
      </c>
      <c r="S8" t="str">
        <f t="shared" si="6"/>
        <v>[[0],[0],[0],[0],[0],[0],[0]]</v>
      </c>
    </row>
    <row r="9" spans="1:19" x14ac:dyDescent="0.2">
      <c r="A9" s="1" t="d">
        <v>2025-08-23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J9" t="str">
        <f t="shared" si="1"/>
        <v>[</v>
      </c>
      <c r="K9" t="str">
        <f t="shared" si="2"/>
        <v>[0],</v>
      </c>
      <c r="L9" t="str">
        <f t="shared" si="3"/>
        <v>[0],</v>
      </c>
      <c r="M9" t="str">
        <f t="shared" si="3"/>
        <v>[0],</v>
      </c>
      <c r="N9" t="str">
        <f t="shared" si="3"/>
        <v>[0],</v>
      </c>
      <c r="O9" t="str">
        <f t="shared" si="3"/>
        <v>[0],</v>
      </c>
      <c r="P9" t="str">
        <f t="shared" si="3"/>
        <v>[0],</v>
      </c>
      <c r="Q9" t="str">
        <f t="shared" si="4"/>
        <v>[0]</v>
      </c>
      <c r="R9" t="str">
        <f t="shared" si="5"/>
        <v>]</v>
      </c>
      <c r="S9" t="str">
        <f t="shared" si="6"/>
        <v>[[0],[0],[0],[0],[0],[0],[0]]</v>
      </c>
    </row>
    <row r="10" spans="1:19" x14ac:dyDescent="0.2">
      <c r="A10" s="1" t="d">
        <v>2025-08-24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J10" t="str">
        <f t="shared" si="1"/>
        <v>[</v>
      </c>
      <c r="K10" t="str">
        <f t="shared" si="2"/>
        <v>[0],</v>
      </c>
      <c r="L10" t="str">
        <f t="shared" si="3"/>
        <v>[0],</v>
      </c>
      <c r="M10" t="str">
        <f t="shared" si="3"/>
        <v>[0],</v>
      </c>
      <c r="N10" t="str">
        <f t="shared" si="3"/>
        <v>[0],</v>
      </c>
      <c r="O10" t="str">
        <f t="shared" si="3"/>
        <v>[0],</v>
      </c>
      <c r="P10" t="str">
        <f t="shared" si="3"/>
        <v>[0],</v>
      </c>
      <c r="Q10" t="str">
        <f t="shared" si="4"/>
        <v>[0]</v>
      </c>
      <c r="R10" t="str">
        <f t="shared" si="5"/>
        <v>]</v>
      </c>
      <c r="S10" t="str">
        <f t="shared" si="6"/>
        <v>[[0],[0],[0],[0],[0],[0],[0]]</v>
      </c>
    </row>
    <row r="11" spans="1:19" x14ac:dyDescent="0.2">
      <c r="A11" s="1" t="d">
        <v>2025-08-25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J11" t="str">
        <f t="shared" si="1"/>
        <v>[</v>
      </c>
      <c r="K11" t="str">
        <f t="shared" si="2"/>
        <v>[0],</v>
      </c>
      <c r="L11" t="str">
        <f t="shared" si="3"/>
        <v>[0],</v>
      </c>
      <c r="M11" t="str">
        <f t="shared" si="3"/>
        <v>[0],</v>
      </c>
      <c r="N11" t="str">
        <f t="shared" si="3"/>
        <v>[0],</v>
      </c>
      <c r="O11" t="str">
        <f t="shared" si="3"/>
        <v>[0],</v>
      </c>
      <c r="P11" t="str">
        <f t="shared" si="3"/>
        <v>[0],</v>
      </c>
      <c r="Q11" t="str">
        <f t="shared" si="4"/>
        <v>[0]</v>
      </c>
      <c r="R11" t="str">
        <f t="shared" si="5"/>
        <v>]</v>
      </c>
      <c r="S11" t="str">
        <f t="shared" si="6"/>
        <v>[[0],[0],[0],[0],[0],[0],[0]]</v>
      </c>
    </row>
    <row r="12" spans="1:19" x14ac:dyDescent="0.2">
      <c r="A12" s="1" t="d">
        <v>2025-08-26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J12" t="str">
        <f t="shared" si="1"/>
        <v>[</v>
      </c>
      <c r="K12" t="str">
        <f t="shared" si="2"/>
        <v>[0],</v>
      </c>
      <c r="L12" t="str">
        <f t="shared" si="3"/>
        <v>[0],</v>
      </c>
      <c r="M12" t="str">
        <f t="shared" si="3"/>
        <v>[0],</v>
      </c>
      <c r="N12" t="str">
        <f t="shared" si="3"/>
        <v>[0],</v>
      </c>
      <c r="O12" t="str">
        <f t="shared" si="3"/>
        <v>[0],</v>
      </c>
      <c r="P12" t="str">
        <f t="shared" si="3"/>
        <v>[0],</v>
      </c>
      <c r="Q12" t="str">
        <f t="shared" si="4"/>
        <v>[0]</v>
      </c>
      <c r="R12" t="str">
        <f t="shared" si="5"/>
        <v>]</v>
      </c>
      <c r="S12" t="str">
        <f t="shared" si="6"/>
        <v>[[0],[0],[0],[0],[0],[0],[0]]</v>
      </c>
    </row>
    <row r="13" spans="1:19" x14ac:dyDescent="0.2">
      <c r="A13" s="1" t="d">
        <v>2025-08-27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J13" t="str">
        <f t="shared" si="1"/>
        <v>[</v>
      </c>
      <c r="K13" t="str">
        <f t="shared" si="2"/>
        <v>[0],</v>
      </c>
      <c r="L13" t="str">
        <f t="shared" si="3"/>
        <v>[0],</v>
      </c>
      <c r="M13" t="str">
        <f t="shared" si="3"/>
        <v>[0],</v>
      </c>
      <c r="N13" t="str">
        <f t="shared" si="3"/>
        <v>[0],</v>
      </c>
      <c r="O13" t="str">
        <f t="shared" si="3"/>
        <v>[0],</v>
      </c>
      <c r="P13" t="str">
        <f t="shared" si="3"/>
        <v>[0],</v>
      </c>
      <c r="Q13" t="str">
        <f t="shared" si="4"/>
        <v>[0]</v>
      </c>
      <c r="R13" t="str">
        <f t="shared" si="5"/>
        <v>]</v>
      </c>
      <c r="S13" t="str">
        <f t="shared" si="6"/>
        <v>[[0],[0],[0],[0],[0],[0],[0]]</v>
      </c>
    </row>
    <row r="14" spans="1:19" x14ac:dyDescent="0.2">
      <c r="A14" s="1" t="d">
        <v>2025-08-28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J14" t="str">
        <f t="shared" si="1"/>
        <v>[</v>
      </c>
      <c r="K14" t="str">
        <f t="shared" si="2"/>
        <v>[0],</v>
      </c>
      <c r="L14" t="str">
        <f t="shared" si="3"/>
        <v>[0],</v>
      </c>
      <c r="M14" t="str">
        <f t="shared" si="3"/>
        <v>[0],</v>
      </c>
      <c r="N14" t="str">
        <f t="shared" si="3"/>
        <v>[0],</v>
      </c>
      <c r="O14" t="str">
        <f t="shared" si="3"/>
        <v>[0],</v>
      </c>
      <c r="P14" t="str">
        <f t="shared" si="3"/>
        <v>[0],</v>
      </c>
      <c r="Q14" t="str">
        <f t="shared" si="4"/>
        <v>[0]</v>
      </c>
      <c r="R14" t="str">
        <f t="shared" si="5"/>
        <v>]</v>
      </c>
      <c r="S14" t="str">
        <f t="shared" si="6"/>
        <v>[[0],[0],[0],[0],[0],[0],[0]]</v>
      </c>
    </row>
    <row r="15" spans="1:19" x14ac:dyDescent="0.2">
      <c r="A15" s="1" t="d">
        <v>2025-08-29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J15" t="str">
        <f t="shared" si="1"/>
        <v>[</v>
      </c>
      <c r="K15" t="str">
        <f t="shared" si="2"/>
        <v>[0],</v>
      </c>
      <c r="L15" t="str">
        <f t="shared" si="3"/>
        <v>[0],</v>
      </c>
      <c r="M15" t="str">
        <f t="shared" si="3"/>
        <v>[0],</v>
      </c>
      <c r="N15" t="str">
        <f t="shared" si="3"/>
        <v>[0],</v>
      </c>
      <c r="O15" t="str">
        <f t="shared" si="3"/>
        <v>[0],</v>
      </c>
      <c r="P15" t="str">
        <f t="shared" si="3"/>
        <v>[0],</v>
      </c>
      <c r="Q15" t="str">
        <f t="shared" si="4"/>
        <v>[0]</v>
      </c>
      <c r="R15" t="str">
        <f t="shared" si="5"/>
        <v>]</v>
      </c>
      <c r="S15" t="str">
        <f t="shared" si="6"/>
        <v>[[0],[0],[0],[0],[0],[0],[0]]</v>
      </c>
    </row>
    <row r="16" spans="1:19" x14ac:dyDescent="0.2">
      <c r="A16" s="1" t="d">
        <v>2025-08-30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J16" t="str">
        <f t="shared" si="1"/>
        <v>[</v>
      </c>
      <c r="K16" t="str">
        <f t="shared" si="2"/>
        <v>[0],</v>
      </c>
      <c r="L16" t="str">
        <f t="shared" si="3"/>
        <v>[0],</v>
      </c>
      <c r="M16" t="str">
        <f t="shared" si="3"/>
        <v>[0],</v>
      </c>
      <c r="N16" t="str">
        <f t="shared" si="3"/>
        <v>[0],</v>
      </c>
      <c r="O16" t="str">
        <f t="shared" si="3"/>
        <v>[0],</v>
      </c>
      <c r="P16" t="str">
        <f t="shared" si="3"/>
        <v>[0],</v>
      </c>
      <c r="Q16" t="str">
        <f t="shared" si="4"/>
        <v>[0]</v>
      </c>
      <c r="R16" t="str">
        <f t="shared" si="5"/>
        <v>]</v>
      </c>
      <c r="S16" t="str">
        <f t="shared" si="6"/>
        <v>[[0],[0],[0],[0],[0],[0],[0]]</v>
      </c>
    </row>
    <row r="17" spans="1:19" x14ac:dyDescent="0.2">
      <c r="A17" s="1" t="d">
        <v>2025-08-31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J17" t="str">
        <f t="shared" si="1"/>
        <v>[</v>
      </c>
      <c r="K17" t="str">
        <f t="shared" si="2"/>
        <v>[0],</v>
      </c>
      <c r="L17" t="str">
        <f t="shared" si="3"/>
        <v>[0],</v>
      </c>
      <c r="M17" t="str">
        <f t="shared" si="3"/>
        <v>[0],</v>
      </c>
      <c r="N17" t="str">
        <f t="shared" si="3"/>
        <v>[0],</v>
      </c>
      <c r="O17" t="str">
        <f t="shared" si="3"/>
        <v>[0],</v>
      </c>
      <c r="P17" t="str">
        <f t="shared" si="3"/>
        <v>[0],</v>
      </c>
      <c r="Q17" t="str">
        <f t="shared" si="4"/>
        <v>[0]</v>
      </c>
      <c r="R17" t="str">
        <f t="shared" si="5"/>
        <v>]</v>
      </c>
      <c r="S17" t="str">
        <f t="shared" si="6"/>
        <v>[[0],[0],[0],[0],[0],[0],[0]]</v>
      </c>
    </row>
    <row r="18" spans="1:19" x14ac:dyDescent="0.2">
      <c r="A18" s="1" t="d">
        <v>2025-09-01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J18" t="str">
        <f t="shared" si="1"/>
        <v>[</v>
      </c>
      <c r="K18" t="str">
        <f t="shared" si="2"/>
        <v>[0],</v>
      </c>
      <c r="L18" t="str">
        <f t="shared" si="3"/>
        <v>[0],</v>
      </c>
      <c r="M18" t="str">
        <f t="shared" si="3"/>
        <v>[0],</v>
      </c>
      <c r="N18" t="str">
        <f t="shared" si="3"/>
        <v>[0],</v>
      </c>
      <c r="O18" t="str">
        <f t="shared" si="3"/>
        <v>[0],</v>
      </c>
      <c r="P18" t="str">
        <f t="shared" si="3"/>
        <v>[0],</v>
      </c>
      <c r="Q18" t="str">
        <f t="shared" si="4"/>
        <v>[0]</v>
      </c>
      <c r="R18" t="str">
        <f t="shared" si="5"/>
        <v>]</v>
      </c>
      <c r="S18" t="str">
        <f t="shared" si="6"/>
        <v>[[0],[0],[0],[0],[0],[0],[0]]</v>
      </c>
    </row>
    <row r="19" spans="1:19" x14ac:dyDescent="0.2">
      <c r="A19" s="1" t="d">
        <v>2025-09-02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J19" t="str">
        <f t="shared" si="1"/>
        <v>[</v>
      </c>
      <c r="K19" t="str">
        <f t="shared" si="2"/>
        <v>[0],</v>
      </c>
      <c r="L19" t="str">
        <f t="shared" si="3"/>
        <v>[0],</v>
      </c>
      <c r="M19" t="str">
        <f t="shared" si="3"/>
        <v>[0],</v>
      </c>
      <c r="N19" t="str">
        <f t="shared" si="3"/>
        <v>[0],</v>
      </c>
      <c r="O19" t="str">
        <f t="shared" si="3"/>
        <v>[0],</v>
      </c>
      <c r="P19" t="str">
        <f t="shared" si="3"/>
        <v>[0],</v>
      </c>
      <c r="Q19" t="str">
        <f t="shared" si="4"/>
        <v>[0]</v>
      </c>
      <c r="R19" t="str">
        <f t="shared" si="5"/>
        <v>]</v>
      </c>
      <c r="S19" t="str">
        <f t="shared" si="6"/>
        <v>[[0],[0],[0],[0],[0],[0],[0]]</v>
      </c>
    </row>
    <row r="20" spans="1:19" x14ac:dyDescent="0.2">
      <c r="A20" s="1" t="d">
        <v>2025-09-03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J20" t="str">
        <f t="shared" si="1"/>
        <v>[</v>
      </c>
      <c r="K20" t="str">
        <f t="shared" si="2"/>
        <v>[0],</v>
      </c>
      <c r="L20" t="str">
        <f t="shared" si="3"/>
        <v>[0],</v>
      </c>
      <c r="M20" t="str">
        <f t="shared" si="3"/>
        <v>[0],</v>
      </c>
      <c r="N20" t="str">
        <f t="shared" si="3"/>
        <v>[0],</v>
      </c>
      <c r="O20" t="str">
        <f t="shared" si="3"/>
        <v>[0],</v>
      </c>
      <c r="P20" t="str">
        <f t="shared" si="3"/>
        <v>[0],</v>
      </c>
      <c r="Q20" t="str">
        <f t="shared" si="4"/>
        <v>[0]</v>
      </c>
      <c r="R20" t="str">
        <f t="shared" si="5"/>
        <v>]</v>
      </c>
      <c r="S20" t="str">
        <f t="shared" si="6"/>
        <v>[[0],[0],[0],[0],[0],[0],[0]]</v>
      </c>
    </row>
    <row r="21" spans="1:19" x14ac:dyDescent="0.2">
      <c r="A21" s="1" t="d">
        <v>2025-09-04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J21" t="str">
        <f t="shared" si="1"/>
        <v>[</v>
      </c>
      <c r="K21" t="str">
        <f t="shared" si="2"/>
        <v>[0],</v>
      </c>
      <c r="L21" t="str">
        <f t="shared" si="3"/>
        <v>[0],</v>
      </c>
      <c r="M21" t="str">
        <f t="shared" si="3"/>
        <v>[0],</v>
      </c>
      <c r="N21" t="str">
        <f t="shared" si="3"/>
        <v>[0],</v>
      </c>
      <c r="O21" t="str">
        <f t="shared" si="3"/>
        <v>[0],</v>
      </c>
      <c r="P21" t="str">
        <f t="shared" si="3"/>
        <v>[0],</v>
      </c>
      <c r="Q21" t="str">
        <f t="shared" si="4"/>
        <v>[0]</v>
      </c>
      <c r="R21" t="str">
        <f t="shared" si="5"/>
        <v>]</v>
      </c>
      <c r="S21" t="str">
        <f t="shared" si="6"/>
        <v>[[0],[0],[0],[0],[0],[0],[0]]</v>
      </c>
    </row>
    <row r="22" spans="1:19" x14ac:dyDescent="0.2">
      <c r="A22" s="1" t="d">
        <v>2025-09-05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J22" t="str">
        <f t="shared" si="1"/>
        <v>[</v>
      </c>
      <c r="K22" t="str">
        <f t="shared" si="2"/>
        <v>[0],</v>
      </c>
      <c r="L22" t="str">
        <f t="shared" si="3"/>
        <v>[0],</v>
      </c>
      <c r="M22" t="str">
        <f t="shared" si="3"/>
        <v>[0],</v>
      </c>
      <c r="N22" t="str">
        <f t="shared" si="3"/>
        <v>[0],</v>
      </c>
      <c r="O22" t="str">
        <f t="shared" si="3"/>
        <v>[0],</v>
      </c>
      <c r="P22" t="str">
        <f t="shared" si="3"/>
        <v>[0],</v>
      </c>
      <c r="Q22" t="str">
        <f t="shared" si="4"/>
        <v>[0]</v>
      </c>
      <c r="R22" t="str">
        <f t="shared" si="5"/>
        <v>]</v>
      </c>
      <c r="S22" t="str">
        <f t="shared" si="6"/>
        <v>[[0],[0],[0],[0],[0],[0],[0]]</v>
      </c>
    </row>
    <row r="23" spans="1:19" x14ac:dyDescent="0.2">
      <c r="A23" s="1" t="d">
        <v>2025-09-06</v>
      </c>
      <c r="B23">
        <f ca="1">OFFSET(daily_original_wrong!$B$23, 2*(ROW(B23)-ROW($B$23)),COLUMN(B23)-2)+OFFSET(daily_original_wrong!$B$23, 1+2*(ROW(B23)-ROW($B$23)),COLUMN(B23)-2)</f>
        <v>1.0347698000000001E-2</v>
      </c>
      <c r="C23">
        <f ca="1">OFFSET(daily_original_wrong!$B$23, 2*(ROW(C23)-ROW($B$23)),COLUMN(C23)-2)+OFFSET(daily_original_wrong!$B$23, 1+2*(ROW(C23)-ROW($B$23)),COLUMN(C23)-2)</f>
        <v>1.0347698000000001E-2</v>
      </c>
      <c r="D23">
        <f ca="1">OFFSET(daily_original_wrong!$B$23, 2*(ROW(D23)-ROW($B$23)),COLUMN(D23)-2)+OFFSET(daily_original_wrong!$B$23, 1+2*(ROW(D23)-ROW($B$23)),COLUMN(D23)-2)</f>
        <v>5.2464959999999998E-3</v>
      </c>
      <c r="E23">
        <f ca="1">OFFSET(daily_original_wrong!$B$23, 2*(ROW(E23)-ROW($B$23)),COLUMN(E23)-2)+OFFSET(daily_original_wrong!$B$23, 1+2*(ROW(E23)-ROW($B$23)),COLUMN(E23)-2)</f>
        <v>4.1770959999999999E-3</v>
      </c>
      <c r="F23">
        <f ca="1">OFFSET(daily_original_wrong!$B$23, 2*(ROW(F23)-ROW($B$23)),COLUMN(F23)-2)+OFFSET(daily_original_wrong!$B$23, 1+2*(ROW(F23)-ROW($B$23)),COLUMN(F23)-2)</f>
        <v>1.617596E-3</v>
      </c>
      <c r="G23">
        <f ca="1">OFFSET(daily_original_wrong!$B$23, 2*(ROW(G23)-ROW($B$23)),COLUMN(G23)-2)+OFFSET(daily_original_wrong!$B$23, 1+2*(ROW(G23)-ROW($B$23)),COLUMN(G23)-2)</f>
        <v>1.8407899999999999E-3</v>
      </c>
      <c r="H23">
        <f ca="1">OFFSET(daily_original_wrong!$B$23, 2*(ROW(H23)-ROW($B$23)),COLUMN(H23)-2)+OFFSET(daily_original_wrong!$B$23, 1+2*(ROW(H23)-ROW($B$23)),COLUMN(H23)-2)</f>
        <v>3.5267179999999999E-3</v>
      </c>
      <c r="J23" t="str">
        <f t="shared" si="1"/>
        <v>[</v>
      </c>
      <c r="K23" t="str">
        <f t="shared" ca="1" si="2"/>
        <v>[0.005173849],</v>
      </c>
      <c r="L23" t="str">
        <f t="shared" ca="1" si="3"/>
        <v>[0.010347698],</v>
      </c>
      <c r="M23" t="str">
        <f t="shared" ca="1" si="3"/>
        <v>[0.005246496],</v>
      </c>
      <c r="N23" t="str">
        <f t="shared" ca="1" si="3"/>
        <v>[0.004177096],</v>
      </c>
      <c r="O23" t="str">
        <f t="shared" ca="1" si="3"/>
        <v>[0.001617596],</v>
      </c>
      <c r="P23" t="str">
        <f t="shared" ca="1" si="3"/>
        <v>[0.00184079],</v>
      </c>
      <c r="Q23" t="str">
        <f t="shared" ca="1" si="4"/>
        <v>[0.003526718]</v>
      </c>
      <c r="R23" t="str">
        <f t="shared" si="5"/>
        <v>]</v>
      </c>
      <c r="S23" t="str">
        <f t="shared" ca="1" si="6"/>
        <v>[[0.005173849],[0.010347698],[0.005246496],[0.004177096],[0.001617596],[0.00184079],[0.003526718]]</v>
      </c>
    </row>
    <row r="24" spans="1:19" x14ac:dyDescent="0.2">
      <c r="A24" s="1" t="d">
        <v>2025-09-07</v>
      </c>
      <c r="B24">
        <f ca="1">OFFSET(daily_original_wrong!$B$23, 2*(ROW(B24)-ROW($B$23)),COLUMN(B24)-2)+OFFSET(daily_original_wrong!$B$23, 1+2*(ROW(B24)-ROW($B$23)),COLUMN(B24)-2)</f>
        <v>1.0347698000000001E-2</v>
      </c>
      <c r="C24">
        <f ca="1">OFFSET(daily_original_wrong!$B$23, 2*(ROW(C24)-ROW($B$23)),COLUMN(C24)-2)+OFFSET(daily_original_wrong!$B$23, 1+2*(ROW(C24)-ROW($B$23)),COLUMN(C24)-2)</f>
        <v>1.0347698000000001E-2</v>
      </c>
      <c r="D24">
        <f ca="1">OFFSET(daily_original_wrong!$B$23, 2*(ROW(D24)-ROW($B$23)),COLUMN(D24)-2)+OFFSET(daily_original_wrong!$B$23, 1+2*(ROW(D24)-ROW($B$23)),COLUMN(D24)-2)</f>
        <v>5.2464959999999998E-3</v>
      </c>
      <c r="E24">
        <f ca="1">OFFSET(daily_original_wrong!$B$23, 2*(ROW(E24)-ROW($B$23)),COLUMN(E24)-2)+OFFSET(daily_original_wrong!$B$23, 1+2*(ROW(E24)-ROW($B$23)),COLUMN(E24)-2)</f>
        <v>4.1770959999999999E-3</v>
      </c>
      <c r="F24">
        <f ca="1">OFFSET(daily_original_wrong!$B$23, 2*(ROW(F24)-ROW($B$23)),COLUMN(F24)-2)+OFFSET(daily_original_wrong!$B$23, 1+2*(ROW(F24)-ROW($B$23)),COLUMN(F24)-2)</f>
        <v>1.617596E-3</v>
      </c>
      <c r="G24">
        <f ca="1">OFFSET(daily_original_wrong!$B$23, 2*(ROW(G24)-ROW($B$23)),COLUMN(G24)-2)+OFFSET(daily_original_wrong!$B$23, 1+2*(ROW(G24)-ROW($B$23)),COLUMN(G24)-2)</f>
        <v>1.8407899999999999E-3</v>
      </c>
      <c r="H24">
        <f ca="1">OFFSET(daily_original_wrong!$B$23, 2*(ROW(H24)-ROW($B$23)),COLUMN(H24)-2)+OFFSET(daily_original_wrong!$B$23, 1+2*(ROW(H24)-ROW($B$23)),COLUMN(H24)-2)</f>
        <v>3.5267179999999999E-3</v>
      </c>
      <c r="J24" t="str">
        <f t="shared" si="1"/>
        <v>[</v>
      </c>
      <c r="K24" t="str">
        <f t="shared" ca="1" si="2"/>
        <v>[0.005173849],</v>
      </c>
      <c r="L24" t="str">
        <f t="shared" ca="1" si="3"/>
        <v>[0.010347698],</v>
      </c>
      <c r="M24" t="str">
        <f t="shared" ca="1" si="3"/>
        <v>[0.005246496],</v>
      </c>
      <c r="N24" t="str">
        <f t="shared" ca="1" si="3"/>
        <v>[0.004177096],</v>
      </c>
      <c r="O24" t="str">
        <f t="shared" ca="1" si="3"/>
        <v>[0.001617596],</v>
      </c>
      <c r="P24" t="str">
        <f t="shared" ca="1" si="3"/>
        <v>[0.00184079],</v>
      </c>
      <c r="Q24" t="str">
        <f t="shared" ca="1" si="4"/>
        <v>[0.003526718]</v>
      </c>
      <c r="R24" t="str">
        <f t="shared" si="5"/>
        <v>]</v>
      </c>
      <c r="S24" t="str">
        <f t="shared" ca="1" si="6"/>
        <v>[[0.005173849],[0.010347698],[0.005246496],[0.004177096],[0.001617596],[0.00184079],[0.003526718]]</v>
      </c>
    </row>
    <row r="25" spans="1:19" x14ac:dyDescent="0.2">
      <c r="A25" s="1" t="d">
        <v>2025-09-08</v>
      </c>
      <c r="B25">
        <f ca="1">OFFSET(daily_original_wrong!$B$23, 2*(ROW(B25)-ROW($B$23)),COLUMN(B25)-2)+OFFSET(daily_original_wrong!$B$23, 1+2*(ROW(B25)-ROW($B$23)),COLUMN(B25)-2)</f>
        <v>1.0347698000000001E-2</v>
      </c>
      <c r="C25">
        <f ca="1">OFFSET(daily_original_wrong!$B$23, 2*(ROW(C25)-ROW($B$23)),COLUMN(C25)-2)+OFFSET(daily_original_wrong!$B$23, 1+2*(ROW(C25)-ROW($B$23)),COLUMN(C25)-2)</f>
        <v>1.0347698000000001E-2</v>
      </c>
      <c r="D25">
        <f ca="1">OFFSET(daily_original_wrong!$B$23, 2*(ROW(D25)-ROW($B$23)),COLUMN(D25)-2)+OFFSET(daily_original_wrong!$B$23, 1+2*(ROW(D25)-ROW($B$23)),COLUMN(D25)-2)</f>
        <v>5.2464959999999998E-3</v>
      </c>
      <c r="E25">
        <f ca="1">OFFSET(daily_original_wrong!$B$23, 2*(ROW(E25)-ROW($B$23)),COLUMN(E25)-2)+OFFSET(daily_original_wrong!$B$23, 1+2*(ROW(E25)-ROW($B$23)),COLUMN(E25)-2)</f>
        <v>4.1770959999999999E-3</v>
      </c>
      <c r="F25">
        <f ca="1">OFFSET(daily_original_wrong!$B$23, 2*(ROW(F25)-ROW($B$23)),COLUMN(F25)-2)+OFFSET(daily_original_wrong!$B$23, 1+2*(ROW(F25)-ROW($B$23)),COLUMN(F25)-2)</f>
        <v>1.617596E-3</v>
      </c>
      <c r="G25">
        <f ca="1">OFFSET(daily_original_wrong!$B$23, 2*(ROW(G25)-ROW($B$23)),COLUMN(G25)-2)+OFFSET(daily_original_wrong!$B$23, 1+2*(ROW(G25)-ROW($B$23)),COLUMN(G25)-2)</f>
        <v>1.8407899999999999E-3</v>
      </c>
      <c r="H25">
        <f ca="1">OFFSET(daily_original_wrong!$B$23, 2*(ROW(H25)-ROW($B$23)),COLUMN(H25)-2)+OFFSET(daily_original_wrong!$B$23, 1+2*(ROW(H25)-ROW($B$23)),COLUMN(H25)-2)</f>
        <v>3.5267179999999999E-3</v>
      </c>
      <c r="J25" t="str">
        <f t="shared" si="1"/>
        <v>[</v>
      </c>
      <c r="K25" t="str">
        <f t="shared" ca="1" si="2"/>
        <v>[0.005173849],</v>
      </c>
      <c r="L25" t="str">
        <f t="shared" ca="1" si="3"/>
        <v>[0.010347698],</v>
      </c>
      <c r="M25" t="str">
        <f t="shared" ca="1" si="3"/>
        <v>[0.005246496],</v>
      </c>
      <c r="N25" t="str">
        <f t="shared" ca="1" si="3"/>
        <v>[0.004177096],</v>
      </c>
      <c r="O25" t="str">
        <f t="shared" ca="1" si="3"/>
        <v>[0.001617596],</v>
      </c>
      <c r="P25" t="str">
        <f t="shared" ca="1" si="3"/>
        <v>[0.00184079],</v>
      </c>
      <c r="Q25" t="str">
        <f t="shared" ca="1" si="4"/>
        <v>[0.003526718]</v>
      </c>
      <c r="R25" t="str">
        <f t="shared" si="5"/>
        <v>]</v>
      </c>
      <c r="S25" t="str">
        <f t="shared" ca="1" si="6"/>
        <v>[[0.005173849],[0.010347698],[0.005246496],[0.004177096],[0.001617596],[0.00184079],[0.003526718]]</v>
      </c>
    </row>
    <row r="26" spans="1:19" x14ac:dyDescent="0.2">
      <c r="A26" s="1" t="d">
        <v>2025-09-09</v>
      </c>
      <c r="B26">
        <f ca="1">OFFSET(daily_original_wrong!$B$23, 2*(ROW(B26)-ROW($B$23)),COLUMN(B26)-2)+OFFSET(daily_original_wrong!$B$23, 1+2*(ROW(B26)-ROW($B$23)),COLUMN(B26)-2)</f>
        <v>1.0135511999999999E-2</v>
      </c>
      <c r="C26">
        <f ca="1">OFFSET(daily_original_wrong!$B$23, 2*(ROW(C26)-ROW($B$23)),COLUMN(C26)-2)+OFFSET(daily_original_wrong!$B$23, 1+2*(ROW(C26)-ROW($B$23)),COLUMN(C26)-2)</f>
        <v>1.0135511999999999E-2</v>
      </c>
      <c r="D26">
        <f ca="1">OFFSET(daily_original_wrong!$B$23, 2*(ROW(D26)-ROW($B$23)),COLUMN(D26)-2)+OFFSET(daily_original_wrong!$B$23, 1+2*(ROW(D26)-ROW($B$23)),COLUMN(D26)-2)</f>
        <v>5.3874159999999999E-3</v>
      </c>
      <c r="E26">
        <f ca="1">OFFSET(daily_original_wrong!$B$23, 2*(ROW(E26)-ROW($B$23)),COLUMN(E26)-2)+OFFSET(daily_original_wrong!$B$23, 1+2*(ROW(E26)-ROW($B$23)),COLUMN(E26)-2)</f>
        <v>4.3948059999999994E-3</v>
      </c>
      <c r="F26">
        <f ca="1">OFFSET(daily_original_wrong!$B$23, 2*(ROW(F26)-ROW($B$23)),COLUMN(F26)-2)+OFFSET(daily_original_wrong!$B$23, 1+2*(ROW(F26)-ROW($B$23)),COLUMN(F26)-2)</f>
        <v>1.372131E-3</v>
      </c>
      <c r="G26">
        <f ca="1">OFFSET(daily_original_wrong!$B$23, 2*(ROW(G26)-ROW($B$23)),COLUMN(G26)-2)+OFFSET(daily_original_wrong!$B$23, 1+2*(ROW(G26)-ROW($B$23)),COLUMN(G26)-2)</f>
        <v>2.1244989999999997E-3</v>
      </c>
      <c r="H26">
        <f ca="1">OFFSET(daily_original_wrong!$B$23, 2*(ROW(H26)-ROW($B$23)),COLUMN(H26)-2)+OFFSET(daily_original_wrong!$B$23, 1+2*(ROW(H26)-ROW($B$23)),COLUMN(H26)-2)</f>
        <v>4.673544E-3</v>
      </c>
      <c r="J26" t="str">
        <f t="shared" si="1"/>
        <v>[</v>
      </c>
      <c r="K26" t="str">
        <f t="shared" ca="1" si="2"/>
        <v>[0.005067756],</v>
      </c>
      <c r="L26" t="str">
        <f t="shared" ca="1" si="3"/>
        <v>[0.010135512],</v>
      </c>
      <c r="M26" t="str">
        <f t="shared" ca="1" si="3"/>
        <v>[0.005387416],</v>
      </c>
      <c r="N26" t="str">
        <f t="shared" ca="1" si="3"/>
        <v>[0.004394806],</v>
      </c>
      <c r="O26" t="str">
        <f t="shared" ca="1" si="3"/>
        <v>[0.001372131],</v>
      </c>
      <c r="P26" t="str">
        <f t="shared" ca="1" si="3"/>
        <v>[0.002124499],</v>
      </c>
      <c r="Q26" t="str">
        <f t="shared" ca="1" si="4"/>
        <v>[0.004673544]</v>
      </c>
      <c r="R26" t="str">
        <f t="shared" si="5"/>
        <v>]</v>
      </c>
      <c r="S26" t="str">
        <f t="shared" ca="1" si="6"/>
        <v>[[0.005067756],[0.010135512],[0.005387416],[0.004394806],[0.001372131],[0.002124499],[0.004673544]]</v>
      </c>
    </row>
    <row r="27" spans="1:19" x14ac:dyDescent="0.2">
      <c r="A27" s="1" t="d">
        <v>2025-09-10</v>
      </c>
      <c r="B27">
        <f ca="1">OFFSET(daily_original_wrong!$B$23, 2*(ROW(B27)-ROW($B$23)),COLUMN(B27)-2)+OFFSET(daily_original_wrong!$B$23, 1+2*(ROW(B27)-ROW($B$23)),COLUMN(B27)-2)</f>
        <v>9.9233259999999997E-3</v>
      </c>
      <c r="C27">
        <f ca="1">OFFSET(daily_original_wrong!$B$23, 2*(ROW(C27)-ROW($B$23)),COLUMN(C27)-2)+OFFSET(daily_original_wrong!$B$23, 1+2*(ROW(C27)-ROW($B$23)),COLUMN(C27)-2)</f>
        <v>9.9233259999999997E-3</v>
      </c>
      <c r="D27">
        <f ca="1">OFFSET(daily_original_wrong!$B$23, 2*(ROW(D27)-ROW($B$23)),COLUMN(D27)-2)+OFFSET(daily_original_wrong!$B$23, 1+2*(ROW(D27)-ROW($B$23)),COLUMN(D27)-2)</f>
        <v>5.528336E-3</v>
      </c>
      <c r="E27">
        <f ca="1">OFFSET(daily_original_wrong!$B$23, 2*(ROW(E27)-ROW($B$23)),COLUMN(E27)-2)+OFFSET(daily_original_wrong!$B$23, 1+2*(ROW(E27)-ROW($B$23)),COLUMN(E27)-2)</f>
        <v>4.6125159999999997E-3</v>
      </c>
      <c r="F27">
        <f ca="1">OFFSET(daily_original_wrong!$B$23, 2*(ROW(F27)-ROW($B$23)),COLUMN(F27)-2)+OFFSET(daily_original_wrong!$B$23, 1+2*(ROW(F27)-ROW($B$23)),COLUMN(F27)-2)</f>
        <v>1.1266659999999999E-3</v>
      </c>
      <c r="G27">
        <f ca="1">OFFSET(daily_original_wrong!$B$23, 2*(ROW(G27)-ROW($B$23)),COLUMN(G27)-2)+OFFSET(daily_original_wrong!$B$23, 1+2*(ROW(G27)-ROW($B$23)),COLUMN(G27)-2)</f>
        <v>2.4082079999999998E-3</v>
      </c>
      <c r="H27">
        <f ca="1">OFFSET(daily_original_wrong!$B$23, 2*(ROW(H27)-ROW($B$23)),COLUMN(H27)-2)+OFFSET(daily_original_wrong!$B$23, 1+2*(ROW(H27)-ROW($B$23)),COLUMN(H27)-2)</f>
        <v>5.8203700000000001E-3</v>
      </c>
      <c r="J27" t="str">
        <f t="shared" si="1"/>
        <v>[</v>
      </c>
      <c r="K27" t="str">
        <f t="shared" ca="1" si="2"/>
        <v>[0.004961663],</v>
      </c>
      <c r="L27" t="str">
        <f t="shared" ca="1" si="3"/>
        <v>[0.009923326],</v>
      </c>
      <c r="M27" t="str">
        <f t="shared" ca="1" si="3"/>
        <v>[0.005528336],</v>
      </c>
      <c r="N27" t="str">
        <f t="shared" ca="1" si="3"/>
        <v>[0.004612516],</v>
      </c>
      <c r="O27" t="str">
        <f t="shared" ca="1" si="3"/>
        <v>[0.001126666],</v>
      </c>
      <c r="P27" t="str">
        <f t="shared" ca="1" si="3"/>
        <v>[0.002408208],</v>
      </c>
      <c r="Q27" t="str">
        <f t="shared" ca="1" si="4"/>
        <v>[0.00582037]</v>
      </c>
      <c r="R27" t="str">
        <f t="shared" si="5"/>
        <v>]</v>
      </c>
      <c r="S27" t="str">
        <f t="shared" ca="1" si="6"/>
        <v>[[0.004961663],[0.009923326],[0.005528336],[0.004612516],[0.001126666],[0.002408208],[0.00582037]]</v>
      </c>
    </row>
    <row r="28" spans="1:19" x14ac:dyDescent="0.2">
      <c r="A28" s="1" t="d">
        <v>2025-09-11</v>
      </c>
      <c r="B28">
        <f ca="1">OFFSET(daily_original_wrong!$B$23, 2*(ROW(B28)-ROW($B$23)),COLUMN(B28)-2)+OFFSET(daily_original_wrong!$B$23, 1+2*(ROW(B28)-ROW($B$23)),COLUMN(B28)-2)</f>
        <v>9.9233259999999997E-3</v>
      </c>
      <c r="C28">
        <f ca="1">OFFSET(daily_original_wrong!$B$23, 2*(ROW(C28)-ROW($B$23)),COLUMN(C28)-2)+OFFSET(daily_original_wrong!$B$23, 1+2*(ROW(C28)-ROW($B$23)),COLUMN(C28)-2)</f>
        <v>9.9233259999999997E-3</v>
      </c>
      <c r="D28">
        <f ca="1">OFFSET(daily_original_wrong!$B$23, 2*(ROW(D28)-ROW($B$23)),COLUMN(D28)-2)+OFFSET(daily_original_wrong!$B$23, 1+2*(ROW(D28)-ROW($B$23)),COLUMN(D28)-2)</f>
        <v>5.528336E-3</v>
      </c>
      <c r="E28">
        <f ca="1">OFFSET(daily_original_wrong!$B$23, 2*(ROW(E28)-ROW($B$23)),COLUMN(E28)-2)+OFFSET(daily_original_wrong!$B$23, 1+2*(ROW(E28)-ROW($B$23)),COLUMN(E28)-2)</f>
        <v>4.6125159999999997E-3</v>
      </c>
      <c r="F28">
        <f ca="1">OFFSET(daily_original_wrong!$B$23, 2*(ROW(F28)-ROW($B$23)),COLUMN(F28)-2)+OFFSET(daily_original_wrong!$B$23, 1+2*(ROW(F28)-ROW($B$23)),COLUMN(F28)-2)</f>
        <v>1.1266659999999999E-3</v>
      </c>
      <c r="G28">
        <f ca="1">OFFSET(daily_original_wrong!$B$23, 2*(ROW(G28)-ROW($B$23)),COLUMN(G28)-2)+OFFSET(daily_original_wrong!$B$23, 1+2*(ROW(G28)-ROW($B$23)),COLUMN(G28)-2)</f>
        <v>2.4082079999999998E-3</v>
      </c>
      <c r="H28">
        <f ca="1">OFFSET(daily_original_wrong!$B$23, 2*(ROW(H28)-ROW($B$23)),COLUMN(H28)-2)+OFFSET(daily_original_wrong!$B$23, 1+2*(ROW(H28)-ROW($B$23)),COLUMN(H28)-2)</f>
        <v>5.8203700000000001E-3</v>
      </c>
      <c r="J28" t="str">
        <f t="shared" si="1"/>
        <v>[</v>
      </c>
      <c r="K28" t="str">
        <f t="shared" ca="1" si="2"/>
        <v>[0.004961663],</v>
      </c>
      <c r="L28" t="str">
        <f t="shared" ca="1" si="3"/>
        <v>[0.009923326],</v>
      </c>
      <c r="M28" t="str">
        <f t="shared" ca="1" si="3"/>
        <v>[0.005528336],</v>
      </c>
      <c r="N28" t="str">
        <f t="shared" ca="1" si="3"/>
        <v>[0.004612516],</v>
      </c>
      <c r="O28" t="str">
        <f t="shared" ca="1" si="3"/>
        <v>[0.001126666],</v>
      </c>
      <c r="P28" t="str">
        <f t="shared" ca="1" si="3"/>
        <v>[0.002408208],</v>
      </c>
      <c r="Q28" t="str">
        <f t="shared" ca="1" si="4"/>
        <v>[0.00582037]</v>
      </c>
      <c r="R28" t="str">
        <f t="shared" si="5"/>
        <v>]</v>
      </c>
      <c r="S28" t="str">
        <f t="shared" ca="1" si="6"/>
        <v>[[0.004961663],[0.009923326],[0.005528336],[0.004612516],[0.001126666],[0.002408208],[0.00582037]]</v>
      </c>
    </row>
    <row r="29" spans="1:19" x14ac:dyDescent="0.2">
      <c r="A29" s="1" t="d">
        <v>2025-09-12</v>
      </c>
      <c r="B29">
        <f ca="1">OFFSET(daily_original_wrong!$B$23, 2*(ROW(B29)-ROW($B$23)),COLUMN(B29)-2)+OFFSET(daily_original_wrong!$B$23, 1+2*(ROW(B29)-ROW($B$23)),COLUMN(B29)-2)</f>
        <v>9.9233259999999997E-3</v>
      </c>
      <c r="C29">
        <f ca="1">OFFSET(daily_original_wrong!$B$23, 2*(ROW(C29)-ROW($B$23)),COLUMN(C29)-2)+OFFSET(daily_original_wrong!$B$23, 1+2*(ROW(C29)-ROW($B$23)),COLUMN(C29)-2)</f>
        <v>9.9233259999999997E-3</v>
      </c>
      <c r="D29">
        <f ca="1">OFFSET(daily_original_wrong!$B$23, 2*(ROW(D29)-ROW($B$23)),COLUMN(D29)-2)+OFFSET(daily_original_wrong!$B$23, 1+2*(ROW(D29)-ROW($B$23)),COLUMN(D29)-2)</f>
        <v>5.528336E-3</v>
      </c>
      <c r="E29">
        <f ca="1">OFFSET(daily_original_wrong!$B$23, 2*(ROW(E29)-ROW($B$23)),COLUMN(E29)-2)+OFFSET(daily_original_wrong!$B$23, 1+2*(ROW(E29)-ROW($B$23)),COLUMN(E29)-2)</f>
        <v>4.6125159999999997E-3</v>
      </c>
      <c r="F29">
        <f ca="1">OFFSET(daily_original_wrong!$B$23, 2*(ROW(F29)-ROW($B$23)),COLUMN(F29)-2)+OFFSET(daily_original_wrong!$B$23, 1+2*(ROW(F29)-ROW($B$23)),COLUMN(F29)-2)</f>
        <v>1.1266659999999999E-3</v>
      </c>
      <c r="G29">
        <f ca="1">OFFSET(daily_original_wrong!$B$23, 2*(ROW(G29)-ROW($B$23)),COLUMN(G29)-2)+OFFSET(daily_original_wrong!$B$23, 1+2*(ROW(G29)-ROW($B$23)),COLUMN(G29)-2)</f>
        <v>2.4082079999999998E-3</v>
      </c>
      <c r="H29">
        <f ca="1">OFFSET(daily_original_wrong!$B$23, 2*(ROW(H29)-ROW($B$23)),COLUMN(H29)-2)+OFFSET(daily_original_wrong!$B$23, 1+2*(ROW(H29)-ROW($B$23)),COLUMN(H29)-2)</f>
        <v>5.8203700000000001E-3</v>
      </c>
      <c r="J29" t="str">
        <f t="shared" si="1"/>
        <v>[</v>
      </c>
      <c r="K29" t="str">
        <f t="shared" ca="1" si="2"/>
        <v>[0.004961663],</v>
      </c>
      <c r="L29" t="str">
        <f t="shared" ca="1" si="3"/>
        <v>[0.009923326],</v>
      </c>
      <c r="M29" t="str">
        <f t="shared" ca="1" si="3"/>
        <v>[0.005528336],</v>
      </c>
      <c r="N29" t="str">
        <f t="shared" ca="1" si="3"/>
        <v>[0.004612516],</v>
      </c>
      <c r="O29" t="str">
        <f t="shared" ca="1" si="3"/>
        <v>[0.001126666],</v>
      </c>
      <c r="P29" t="str">
        <f t="shared" ca="1" si="3"/>
        <v>[0.002408208],</v>
      </c>
      <c r="Q29" t="str">
        <f t="shared" ca="1" si="4"/>
        <v>[0.00582037]</v>
      </c>
      <c r="R29" t="str">
        <f t="shared" si="5"/>
        <v>]</v>
      </c>
      <c r="S29" t="str">
        <f t="shared" ca="1" si="6"/>
        <v>[[0.004961663],[0.009923326],[0.005528336],[0.004612516],[0.001126666],[0.002408208],[0.00582037]]</v>
      </c>
    </row>
    <row r="30" spans="1:19" x14ac:dyDescent="0.2">
      <c r="A30" s="1" t="d">
        <v>2025-09-13</v>
      </c>
      <c r="B30">
        <f ca="1">OFFSET(daily_original_wrong!$B$23, 2*(ROW(B30)-ROW($B$23)),COLUMN(B30)-2)+OFFSET(daily_original_wrong!$B$23, 1+2*(ROW(B30)-ROW($B$23)),COLUMN(B30)-2)</f>
        <v>1.0977911999999999E-2</v>
      </c>
      <c r="C30">
        <f ca="1">OFFSET(daily_original_wrong!$B$23, 2*(ROW(C30)-ROW($B$23)),COLUMN(C30)-2)+OFFSET(daily_original_wrong!$B$23, 1+2*(ROW(C30)-ROW($B$23)),COLUMN(C30)-2)</f>
        <v>1.0977911999999999E-2</v>
      </c>
      <c r="D30">
        <f ca="1">OFFSET(daily_original_wrong!$B$23, 2*(ROW(D30)-ROW($B$23)),COLUMN(D30)-2)+OFFSET(daily_original_wrong!$B$23, 1+2*(ROW(D30)-ROW($B$23)),COLUMN(D30)-2)</f>
        <v>6.75832E-3</v>
      </c>
      <c r="E30">
        <f ca="1">OFFSET(daily_original_wrong!$B$23, 2*(ROW(E30)-ROW($B$23)),COLUMN(E30)-2)+OFFSET(daily_original_wrong!$B$23, 1+2*(ROW(E30)-ROW($B$23)),COLUMN(E30)-2)</f>
        <v>5.7603400000000001E-3</v>
      </c>
      <c r="F30">
        <f ca="1">OFFSET(daily_original_wrong!$B$23, 2*(ROW(F30)-ROW($B$23)),COLUMN(F30)-2)+OFFSET(daily_original_wrong!$B$23, 1+2*(ROW(F30)-ROW($B$23)),COLUMN(F30)-2)</f>
        <v>2.4406160000000001E-3</v>
      </c>
      <c r="G30">
        <f ca="1">OFFSET(daily_original_wrong!$B$23, 2*(ROW(G30)-ROW($B$23)),COLUMN(G30)-2)+OFFSET(daily_original_wrong!$B$23, 1+2*(ROW(G30)-ROW($B$23)),COLUMN(G30)-2)</f>
        <v>4.3279140000000004E-3</v>
      </c>
      <c r="H30">
        <f ca="1">OFFSET(daily_original_wrong!$B$23, 2*(ROW(H30)-ROW($B$23)),COLUMN(H30)-2)+OFFSET(daily_original_wrong!$B$23, 1+2*(ROW(H30)-ROW($B$23)),COLUMN(H30)-2)</f>
        <v>8.3877520000000001E-3</v>
      </c>
      <c r="J30" t="str">
        <f t="shared" si="1"/>
        <v>[</v>
      </c>
      <c r="K30" t="str">
        <f t="shared" ca="1" si="2"/>
        <v>[0.005488956],</v>
      </c>
      <c r="L30" t="str">
        <f t="shared" ca="1" si="3"/>
        <v>[0.010977912],</v>
      </c>
      <c r="M30" t="str">
        <f t="shared" ca="1" si="3"/>
        <v>[0.00675832],</v>
      </c>
      <c r="N30" t="str">
        <f t="shared" ca="1" si="3"/>
        <v>[0.00576034],</v>
      </c>
      <c r="O30" t="str">
        <f t="shared" ca="1" si="3"/>
        <v>[0.002440616],</v>
      </c>
      <c r="P30" t="str">
        <f t="shared" ca="1" si="3"/>
        <v>[0.004327914],</v>
      </c>
      <c r="Q30" t="str">
        <f t="shared" ca="1" si="4"/>
        <v>[0.008387752]</v>
      </c>
      <c r="R30" t="str">
        <f t="shared" si="5"/>
        <v>]</v>
      </c>
      <c r="S30" t="str">
        <f t="shared" ca="1" si="6"/>
        <v>[[0.005488956],[0.010977912],[0.00675832],[0.00576034],[0.002440616],[0.004327914],[0.008387752]]</v>
      </c>
    </row>
    <row r="31" spans="1:19" x14ac:dyDescent="0.2">
      <c r="A31" s="1" t="d">
        <v>2025-09-14</v>
      </c>
      <c r="B31">
        <f ca="1">OFFSET(daily_original_wrong!$B$23, 2*(ROW(B31)-ROW($B$23)),COLUMN(B31)-2)+OFFSET(daily_original_wrong!$B$23, 1+2*(ROW(B31)-ROW($B$23)),COLUMN(B31)-2)</f>
        <v>1.0977911999999999E-2</v>
      </c>
      <c r="C31">
        <f ca="1">OFFSET(daily_original_wrong!$B$23, 2*(ROW(C31)-ROW($B$23)),COLUMN(C31)-2)+OFFSET(daily_original_wrong!$B$23, 1+2*(ROW(C31)-ROW($B$23)),COLUMN(C31)-2)</f>
        <v>1.0977911999999999E-2</v>
      </c>
      <c r="D31">
        <f ca="1">OFFSET(daily_original_wrong!$B$23, 2*(ROW(D31)-ROW($B$23)),COLUMN(D31)-2)+OFFSET(daily_original_wrong!$B$23, 1+2*(ROW(D31)-ROW($B$23)),COLUMN(D31)-2)</f>
        <v>6.75832E-3</v>
      </c>
      <c r="E31">
        <f ca="1">OFFSET(daily_original_wrong!$B$23, 2*(ROW(E31)-ROW($B$23)),COLUMN(E31)-2)+OFFSET(daily_original_wrong!$B$23, 1+2*(ROW(E31)-ROW($B$23)),COLUMN(E31)-2)</f>
        <v>5.7603400000000001E-3</v>
      </c>
      <c r="F31">
        <f ca="1">OFFSET(daily_original_wrong!$B$23, 2*(ROW(F31)-ROW($B$23)),COLUMN(F31)-2)+OFFSET(daily_original_wrong!$B$23, 1+2*(ROW(F31)-ROW($B$23)),COLUMN(F31)-2)</f>
        <v>2.4406160000000001E-3</v>
      </c>
      <c r="G31">
        <f ca="1">OFFSET(daily_original_wrong!$B$23, 2*(ROW(G31)-ROW($B$23)),COLUMN(G31)-2)+OFFSET(daily_original_wrong!$B$23, 1+2*(ROW(G31)-ROW($B$23)),COLUMN(G31)-2)</f>
        <v>4.3279140000000004E-3</v>
      </c>
      <c r="H31">
        <f ca="1">OFFSET(daily_original_wrong!$B$23, 2*(ROW(H31)-ROW($B$23)),COLUMN(H31)-2)+OFFSET(daily_original_wrong!$B$23, 1+2*(ROW(H31)-ROW($B$23)),COLUMN(H31)-2)</f>
        <v>8.3877520000000001E-3</v>
      </c>
      <c r="J31" t="str">
        <f t="shared" si="1"/>
        <v>[</v>
      </c>
      <c r="K31" t="str">
        <f t="shared" ca="1" si="2"/>
        <v>[0.005488956],</v>
      </c>
      <c r="L31" t="str">
        <f t="shared" ca="1" si="3"/>
        <v>[0.010977912],</v>
      </c>
      <c r="M31" t="str">
        <f t="shared" ca="1" si="3"/>
        <v>[0.00675832],</v>
      </c>
      <c r="N31" t="str">
        <f t="shared" ca="1" si="3"/>
        <v>[0.00576034],</v>
      </c>
      <c r="O31" t="str">
        <f t="shared" ca="1" si="3"/>
        <v>[0.002440616],</v>
      </c>
      <c r="P31" t="str">
        <f t="shared" ca="1" si="3"/>
        <v>[0.004327914],</v>
      </c>
      <c r="Q31" t="str">
        <f t="shared" ca="1" si="4"/>
        <v>[0.008387752]</v>
      </c>
      <c r="R31" t="str">
        <f t="shared" si="5"/>
        <v>]</v>
      </c>
      <c r="S31" t="str">
        <f t="shared" ca="1" si="6"/>
        <v>[[0.005488956],[0.010977912],[0.00675832],[0.00576034],[0.002440616],[0.004327914],[0.008387752]]</v>
      </c>
    </row>
    <row r="32" spans="1:19" x14ac:dyDescent="0.2">
      <c r="A32" s="1" t="d">
        <v>2025-09-15</v>
      </c>
      <c r="B32">
        <f ca="1">OFFSET(daily_original_wrong!$B$23, 2*(ROW(B32)-ROW($B$23)),COLUMN(B32)-2)+OFFSET(daily_original_wrong!$B$23, 1+2*(ROW(B32)-ROW($B$23)),COLUMN(B32)-2)</f>
        <v>1.0977911999999999E-2</v>
      </c>
      <c r="C32">
        <f ca="1">OFFSET(daily_original_wrong!$B$23, 2*(ROW(C32)-ROW($B$23)),COLUMN(C32)-2)+OFFSET(daily_original_wrong!$B$23, 1+2*(ROW(C32)-ROW($B$23)),COLUMN(C32)-2)</f>
        <v>1.0977911999999999E-2</v>
      </c>
      <c r="D32">
        <f ca="1">OFFSET(daily_original_wrong!$B$23, 2*(ROW(D32)-ROW($B$23)),COLUMN(D32)-2)+OFFSET(daily_original_wrong!$B$23, 1+2*(ROW(D32)-ROW($B$23)),COLUMN(D32)-2)</f>
        <v>6.75832E-3</v>
      </c>
      <c r="E32">
        <f ca="1">OFFSET(daily_original_wrong!$B$23, 2*(ROW(E32)-ROW($B$23)),COLUMN(E32)-2)+OFFSET(daily_original_wrong!$B$23, 1+2*(ROW(E32)-ROW($B$23)),COLUMN(E32)-2)</f>
        <v>5.7603400000000001E-3</v>
      </c>
      <c r="F32">
        <f ca="1">OFFSET(daily_original_wrong!$B$23, 2*(ROW(F32)-ROW($B$23)),COLUMN(F32)-2)+OFFSET(daily_original_wrong!$B$23, 1+2*(ROW(F32)-ROW($B$23)),COLUMN(F32)-2)</f>
        <v>2.4406160000000001E-3</v>
      </c>
      <c r="G32">
        <f ca="1">OFFSET(daily_original_wrong!$B$23, 2*(ROW(G32)-ROW($B$23)),COLUMN(G32)-2)+OFFSET(daily_original_wrong!$B$23, 1+2*(ROW(G32)-ROW($B$23)),COLUMN(G32)-2)</f>
        <v>4.3279140000000004E-3</v>
      </c>
      <c r="H32">
        <f ca="1">OFFSET(daily_original_wrong!$B$23, 2*(ROW(H32)-ROW($B$23)),COLUMN(H32)-2)+OFFSET(daily_original_wrong!$B$23, 1+2*(ROW(H32)-ROW($B$23)),COLUMN(H32)-2)</f>
        <v>8.3877520000000001E-3</v>
      </c>
      <c r="J32" t="str">
        <f t="shared" si="1"/>
        <v>[</v>
      </c>
      <c r="K32" t="str">
        <f t="shared" ca="1" si="2"/>
        <v>[0.005488956],</v>
      </c>
      <c r="L32" t="str">
        <f t="shared" ca="1" si="3"/>
        <v>[0.010977912],</v>
      </c>
      <c r="M32" t="str">
        <f t="shared" ca="1" si="3"/>
        <v>[0.00675832],</v>
      </c>
      <c r="N32" t="str">
        <f t="shared" ca="1" si="3"/>
        <v>[0.00576034],</v>
      </c>
      <c r="O32" t="str">
        <f t="shared" ca="1" si="3"/>
        <v>[0.002440616],</v>
      </c>
      <c r="P32" t="str">
        <f t="shared" ca="1" si="3"/>
        <v>[0.004327914],</v>
      </c>
      <c r="Q32" t="str">
        <f t="shared" ca="1" si="4"/>
        <v>[0.008387752]</v>
      </c>
      <c r="R32" t="str">
        <f t="shared" si="5"/>
        <v>]</v>
      </c>
      <c r="S32" t="str">
        <f t="shared" ca="1" si="6"/>
        <v>[[0.005488956],[0.010977912],[0.00675832],[0.00576034],[0.002440616],[0.004327914],[0.008387752]]</v>
      </c>
    </row>
    <row r="33" spans="1:19" x14ac:dyDescent="0.2">
      <c r="A33" s="1" t="d">
        <v>2025-09-16</v>
      </c>
      <c r="B33">
        <f ca="1">OFFSET(daily_original_wrong!$B$23, 2*(ROW(B33)-ROW($B$23)),COLUMN(B33)-2)+OFFSET(daily_original_wrong!$B$23, 1+2*(ROW(B33)-ROW($B$23)),COLUMN(B33)-2)</f>
        <v>1.7186993999999997E-2</v>
      </c>
      <c r="C33">
        <f ca="1">OFFSET(daily_original_wrong!$B$23, 2*(ROW(C33)-ROW($B$23)),COLUMN(C33)-2)+OFFSET(daily_original_wrong!$B$23, 1+2*(ROW(C33)-ROW($B$23)),COLUMN(C33)-2)</f>
        <v>1.7186993999999997E-2</v>
      </c>
      <c r="D33">
        <f ca="1">OFFSET(daily_original_wrong!$B$23, 2*(ROW(D33)-ROW($B$23)),COLUMN(D33)-2)+OFFSET(daily_original_wrong!$B$23, 1+2*(ROW(D33)-ROW($B$23)),COLUMN(D33)-2)</f>
        <v>1.0922680000000001E-2</v>
      </c>
      <c r="E33">
        <f ca="1">OFFSET(daily_original_wrong!$B$23, 2*(ROW(E33)-ROW($B$23)),COLUMN(E33)-2)+OFFSET(daily_original_wrong!$B$23, 1+2*(ROW(E33)-ROW($B$23)),COLUMN(E33)-2)</f>
        <v>9.3667609999999995E-3</v>
      </c>
      <c r="F33">
        <f ca="1">OFFSET(daily_original_wrong!$B$23, 2*(ROW(F33)-ROW($B$23)),COLUMN(F33)-2)+OFFSET(daily_original_wrong!$B$23, 1+2*(ROW(F33)-ROW($B$23)),COLUMN(F33)-2)</f>
        <v>4.3923920000000002E-3</v>
      </c>
      <c r="G33">
        <f ca="1">OFFSET(daily_original_wrong!$B$23, 2*(ROW(G33)-ROW($B$23)),COLUMN(G33)-2)+OFFSET(daily_original_wrong!$B$23, 1+2*(ROW(G33)-ROW($B$23)),COLUMN(G33)-2)</f>
        <v>7.5893470000000006E-3</v>
      </c>
      <c r="H33">
        <f ca="1">OFFSET(daily_original_wrong!$B$23, 2*(ROW(H33)-ROW($B$23)),COLUMN(H33)-2)+OFFSET(daily_original_wrong!$B$23, 1+2*(ROW(H33)-ROW($B$23)),COLUMN(H33)-2)</f>
        <v>1.3523025000000001E-2</v>
      </c>
      <c r="J33" t="str">
        <f t="shared" si="1"/>
        <v>[</v>
      </c>
      <c r="K33" t="str">
        <f t="shared" ca="1" si="2"/>
        <v>[0.008593497],</v>
      </c>
      <c r="L33" t="str">
        <f t="shared" ca="1" si="3"/>
        <v>[0.017186994],</v>
      </c>
      <c r="M33" t="str">
        <f t="shared" ca="1" si="3"/>
        <v>[0.01092268],</v>
      </c>
      <c r="N33" t="str">
        <f t="shared" ca="1" si="3"/>
        <v>[0.009366761],</v>
      </c>
      <c r="O33" t="str">
        <f t="shared" ca="1" si="3"/>
        <v>[0.004392392],</v>
      </c>
      <c r="P33" t="str">
        <f t="shared" ca="1" si="3"/>
        <v>[0.007589347],</v>
      </c>
      <c r="Q33" t="str">
        <f t="shared" ca="1" si="4"/>
        <v>[0.013523025]</v>
      </c>
      <c r="R33" t="str">
        <f t="shared" si="5"/>
        <v>]</v>
      </c>
      <c r="S33" t="str">
        <f t="shared" ca="1" si="6"/>
        <v>[[0.008593497],[0.017186994],[0.01092268],[0.009366761],[0.004392392],[0.007589347],[0.013523025]]</v>
      </c>
    </row>
    <row r="34" spans="1:19" x14ac:dyDescent="0.2">
      <c r="A34" s="1" t="d">
        <v>2025-09-17</v>
      </c>
      <c r="B34">
        <f ca="1">OFFSET(daily_original_wrong!$B$23, 2*(ROW(B34)-ROW($B$23)),COLUMN(B34)-2)+OFFSET(daily_original_wrong!$B$23, 1+2*(ROW(B34)-ROW($B$23)),COLUMN(B34)-2)</f>
        <v>2.3396075999999998E-2</v>
      </c>
      <c r="C34">
        <f ca="1">OFFSET(daily_original_wrong!$B$23, 2*(ROW(C34)-ROW($B$23)),COLUMN(C34)-2)+OFFSET(daily_original_wrong!$B$23, 1+2*(ROW(C34)-ROW($B$23)),COLUMN(C34)-2)</f>
        <v>2.3396075999999998E-2</v>
      </c>
      <c r="D34">
        <f ca="1">OFFSET(daily_original_wrong!$B$23, 2*(ROW(D34)-ROW($B$23)),COLUMN(D34)-2)+OFFSET(daily_original_wrong!$B$23, 1+2*(ROW(D34)-ROW($B$23)),COLUMN(D34)-2)</f>
        <v>1.5087039999999999E-2</v>
      </c>
      <c r="E34">
        <f ca="1">OFFSET(daily_original_wrong!$B$23, 2*(ROW(E34)-ROW($B$23)),COLUMN(E34)-2)+OFFSET(daily_original_wrong!$B$23, 1+2*(ROW(E34)-ROW($B$23)),COLUMN(E34)-2)</f>
        <v>1.2973182E-2</v>
      </c>
      <c r="F34">
        <f ca="1">OFFSET(daily_original_wrong!$B$23, 2*(ROW(F34)-ROW($B$23)),COLUMN(F34)-2)+OFFSET(daily_original_wrong!$B$23, 1+2*(ROW(F34)-ROW($B$23)),COLUMN(F34)-2)</f>
        <v>6.3441679999999999E-3</v>
      </c>
      <c r="G34">
        <f ca="1">OFFSET(daily_original_wrong!$B$23, 2*(ROW(G34)-ROW($B$23)),COLUMN(G34)-2)+OFFSET(daily_original_wrong!$B$23, 1+2*(ROW(G34)-ROW($B$23)),COLUMN(G34)-2)</f>
        <v>1.0850780000000001E-2</v>
      </c>
      <c r="H34">
        <f ca="1">OFFSET(daily_original_wrong!$B$23, 2*(ROW(H34)-ROW($B$23)),COLUMN(H34)-2)+OFFSET(daily_original_wrong!$B$23, 1+2*(ROW(H34)-ROW($B$23)),COLUMN(H34)-2)</f>
        <v>1.8658298E-2</v>
      </c>
      <c r="J34" t="str">
        <f t="shared" si="1"/>
        <v>[</v>
      </c>
      <c r="K34" t="str">
        <f t="shared" ca="1" si="2"/>
        <v>[0.011698038],</v>
      </c>
      <c r="L34" t="str">
        <f t="shared" ca="1" si="3"/>
        <v>[0.023396076],</v>
      </c>
      <c r="M34" t="str">
        <f t="shared" ca="1" si="3"/>
        <v>[0.01508704],</v>
      </c>
      <c r="N34" t="str">
        <f t="shared" ca="1" si="3"/>
        <v>[0.012973182],</v>
      </c>
      <c r="O34" t="str">
        <f t="shared" ca="1" si="3"/>
        <v>[0.006344168],</v>
      </c>
      <c r="P34" t="str">
        <f t="shared" ca="1" si="3"/>
        <v>[0.01085078],</v>
      </c>
      <c r="Q34" t="str">
        <f t="shared" ca="1" si="4"/>
        <v>[0.018658298]</v>
      </c>
      <c r="R34" t="str">
        <f t="shared" si="5"/>
        <v>]</v>
      </c>
      <c r="S34" t="str">
        <f t="shared" ca="1" si="6"/>
        <v>[[0.011698038],[0.023396076],[0.01508704],[0.012973182],[0.006344168],[0.01085078],[0.018658298]]</v>
      </c>
    </row>
    <row r="35" spans="1:19" x14ac:dyDescent="0.2">
      <c r="A35" s="1" t="d">
        <v>2025-09-18</v>
      </c>
      <c r="B35">
        <f ca="1">OFFSET(daily_original_wrong!$B$23, 2*(ROW(B35)-ROW($B$23)),COLUMN(B35)-2)+OFFSET(daily_original_wrong!$B$23, 1+2*(ROW(B35)-ROW($B$23)),COLUMN(B35)-2)</f>
        <v>2.3396075999999998E-2</v>
      </c>
      <c r="C35">
        <f ca="1">OFFSET(daily_original_wrong!$B$23, 2*(ROW(C35)-ROW($B$23)),COLUMN(C35)-2)+OFFSET(daily_original_wrong!$B$23, 1+2*(ROW(C35)-ROW($B$23)),COLUMN(C35)-2)</f>
        <v>2.3396075999999998E-2</v>
      </c>
      <c r="D35">
        <f ca="1">OFFSET(daily_original_wrong!$B$23, 2*(ROW(D35)-ROW($B$23)),COLUMN(D35)-2)+OFFSET(daily_original_wrong!$B$23, 1+2*(ROW(D35)-ROW($B$23)),COLUMN(D35)-2)</f>
        <v>1.5087039999999999E-2</v>
      </c>
      <c r="E35">
        <f ca="1">OFFSET(daily_original_wrong!$B$23, 2*(ROW(E35)-ROW($B$23)),COLUMN(E35)-2)+OFFSET(daily_original_wrong!$B$23, 1+2*(ROW(E35)-ROW($B$23)),COLUMN(E35)-2)</f>
        <v>1.2973182E-2</v>
      </c>
      <c r="F35">
        <f ca="1">OFFSET(daily_original_wrong!$B$23, 2*(ROW(F35)-ROW($B$23)),COLUMN(F35)-2)+OFFSET(daily_original_wrong!$B$23, 1+2*(ROW(F35)-ROW($B$23)),COLUMN(F35)-2)</f>
        <v>6.3441679999999999E-3</v>
      </c>
      <c r="G35">
        <f ca="1">OFFSET(daily_original_wrong!$B$23, 2*(ROW(G35)-ROW($B$23)),COLUMN(G35)-2)+OFFSET(daily_original_wrong!$B$23, 1+2*(ROW(G35)-ROW($B$23)),COLUMN(G35)-2)</f>
        <v>1.0850780000000001E-2</v>
      </c>
      <c r="H35">
        <f ca="1">OFFSET(daily_original_wrong!$B$23, 2*(ROW(H35)-ROW($B$23)),COLUMN(H35)-2)+OFFSET(daily_original_wrong!$B$23, 1+2*(ROW(H35)-ROW($B$23)),COLUMN(H35)-2)</f>
        <v>1.8658298E-2</v>
      </c>
      <c r="J35" t="str">
        <f t="shared" si="1"/>
        <v>[</v>
      </c>
      <c r="K35" t="str">
        <f t="shared" ca="1" si="2"/>
        <v>[0.011698038],</v>
      </c>
      <c r="L35" t="str">
        <f t="shared" ca="1" si="3"/>
        <v>[0.023396076],</v>
      </c>
      <c r="M35" t="str">
        <f t="shared" ca="1" si="3"/>
        <v>[0.01508704],</v>
      </c>
      <c r="N35" t="str">
        <f t="shared" ca="1" si="3"/>
        <v>[0.012973182],</v>
      </c>
      <c r="O35" t="str">
        <f t="shared" ca="1" si="3"/>
        <v>[0.006344168],</v>
      </c>
      <c r="P35" t="str">
        <f t="shared" ca="1" si="3"/>
        <v>[0.01085078],</v>
      </c>
      <c r="Q35" t="str">
        <f t="shared" ca="1" si="4"/>
        <v>[0.018658298]</v>
      </c>
      <c r="R35" t="str">
        <f t="shared" si="5"/>
        <v>]</v>
      </c>
      <c r="S35" t="str">
        <f t="shared" ca="1" si="6"/>
        <v>[[0.011698038],[0.023396076],[0.01508704],[0.012973182],[0.006344168],[0.01085078],[0.018658298]]</v>
      </c>
    </row>
    <row r="36" spans="1:19" x14ac:dyDescent="0.2">
      <c r="A36" s="1" t="d">
        <v>2025-09-19</v>
      </c>
      <c r="B36">
        <f ca="1">OFFSET(daily_original_wrong!$B$23, 2*(ROW(B36)-ROW($B$23)),COLUMN(B36)-2)+OFFSET(daily_original_wrong!$B$23, 1+2*(ROW(B36)-ROW($B$23)),COLUMN(B36)-2)</f>
        <v>2.3396075999999998E-2</v>
      </c>
      <c r="C36">
        <f ca="1">OFFSET(daily_original_wrong!$B$23, 2*(ROW(C36)-ROW($B$23)),COLUMN(C36)-2)+OFFSET(daily_original_wrong!$B$23, 1+2*(ROW(C36)-ROW($B$23)),COLUMN(C36)-2)</f>
        <v>2.3396075999999998E-2</v>
      </c>
      <c r="D36">
        <f ca="1">OFFSET(daily_original_wrong!$B$23, 2*(ROW(D36)-ROW($B$23)),COLUMN(D36)-2)+OFFSET(daily_original_wrong!$B$23, 1+2*(ROW(D36)-ROW($B$23)),COLUMN(D36)-2)</f>
        <v>1.5087039999999999E-2</v>
      </c>
      <c r="E36">
        <f ca="1">OFFSET(daily_original_wrong!$B$23, 2*(ROW(E36)-ROW($B$23)),COLUMN(E36)-2)+OFFSET(daily_original_wrong!$B$23, 1+2*(ROW(E36)-ROW($B$23)),COLUMN(E36)-2)</f>
        <v>1.2973182E-2</v>
      </c>
      <c r="F36">
        <f ca="1">OFFSET(daily_original_wrong!$B$23, 2*(ROW(F36)-ROW($B$23)),COLUMN(F36)-2)+OFFSET(daily_original_wrong!$B$23, 1+2*(ROW(F36)-ROW($B$23)),COLUMN(F36)-2)</f>
        <v>6.3441679999999999E-3</v>
      </c>
      <c r="G36">
        <f ca="1">OFFSET(daily_original_wrong!$B$23, 2*(ROW(G36)-ROW($B$23)),COLUMN(G36)-2)+OFFSET(daily_original_wrong!$B$23, 1+2*(ROW(G36)-ROW($B$23)),COLUMN(G36)-2)</f>
        <v>1.0850780000000001E-2</v>
      </c>
      <c r="H36">
        <f ca="1">OFFSET(daily_original_wrong!$B$23, 2*(ROW(H36)-ROW($B$23)),COLUMN(H36)-2)+OFFSET(daily_original_wrong!$B$23, 1+2*(ROW(H36)-ROW($B$23)),COLUMN(H36)-2)</f>
        <v>1.8658298E-2</v>
      </c>
      <c r="J36" t="str">
        <f t="shared" si="1"/>
        <v>[</v>
      </c>
      <c r="K36" t="str">
        <f t="shared" ca="1" si="2"/>
        <v>[0.011698038],</v>
      </c>
      <c r="L36" t="str">
        <f t="shared" ca="1" si="3"/>
        <v>[0.023396076],</v>
      </c>
      <c r="M36" t="str">
        <f t="shared" ca="1" si="3"/>
        <v>[0.01508704],</v>
      </c>
      <c r="N36" t="str">
        <f t="shared" ca="1" si="3"/>
        <v>[0.012973182],</v>
      </c>
      <c r="O36" t="str">
        <f t="shared" ca="1" si="3"/>
        <v>[0.006344168],</v>
      </c>
      <c r="P36" t="str">
        <f t="shared" ca="1" si="3"/>
        <v>[0.01085078],</v>
      </c>
      <c r="Q36" t="str">
        <f t="shared" ca="1" si="4"/>
        <v>[0.018658298]</v>
      </c>
      <c r="R36" t="str">
        <f t="shared" si="5"/>
        <v>]</v>
      </c>
      <c r="S36" t="str">
        <f t="shared" ca="1" si="6"/>
        <v>[[0.011698038],[0.023396076],[0.01508704],[0.012973182],[0.006344168],[0.01085078],[0.018658298]]</v>
      </c>
    </row>
    <row r="37" spans="1:19" x14ac:dyDescent="0.2">
      <c r="A37" s="1" t="d">
        <v>2025-09-20</v>
      </c>
      <c r="B37">
        <f ca="1">OFFSET(daily_original_wrong!$B$23, 2*(ROW(B37)-ROW($B$23)),COLUMN(B37)-2)+OFFSET(daily_original_wrong!$B$23, 1+2*(ROW(B37)-ROW($B$23)),COLUMN(B37)-2)</f>
        <v>1.3297244E-2</v>
      </c>
      <c r="C37">
        <f ca="1">OFFSET(daily_original_wrong!$B$23, 2*(ROW(C37)-ROW($B$23)),COLUMN(C37)-2)+OFFSET(daily_original_wrong!$B$23, 1+2*(ROW(C37)-ROW($B$23)),COLUMN(C37)-2)</f>
        <v>1.3297244E-2</v>
      </c>
      <c r="D37">
        <f ca="1">OFFSET(daily_original_wrong!$B$23, 2*(ROW(D37)-ROW($B$23)),COLUMN(D37)-2)+OFFSET(daily_original_wrong!$B$23, 1+2*(ROW(D37)-ROW($B$23)),COLUMN(D37)-2)</f>
        <v>9.0765919999999996E-3</v>
      </c>
      <c r="E37">
        <f ca="1">OFFSET(daily_original_wrong!$B$23, 2*(ROW(E37)-ROW($B$23)),COLUMN(E37)-2)+OFFSET(daily_original_wrong!$B$23, 1+2*(ROW(E37)-ROW($B$23)),COLUMN(E37)-2)</f>
        <v>7.9694080000000007E-3</v>
      </c>
      <c r="F37">
        <f ca="1">OFFSET(daily_original_wrong!$B$23, 2*(ROW(F37)-ROW($B$23)),COLUMN(F37)-2)+OFFSET(daily_original_wrong!$B$23, 1+2*(ROW(F37)-ROW($B$23)),COLUMN(F37)-2)</f>
        <v>4.5996700000000001E-3</v>
      </c>
      <c r="G37">
        <f ca="1">OFFSET(daily_original_wrong!$B$23, 2*(ROW(G37)-ROW($B$23)),COLUMN(G37)-2)+OFFSET(daily_original_wrong!$B$23, 1+2*(ROW(G37)-ROW($B$23)),COLUMN(G37)-2)</f>
        <v>7.6372640000000004E-3</v>
      </c>
      <c r="H37">
        <f ca="1">OFFSET(daily_original_wrong!$B$23, 2*(ROW(H37)-ROW($B$23)),COLUMN(H37)-2)+OFFSET(daily_original_wrong!$B$23, 1+2*(ROW(H37)-ROW($B$23)),COLUMN(H37)-2)</f>
        <v>1.1351244E-2</v>
      </c>
      <c r="J37" t="str">
        <f t="shared" si="1"/>
        <v>[</v>
      </c>
      <c r="K37" t="str">
        <f t="shared" ca="1" si="2"/>
        <v>[0.006648622],</v>
      </c>
      <c r="L37" t="str">
        <f t="shared" ca="1" si="3"/>
        <v>[0.013297244],</v>
      </c>
      <c r="M37" t="str">
        <f t="shared" ca="1" si="3"/>
        <v>[0.009076592],</v>
      </c>
      <c r="N37" t="str">
        <f t="shared" ca="1" si="3"/>
        <v>[0.007969408],</v>
      </c>
      <c r="O37" t="str">
        <f t="shared" ca="1" si="3"/>
        <v>[0.00459967],</v>
      </c>
      <c r="P37" t="str">
        <f t="shared" ca="1" si="3"/>
        <v>[0.007637264],</v>
      </c>
      <c r="Q37" t="str">
        <f t="shared" ca="1" si="4"/>
        <v>[0.011351244]</v>
      </c>
      <c r="R37" t="str">
        <f t="shared" si="5"/>
        <v>]</v>
      </c>
      <c r="S37" t="str">
        <f t="shared" ca="1" si="6"/>
        <v>[[0.006648622],[0.013297244],[0.009076592],[0.007969408],[0.00459967],[0.007637264],[0.011351244]]</v>
      </c>
    </row>
    <row r="38" spans="1:19" x14ac:dyDescent="0.2">
      <c r="A38" s="1" t="d">
        <v>2025-09-21</v>
      </c>
      <c r="B38">
        <f ca="1">OFFSET(daily_original_wrong!$B$23, 2*(ROW(B38)-ROW($B$23)),COLUMN(B38)-2)+OFFSET(daily_original_wrong!$B$23, 1+2*(ROW(B38)-ROW($B$23)),COLUMN(B38)-2)</f>
        <v>1.3297244E-2</v>
      </c>
      <c r="C38">
        <f ca="1">OFFSET(daily_original_wrong!$B$23, 2*(ROW(C38)-ROW($B$23)),COLUMN(C38)-2)+OFFSET(daily_original_wrong!$B$23, 1+2*(ROW(C38)-ROW($B$23)),COLUMN(C38)-2)</f>
        <v>1.3297244E-2</v>
      </c>
      <c r="D38">
        <f ca="1">OFFSET(daily_original_wrong!$B$23, 2*(ROW(D38)-ROW($B$23)),COLUMN(D38)-2)+OFFSET(daily_original_wrong!$B$23, 1+2*(ROW(D38)-ROW($B$23)),COLUMN(D38)-2)</f>
        <v>9.0765919999999996E-3</v>
      </c>
      <c r="E38">
        <f ca="1">OFFSET(daily_original_wrong!$B$23, 2*(ROW(E38)-ROW($B$23)),COLUMN(E38)-2)+OFFSET(daily_original_wrong!$B$23, 1+2*(ROW(E38)-ROW($B$23)),COLUMN(E38)-2)</f>
        <v>7.9694080000000007E-3</v>
      </c>
      <c r="F38">
        <f ca="1">OFFSET(daily_original_wrong!$B$23, 2*(ROW(F38)-ROW($B$23)),COLUMN(F38)-2)+OFFSET(daily_original_wrong!$B$23, 1+2*(ROW(F38)-ROW($B$23)),COLUMN(F38)-2)</f>
        <v>4.5996700000000001E-3</v>
      </c>
      <c r="G38">
        <f ca="1">OFFSET(daily_original_wrong!$B$23, 2*(ROW(G38)-ROW($B$23)),COLUMN(G38)-2)+OFFSET(daily_original_wrong!$B$23, 1+2*(ROW(G38)-ROW($B$23)),COLUMN(G38)-2)</f>
        <v>7.6372640000000004E-3</v>
      </c>
      <c r="H38">
        <f ca="1">OFFSET(daily_original_wrong!$B$23, 2*(ROW(H38)-ROW($B$23)),COLUMN(H38)-2)+OFFSET(daily_original_wrong!$B$23, 1+2*(ROW(H38)-ROW($B$23)),COLUMN(H38)-2)</f>
        <v>1.1351244E-2</v>
      </c>
      <c r="J38" t="str">
        <f t="shared" si="1"/>
        <v>[</v>
      </c>
      <c r="K38" t="str">
        <f t="shared" ca="1" si="2"/>
        <v>[0.006648622],</v>
      </c>
      <c r="L38" t="str">
        <f t="shared" ca="1" si="3"/>
        <v>[0.013297244],</v>
      </c>
      <c r="M38" t="str">
        <f t="shared" ca="1" si="3"/>
        <v>[0.009076592],</v>
      </c>
      <c r="N38" t="str">
        <f t="shared" ca="1" si="3"/>
        <v>[0.007969408],</v>
      </c>
      <c r="O38" t="str">
        <f t="shared" ca="1" si="3"/>
        <v>[0.00459967],</v>
      </c>
      <c r="P38" t="str">
        <f t="shared" ca="1" si="3"/>
        <v>[0.007637264],</v>
      </c>
      <c r="Q38" t="str">
        <f t="shared" ca="1" si="4"/>
        <v>[0.011351244]</v>
      </c>
      <c r="R38" t="str">
        <f t="shared" si="5"/>
        <v>]</v>
      </c>
      <c r="S38" t="str">
        <f t="shared" ca="1" si="6"/>
        <v>[[0.006648622],[0.013297244],[0.009076592],[0.007969408],[0.00459967],[0.007637264],[0.011351244]]</v>
      </c>
    </row>
    <row r="39" spans="1:19" x14ac:dyDescent="0.2">
      <c r="A39" s="1" t="d">
        <v>2025-09-22</v>
      </c>
      <c r="B39">
        <f ca="1">OFFSET(daily_original_wrong!$B$23, 2*(ROW(B39)-ROW($B$23)),COLUMN(B39)-2)+OFFSET(daily_original_wrong!$B$23, 1+2*(ROW(B39)-ROW($B$23)),COLUMN(B39)-2)</f>
        <v>1.3297244E-2</v>
      </c>
      <c r="C39">
        <f ca="1">OFFSET(daily_original_wrong!$B$23, 2*(ROW(C39)-ROW($B$23)),COLUMN(C39)-2)+OFFSET(daily_original_wrong!$B$23, 1+2*(ROW(C39)-ROW($B$23)),COLUMN(C39)-2)</f>
        <v>1.3297244E-2</v>
      </c>
      <c r="D39">
        <f ca="1">OFFSET(daily_original_wrong!$B$23, 2*(ROW(D39)-ROW($B$23)),COLUMN(D39)-2)+OFFSET(daily_original_wrong!$B$23, 1+2*(ROW(D39)-ROW($B$23)),COLUMN(D39)-2)</f>
        <v>9.0765919999999996E-3</v>
      </c>
      <c r="E39">
        <f ca="1">OFFSET(daily_original_wrong!$B$23, 2*(ROW(E39)-ROW($B$23)),COLUMN(E39)-2)+OFFSET(daily_original_wrong!$B$23, 1+2*(ROW(E39)-ROW($B$23)),COLUMN(E39)-2)</f>
        <v>7.9694080000000007E-3</v>
      </c>
      <c r="F39">
        <f ca="1">OFFSET(daily_original_wrong!$B$23, 2*(ROW(F39)-ROW($B$23)),COLUMN(F39)-2)+OFFSET(daily_original_wrong!$B$23, 1+2*(ROW(F39)-ROW($B$23)),COLUMN(F39)-2)</f>
        <v>4.5996700000000001E-3</v>
      </c>
      <c r="G39">
        <f ca="1">OFFSET(daily_original_wrong!$B$23, 2*(ROW(G39)-ROW($B$23)),COLUMN(G39)-2)+OFFSET(daily_original_wrong!$B$23, 1+2*(ROW(G39)-ROW($B$23)),COLUMN(G39)-2)</f>
        <v>7.6372640000000004E-3</v>
      </c>
      <c r="H39">
        <f ca="1">OFFSET(daily_original_wrong!$B$23, 2*(ROW(H39)-ROW($B$23)),COLUMN(H39)-2)+OFFSET(daily_original_wrong!$B$23, 1+2*(ROW(H39)-ROW($B$23)),COLUMN(H39)-2)</f>
        <v>1.1351244E-2</v>
      </c>
      <c r="J39" t="str">
        <f t="shared" si="1"/>
        <v>[</v>
      </c>
      <c r="K39" t="str">
        <f t="shared" ca="1" si="2"/>
        <v>[0.006648622],</v>
      </c>
      <c r="L39" t="str">
        <f t="shared" ca="1" si="3"/>
        <v>[0.013297244],</v>
      </c>
      <c r="M39" t="str">
        <f t="shared" ca="1" si="3"/>
        <v>[0.009076592],</v>
      </c>
      <c r="N39" t="str">
        <f t="shared" ca="1" si="3"/>
        <v>[0.007969408],</v>
      </c>
      <c r="O39" t="str">
        <f t="shared" ca="1" si="3"/>
        <v>[0.00459967],</v>
      </c>
      <c r="P39" t="str">
        <f t="shared" ca="1" si="3"/>
        <v>[0.007637264],</v>
      </c>
      <c r="Q39" t="str">
        <f t="shared" ca="1" si="4"/>
        <v>[0.011351244]</v>
      </c>
      <c r="R39" t="str">
        <f t="shared" si="5"/>
        <v>]</v>
      </c>
      <c r="S39" t="str">
        <f t="shared" ca="1" si="6"/>
        <v>[[0.006648622],[0.013297244],[0.009076592],[0.007969408],[0.00459967],[0.007637264],[0.011351244]]</v>
      </c>
    </row>
    <row r="40" spans="1:19" x14ac:dyDescent="0.2">
      <c r="A40" s="1" t="d">
        <v>2025-09-23</v>
      </c>
      <c r="B40">
        <f ca="1">OFFSET(daily_original_wrong!$B$23, 2*(ROW(B40)-ROW($B$23)),COLUMN(B40)-2)+OFFSET(daily_original_wrong!$B$23, 1+2*(ROW(B40)-ROW($B$23)),COLUMN(B40)-2)</f>
        <v>1.4098630000000001E-2</v>
      </c>
      <c r="C40">
        <f ca="1">OFFSET(daily_original_wrong!$B$23, 2*(ROW(C40)-ROW($B$23)),COLUMN(C40)-2)+OFFSET(daily_original_wrong!$B$23, 1+2*(ROW(C40)-ROW($B$23)),COLUMN(C40)-2)</f>
        <v>1.4098630000000001E-2</v>
      </c>
      <c r="D40">
        <f ca="1">OFFSET(daily_original_wrong!$B$23, 2*(ROW(D40)-ROW($B$23)),COLUMN(D40)-2)+OFFSET(daily_original_wrong!$B$23, 1+2*(ROW(D40)-ROW($B$23)),COLUMN(D40)-2)</f>
        <v>9.8121909999999996E-3</v>
      </c>
      <c r="E40">
        <f ca="1">OFFSET(daily_original_wrong!$B$23, 2*(ROW(E40)-ROW($B$23)),COLUMN(E40)-2)+OFFSET(daily_original_wrong!$B$23, 1+2*(ROW(E40)-ROW($B$23)),COLUMN(E40)-2)</f>
        <v>8.700747E-3</v>
      </c>
      <c r="F40">
        <f ca="1">OFFSET(daily_original_wrong!$B$23, 2*(ROW(F40)-ROW($B$23)),COLUMN(F40)-2)+OFFSET(daily_original_wrong!$B$23, 1+2*(ROW(F40)-ROW($B$23)),COLUMN(F40)-2)</f>
        <v>5.3251540000000003E-3</v>
      </c>
      <c r="G40">
        <f ca="1">OFFSET(daily_original_wrong!$B$23, 2*(ROW(G40)-ROW($B$23)),COLUMN(G40)-2)+OFFSET(daily_original_wrong!$B$23, 1+2*(ROW(G40)-ROW($B$23)),COLUMN(G40)-2)</f>
        <v>8.7655920000000009E-3</v>
      </c>
      <c r="H40">
        <f ca="1">OFFSET(daily_original_wrong!$B$23, 2*(ROW(H40)-ROW($B$23)),COLUMN(H40)-2)+OFFSET(daily_original_wrong!$B$23, 1+2*(ROW(H40)-ROW($B$23)),COLUMN(H40)-2)</f>
        <v>1.236806E-2</v>
      </c>
      <c r="J40" t="str">
        <f t="shared" si="1"/>
        <v>[</v>
      </c>
      <c r="K40" t="str">
        <f t="shared" ca="1" si="2"/>
        <v>[0.007049315],</v>
      </c>
      <c r="L40" t="str">
        <f t="shared" ca="1" si="3"/>
        <v>[0.01409863],</v>
      </c>
      <c r="M40" t="str">
        <f t="shared" ca="1" si="3"/>
        <v>[0.009812191],</v>
      </c>
      <c r="N40" t="str">
        <f t="shared" ca="1" si="3"/>
        <v>[0.008700747],</v>
      </c>
      <c r="O40" t="str">
        <f t="shared" ca="1" si="3"/>
        <v>[0.005325154],</v>
      </c>
      <c r="P40" t="str">
        <f t="shared" ca="1" si="3"/>
        <v>[0.008765592],</v>
      </c>
      <c r="Q40" t="str">
        <f t="shared" ca="1" si="4"/>
        <v>[0.01236806]</v>
      </c>
      <c r="R40" t="str">
        <f t="shared" si="5"/>
        <v>]</v>
      </c>
      <c r="S40" t="str">
        <f t="shared" ca="1" si="6"/>
        <v>[[0.007049315],[0.01409863],[0.009812191],[0.008700747],[0.005325154],[0.008765592],[0.01236806]]</v>
      </c>
    </row>
    <row r="41" spans="1:19" x14ac:dyDescent="0.2">
      <c r="A41" s="1" t="d">
        <v>2025-09-24</v>
      </c>
      <c r="B41">
        <f ca="1">OFFSET(daily_original_wrong!$B$23, 2*(ROW(B41)-ROW($B$23)),COLUMN(B41)-2)+OFFSET(daily_original_wrong!$B$23, 1+2*(ROW(B41)-ROW($B$23)),COLUMN(B41)-2)</f>
        <v>1.4900016E-2</v>
      </c>
      <c r="C41">
        <f ca="1">OFFSET(daily_original_wrong!$B$23, 2*(ROW(C41)-ROW($B$23)),COLUMN(C41)-2)+OFFSET(daily_original_wrong!$B$23, 1+2*(ROW(C41)-ROW($B$23)),COLUMN(C41)-2)</f>
        <v>1.4900016E-2</v>
      </c>
      <c r="D41">
        <f ca="1">OFFSET(daily_original_wrong!$B$23, 2*(ROW(D41)-ROW($B$23)),COLUMN(D41)-2)+OFFSET(daily_original_wrong!$B$23, 1+2*(ROW(D41)-ROW($B$23)),COLUMN(D41)-2)</f>
        <v>1.054779E-2</v>
      </c>
      <c r="E41">
        <f ca="1">OFFSET(daily_original_wrong!$B$23, 2*(ROW(E41)-ROW($B$23)),COLUMN(E41)-2)+OFFSET(daily_original_wrong!$B$23, 1+2*(ROW(E41)-ROW($B$23)),COLUMN(E41)-2)</f>
        <v>9.4320859999999992E-3</v>
      </c>
      <c r="F41">
        <f ca="1">OFFSET(daily_original_wrong!$B$23, 2*(ROW(F41)-ROW($B$23)),COLUMN(F41)-2)+OFFSET(daily_original_wrong!$B$23, 1+2*(ROW(F41)-ROW($B$23)),COLUMN(F41)-2)</f>
        <v>6.0506379999999997E-3</v>
      </c>
      <c r="G41">
        <f ca="1">OFFSET(daily_original_wrong!$B$23, 2*(ROW(G41)-ROW($B$23)),COLUMN(G41)-2)+OFFSET(daily_original_wrong!$B$23, 1+2*(ROW(G41)-ROW($B$23)),COLUMN(G41)-2)</f>
        <v>9.8939200000000005E-3</v>
      </c>
      <c r="H41">
        <f ca="1">OFFSET(daily_original_wrong!$B$23, 2*(ROW(H41)-ROW($B$23)),COLUMN(H41)-2)+OFFSET(daily_original_wrong!$B$23, 1+2*(ROW(H41)-ROW($B$23)),COLUMN(H41)-2)</f>
        <v>1.3384876E-2</v>
      </c>
      <c r="J41" t="str">
        <f t="shared" si="1"/>
        <v>[</v>
      </c>
      <c r="K41" t="str">
        <f t="shared" ca="1" si="2"/>
        <v>[0.007450008],</v>
      </c>
      <c r="L41" t="str">
        <f t="shared" ca="1" si="3"/>
        <v>[0.014900016],</v>
      </c>
      <c r="M41" t="str">
        <f t="shared" ca="1" si="3"/>
        <v>[0.01054779],</v>
      </c>
      <c r="N41" t="str">
        <f t="shared" ca="1" si="3"/>
        <v>[0.009432086],</v>
      </c>
      <c r="O41" t="str">
        <f t="shared" ca="1" si="3"/>
        <v>[0.006050638],</v>
      </c>
      <c r="P41" t="str">
        <f t="shared" ca="1" si="3"/>
        <v>[0.00989392],</v>
      </c>
      <c r="Q41" t="str">
        <f t="shared" ca="1" si="4"/>
        <v>[0.013384876]</v>
      </c>
      <c r="R41" t="str">
        <f t="shared" si="5"/>
        <v>]</v>
      </c>
      <c r="S41" t="str">
        <f t="shared" ca="1" si="6"/>
        <v>[[0.007450008],[0.014900016],[0.01054779],[0.009432086],[0.006050638],[0.00989392],[0.013384876]]</v>
      </c>
    </row>
    <row r="42" spans="1:19" x14ac:dyDescent="0.2">
      <c r="A42" s="1" t="d">
        <v>2025-09-25</v>
      </c>
      <c r="B42">
        <f ca="1">OFFSET(daily_original_wrong!$B$23, 2*(ROW(B42)-ROW($B$23)),COLUMN(B42)-2)+OFFSET(daily_original_wrong!$B$23, 1+2*(ROW(B42)-ROW($B$23)),COLUMN(B42)-2)</f>
        <v>1.4900016E-2</v>
      </c>
      <c r="C42">
        <f ca="1">OFFSET(daily_original_wrong!$B$23, 2*(ROW(C42)-ROW($B$23)),COLUMN(C42)-2)+OFFSET(daily_original_wrong!$B$23, 1+2*(ROW(C42)-ROW($B$23)),COLUMN(C42)-2)</f>
        <v>1.4900016E-2</v>
      </c>
      <c r="D42">
        <f ca="1">OFFSET(daily_original_wrong!$B$23, 2*(ROW(D42)-ROW($B$23)),COLUMN(D42)-2)+OFFSET(daily_original_wrong!$B$23, 1+2*(ROW(D42)-ROW($B$23)),COLUMN(D42)-2)</f>
        <v>1.054779E-2</v>
      </c>
      <c r="E42">
        <f ca="1">OFFSET(daily_original_wrong!$B$23, 2*(ROW(E42)-ROW($B$23)),COLUMN(E42)-2)+OFFSET(daily_original_wrong!$B$23, 1+2*(ROW(E42)-ROW($B$23)),COLUMN(E42)-2)</f>
        <v>9.4320859999999992E-3</v>
      </c>
      <c r="F42">
        <f ca="1">OFFSET(daily_original_wrong!$B$23, 2*(ROW(F42)-ROW($B$23)),COLUMN(F42)-2)+OFFSET(daily_original_wrong!$B$23, 1+2*(ROW(F42)-ROW($B$23)),COLUMN(F42)-2)</f>
        <v>6.0506379999999997E-3</v>
      </c>
      <c r="G42">
        <f ca="1">OFFSET(daily_original_wrong!$B$23, 2*(ROW(G42)-ROW($B$23)),COLUMN(G42)-2)+OFFSET(daily_original_wrong!$B$23, 1+2*(ROW(G42)-ROW($B$23)),COLUMN(G42)-2)</f>
        <v>9.8939200000000005E-3</v>
      </c>
      <c r="H42">
        <f ca="1">OFFSET(daily_original_wrong!$B$23, 2*(ROW(H42)-ROW($B$23)),COLUMN(H42)-2)+OFFSET(daily_original_wrong!$B$23, 1+2*(ROW(H42)-ROW($B$23)),COLUMN(H42)-2)</f>
        <v>1.3384876E-2</v>
      </c>
      <c r="J42" t="str">
        <f t="shared" si="1"/>
        <v>[</v>
      </c>
      <c r="K42" t="str">
        <f t="shared" ca="1" si="2"/>
        <v>[0.007450008],</v>
      </c>
      <c r="L42" t="str">
        <f t="shared" ca="1" si="3"/>
        <v>[0.014900016],</v>
      </c>
      <c r="M42" t="str">
        <f t="shared" ca="1" si="3"/>
        <v>[0.01054779],</v>
      </c>
      <c r="N42" t="str">
        <f t="shared" ca="1" si="3"/>
        <v>[0.009432086],</v>
      </c>
      <c r="O42" t="str">
        <f t="shared" ca="1" si="3"/>
        <v>[0.006050638],</v>
      </c>
      <c r="P42" t="str">
        <f t="shared" ca="1" si="3"/>
        <v>[0.00989392],</v>
      </c>
      <c r="Q42" t="str">
        <f t="shared" ca="1" si="4"/>
        <v>[0.013384876]</v>
      </c>
      <c r="R42" t="str">
        <f t="shared" si="5"/>
        <v>]</v>
      </c>
      <c r="S42" t="str">
        <f t="shared" ca="1" si="6"/>
        <v>[[0.007450008],[0.014900016],[0.01054779],[0.009432086],[0.006050638],[0.00989392],[0.013384876]]</v>
      </c>
    </row>
    <row r="43" spans="1:19" x14ac:dyDescent="0.2">
      <c r="A43" s="1" t="d">
        <v>2025-09-26</v>
      </c>
      <c r="B43">
        <f ca="1">OFFSET(daily_original_wrong!$B$23, 2*(ROW(B43)-ROW($B$23)),COLUMN(B43)-2)+OFFSET(daily_original_wrong!$B$23, 1+2*(ROW(B43)-ROW($B$23)),COLUMN(B43)-2)</f>
        <v>1.4900016E-2</v>
      </c>
      <c r="C43">
        <f ca="1">OFFSET(daily_original_wrong!$B$23, 2*(ROW(C43)-ROW($B$23)),COLUMN(C43)-2)+OFFSET(daily_original_wrong!$B$23, 1+2*(ROW(C43)-ROW($B$23)),COLUMN(C43)-2)</f>
        <v>1.4900016E-2</v>
      </c>
      <c r="D43">
        <f ca="1">OFFSET(daily_original_wrong!$B$23, 2*(ROW(D43)-ROW($B$23)),COLUMN(D43)-2)+OFFSET(daily_original_wrong!$B$23, 1+2*(ROW(D43)-ROW($B$23)),COLUMN(D43)-2)</f>
        <v>1.054779E-2</v>
      </c>
      <c r="E43">
        <f ca="1">OFFSET(daily_original_wrong!$B$23, 2*(ROW(E43)-ROW($B$23)),COLUMN(E43)-2)+OFFSET(daily_original_wrong!$B$23, 1+2*(ROW(E43)-ROW($B$23)),COLUMN(E43)-2)</f>
        <v>9.4320859999999992E-3</v>
      </c>
      <c r="F43">
        <f ca="1">OFFSET(daily_original_wrong!$B$23, 2*(ROW(F43)-ROW($B$23)),COLUMN(F43)-2)+OFFSET(daily_original_wrong!$B$23, 1+2*(ROW(F43)-ROW($B$23)),COLUMN(F43)-2)</f>
        <v>6.0506379999999997E-3</v>
      </c>
      <c r="G43">
        <f ca="1">OFFSET(daily_original_wrong!$B$23, 2*(ROW(G43)-ROW($B$23)),COLUMN(G43)-2)+OFFSET(daily_original_wrong!$B$23, 1+2*(ROW(G43)-ROW($B$23)),COLUMN(G43)-2)</f>
        <v>9.8939200000000005E-3</v>
      </c>
      <c r="H43">
        <f ca="1">OFFSET(daily_original_wrong!$B$23, 2*(ROW(H43)-ROW($B$23)),COLUMN(H43)-2)+OFFSET(daily_original_wrong!$B$23, 1+2*(ROW(H43)-ROW($B$23)),COLUMN(H43)-2)</f>
        <v>1.3384876E-2</v>
      </c>
      <c r="J43" t="str">
        <f t="shared" si="1"/>
        <v>[</v>
      </c>
      <c r="K43" t="str">
        <f t="shared" ca="1" si="2"/>
        <v>[0.007450008],</v>
      </c>
      <c r="L43" t="str">
        <f t="shared" ca="1" si="3"/>
        <v>[0.014900016],</v>
      </c>
      <c r="M43" t="str">
        <f t="shared" ca="1" si="3"/>
        <v>[0.01054779],</v>
      </c>
      <c r="N43" t="str">
        <f t="shared" ca="1" si="3"/>
        <v>[0.009432086],</v>
      </c>
      <c r="O43" t="str">
        <f t="shared" ca="1" si="3"/>
        <v>[0.006050638],</v>
      </c>
      <c r="P43" t="str">
        <f t="shared" ca="1" si="3"/>
        <v>[0.00989392],</v>
      </c>
      <c r="Q43" t="str">
        <f t="shared" ca="1" si="4"/>
        <v>[0.013384876]</v>
      </c>
      <c r="R43" t="str">
        <f t="shared" si="5"/>
        <v>]</v>
      </c>
      <c r="S43" t="str">
        <f t="shared" ca="1" si="6"/>
        <v>[[0.007450008],[0.014900016],[0.01054779],[0.009432086],[0.006050638],[0.00989392],[0.013384876]]</v>
      </c>
    </row>
    <row r="44" spans="1:19" x14ac:dyDescent="0.2">
      <c r="A44" s="1" t="d">
        <v>2025-09-27</v>
      </c>
      <c r="B44">
        <f ca="1">OFFSET(daily_original_wrong!$B$23, 2*(ROW(B44)-ROW($B$23)),COLUMN(B44)-2)+OFFSET(daily_original_wrong!$B$23, 1+2*(ROW(B44)-ROW($B$23)),COLUMN(B44)-2)</f>
        <v>1.6150221999999999E-2</v>
      </c>
      <c r="C44">
        <f ca="1">OFFSET(daily_original_wrong!$B$23, 2*(ROW(C44)-ROW($B$23)),COLUMN(C44)-2)+OFFSET(daily_original_wrong!$B$23, 1+2*(ROW(C44)-ROW($B$23)),COLUMN(C44)-2)</f>
        <v>1.6150221999999999E-2</v>
      </c>
      <c r="D44">
        <f ca="1">OFFSET(daily_original_wrong!$B$23, 2*(ROW(D44)-ROW($B$23)),COLUMN(D44)-2)+OFFSET(daily_original_wrong!$B$23, 1+2*(ROW(D44)-ROW($B$23)),COLUMN(D44)-2)</f>
        <v>1.1865056000000001E-2</v>
      </c>
      <c r="E44">
        <f ca="1">OFFSET(daily_original_wrong!$B$23, 2*(ROW(E44)-ROW($B$23)),COLUMN(E44)-2)+OFFSET(daily_original_wrong!$B$23, 1+2*(ROW(E44)-ROW($B$23)),COLUMN(E44)-2)</f>
        <v>1.0693329999999999E-2</v>
      </c>
      <c r="F44">
        <f ca="1">OFFSET(daily_original_wrong!$B$23, 2*(ROW(F44)-ROW($B$23)),COLUMN(F44)-2)+OFFSET(daily_original_wrong!$B$23, 1+2*(ROW(F44)-ROW($B$23)),COLUMN(F44)-2)</f>
        <v>7.4161640000000003E-3</v>
      </c>
      <c r="G44">
        <f ca="1">OFFSET(daily_original_wrong!$B$23, 2*(ROW(G44)-ROW($B$23)),COLUMN(G44)-2)+OFFSET(daily_original_wrong!$B$23, 1+2*(ROW(G44)-ROW($B$23)),COLUMN(G44)-2)</f>
        <v>1.1937256E-2</v>
      </c>
      <c r="H44">
        <f ca="1">OFFSET(daily_original_wrong!$B$23, 2*(ROW(H44)-ROW($B$23)),COLUMN(H44)-2)+OFFSET(daily_original_wrong!$B$23, 1+2*(ROW(H44)-ROW($B$23)),COLUMN(H44)-2)</f>
        <v>1.505251E-2</v>
      </c>
      <c r="J44" t="str">
        <f t="shared" si="1"/>
        <v>[</v>
      </c>
      <c r="K44" t="str">
        <f t="shared" ca="1" si="2"/>
        <v>[0.008075111],</v>
      </c>
      <c r="L44" t="str">
        <f t="shared" ca="1" si="3"/>
        <v>[0.016150222],</v>
      </c>
      <c r="M44" t="str">
        <f t="shared" ca="1" si="3"/>
        <v>[0.011865056],</v>
      </c>
      <c r="N44" t="str">
        <f t="shared" ca="1" si="3"/>
        <v>[0.01069333],</v>
      </c>
      <c r="O44" t="str">
        <f t="shared" ca="1" si="3"/>
        <v>[0.007416164],</v>
      </c>
      <c r="P44" t="str">
        <f t="shared" ca="1" si="3"/>
        <v>[0.011937256],</v>
      </c>
      <c r="Q44" t="str">
        <f t="shared" ca="1" si="4"/>
        <v>[0.01505251]</v>
      </c>
      <c r="R44" t="str">
        <f t="shared" si="5"/>
        <v>]</v>
      </c>
      <c r="S44" t="str">
        <f t="shared" ca="1" si="6"/>
        <v>[[0.008075111],[0.016150222],[0.011865056],[0.01069333],[0.007416164],[0.011937256],[0.01505251]]</v>
      </c>
    </row>
    <row r="45" spans="1:19" x14ac:dyDescent="0.2">
      <c r="A45" s="1" t="d">
        <v>2025-09-28</v>
      </c>
      <c r="B45">
        <f ca="1">OFFSET(daily_original_wrong!$B$23, 2*(ROW(B45)-ROW($B$23)),COLUMN(B45)-2)+OFFSET(daily_original_wrong!$B$23, 1+2*(ROW(B45)-ROW($B$23)),COLUMN(B45)-2)</f>
        <v>1.6150221999999999E-2</v>
      </c>
      <c r="C45">
        <f ca="1">OFFSET(daily_original_wrong!$B$23, 2*(ROW(C45)-ROW($B$23)),COLUMN(C45)-2)+OFFSET(daily_original_wrong!$B$23, 1+2*(ROW(C45)-ROW($B$23)),COLUMN(C45)-2)</f>
        <v>1.6150221999999999E-2</v>
      </c>
      <c r="D45">
        <f ca="1">OFFSET(daily_original_wrong!$B$23, 2*(ROW(D45)-ROW($B$23)),COLUMN(D45)-2)+OFFSET(daily_original_wrong!$B$23, 1+2*(ROW(D45)-ROW($B$23)),COLUMN(D45)-2)</f>
        <v>1.1865056000000001E-2</v>
      </c>
      <c r="E45">
        <f ca="1">OFFSET(daily_original_wrong!$B$23, 2*(ROW(E45)-ROW($B$23)),COLUMN(E45)-2)+OFFSET(daily_original_wrong!$B$23, 1+2*(ROW(E45)-ROW($B$23)),COLUMN(E45)-2)</f>
        <v>1.0693329999999999E-2</v>
      </c>
      <c r="F45">
        <f ca="1">OFFSET(daily_original_wrong!$B$23, 2*(ROW(F45)-ROW($B$23)),COLUMN(F45)-2)+OFFSET(daily_original_wrong!$B$23, 1+2*(ROW(F45)-ROW($B$23)),COLUMN(F45)-2)</f>
        <v>7.4161640000000003E-3</v>
      </c>
      <c r="G45">
        <f ca="1">OFFSET(daily_original_wrong!$B$23, 2*(ROW(G45)-ROW($B$23)),COLUMN(G45)-2)+OFFSET(daily_original_wrong!$B$23, 1+2*(ROW(G45)-ROW($B$23)),COLUMN(G45)-2)</f>
        <v>1.1937256E-2</v>
      </c>
      <c r="H45">
        <f ca="1">OFFSET(daily_original_wrong!$B$23, 2*(ROW(H45)-ROW($B$23)),COLUMN(H45)-2)+OFFSET(daily_original_wrong!$B$23, 1+2*(ROW(H45)-ROW($B$23)),COLUMN(H45)-2)</f>
        <v>1.505251E-2</v>
      </c>
      <c r="J45" t="str">
        <f t="shared" si="1"/>
        <v>[</v>
      </c>
      <c r="K45" t="str">
        <f t="shared" ca="1" si="2"/>
        <v>[0.008075111],</v>
      </c>
      <c r="L45" t="str">
        <f t="shared" ca="1" si="3"/>
        <v>[0.016150222],</v>
      </c>
      <c r="M45" t="str">
        <f t="shared" ca="1" si="3"/>
        <v>[0.011865056],</v>
      </c>
      <c r="N45" t="str">
        <f t="shared" ca="1" si="3"/>
        <v>[0.01069333],</v>
      </c>
      <c r="O45" t="str">
        <f t="shared" ca="1" si="3"/>
        <v>[0.007416164],</v>
      </c>
      <c r="P45" t="str">
        <f t="shared" ca="1" si="3"/>
        <v>[0.011937256],</v>
      </c>
      <c r="Q45" t="str">
        <f t="shared" ca="1" si="4"/>
        <v>[0.01505251]</v>
      </c>
      <c r="R45" t="str">
        <f t="shared" si="5"/>
        <v>]</v>
      </c>
      <c r="S45" t="str">
        <f t="shared" ca="1" si="6"/>
        <v>[[0.008075111],[0.016150222],[0.011865056],[0.01069333],[0.007416164],[0.011937256],[0.01505251]]</v>
      </c>
    </row>
    <row r="46" spans="1:19" x14ac:dyDescent="0.2">
      <c r="A46" s="1" t="d">
        <v>2025-09-29</v>
      </c>
      <c r="B46">
        <f ca="1">OFFSET(daily_original_wrong!$B$23, 2*(ROW(B46)-ROW($B$23)),COLUMN(B46)-2)+OFFSET(daily_original_wrong!$B$23, 1+2*(ROW(B46)-ROW($B$23)),COLUMN(B46)-2)</f>
        <v>1.6150221999999999E-2</v>
      </c>
      <c r="C46">
        <f ca="1">OFFSET(daily_original_wrong!$B$23, 2*(ROW(C46)-ROW($B$23)),COLUMN(C46)-2)+OFFSET(daily_original_wrong!$B$23, 1+2*(ROW(C46)-ROW($B$23)),COLUMN(C46)-2)</f>
        <v>1.6150221999999999E-2</v>
      </c>
      <c r="D46">
        <f ca="1">OFFSET(daily_original_wrong!$B$23, 2*(ROW(D46)-ROW($B$23)),COLUMN(D46)-2)+OFFSET(daily_original_wrong!$B$23, 1+2*(ROW(D46)-ROW($B$23)),COLUMN(D46)-2)</f>
        <v>1.1865056000000001E-2</v>
      </c>
      <c r="E46">
        <f ca="1">OFFSET(daily_original_wrong!$B$23, 2*(ROW(E46)-ROW($B$23)),COLUMN(E46)-2)+OFFSET(daily_original_wrong!$B$23, 1+2*(ROW(E46)-ROW($B$23)),COLUMN(E46)-2)</f>
        <v>1.0693329999999999E-2</v>
      </c>
      <c r="F46">
        <f ca="1">OFFSET(daily_original_wrong!$B$23, 2*(ROW(F46)-ROW($B$23)),COLUMN(F46)-2)+OFFSET(daily_original_wrong!$B$23, 1+2*(ROW(F46)-ROW($B$23)),COLUMN(F46)-2)</f>
        <v>7.4161640000000003E-3</v>
      </c>
      <c r="G46">
        <f ca="1">OFFSET(daily_original_wrong!$B$23, 2*(ROW(G46)-ROW($B$23)),COLUMN(G46)-2)+OFFSET(daily_original_wrong!$B$23, 1+2*(ROW(G46)-ROW($B$23)),COLUMN(G46)-2)</f>
        <v>1.1937256E-2</v>
      </c>
      <c r="H46">
        <f ca="1">OFFSET(daily_original_wrong!$B$23, 2*(ROW(H46)-ROW($B$23)),COLUMN(H46)-2)+OFFSET(daily_original_wrong!$B$23, 1+2*(ROW(H46)-ROW($B$23)),COLUMN(H46)-2)</f>
        <v>1.505251E-2</v>
      </c>
      <c r="J46" t="str">
        <f t="shared" si="1"/>
        <v>[</v>
      </c>
      <c r="K46" t="str">
        <f t="shared" ca="1" si="2"/>
        <v>[0.008075111],</v>
      </c>
      <c r="L46" t="str">
        <f t="shared" ca="1" si="3"/>
        <v>[0.016150222],</v>
      </c>
      <c r="M46" t="str">
        <f t="shared" ca="1" si="3"/>
        <v>[0.011865056],</v>
      </c>
      <c r="N46" t="str">
        <f t="shared" ca="1" si="3"/>
        <v>[0.01069333],</v>
      </c>
      <c r="O46" t="str">
        <f t="shared" ca="1" si="3"/>
        <v>[0.007416164],</v>
      </c>
      <c r="P46" t="str">
        <f t="shared" ca="1" si="3"/>
        <v>[0.011937256],</v>
      </c>
      <c r="Q46" t="str">
        <f t="shared" ca="1" si="4"/>
        <v>[0.01505251]</v>
      </c>
      <c r="R46" t="str">
        <f t="shared" si="5"/>
        <v>]</v>
      </c>
      <c r="S46" t="str">
        <f t="shared" ca="1" si="6"/>
        <v>[[0.008075111],[0.016150222],[0.011865056],[0.01069333],[0.007416164],[0.011937256],[0.01505251]]</v>
      </c>
    </row>
    <row r="47" spans="1:19" x14ac:dyDescent="0.2">
      <c r="A47" s="1" t="d">
        <v>2025-09-30</v>
      </c>
      <c r="B47">
        <f ca="1">OFFSET(daily_original_wrong!$B$23, 2*(ROW(B47)-ROW($B$23)),COLUMN(B47)-2)+OFFSET(daily_original_wrong!$B$23, 1+2*(ROW(B47)-ROW($B$23)),COLUMN(B47)-2)</f>
        <v>1.7124775000000002E-2</v>
      </c>
      <c r="C47">
        <f ca="1">OFFSET(daily_original_wrong!$B$23, 2*(ROW(C47)-ROW($B$23)),COLUMN(C47)-2)+OFFSET(daily_original_wrong!$B$23, 1+2*(ROW(C47)-ROW($B$23)),COLUMN(C47)-2)</f>
        <v>1.7124775000000002E-2</v>
      </c>
      <c r="D47">
        <f ca="1">OFFSET(daily_original_wrong!$B$23, 2*(ROW(D47)-ROW($B$23)),COLUMN(D47)-2)+OFFSET(daily_original_wrong!$B$23, 1+2*(ROW(D47)-ROW($B$23)),COLUMN(D47)-2)</f>
        <v>1.2837659000000001E-2</v>
      </c>
      <c r="E47">
        <f ca="1">OFFSET(daily_original_wrong!$B$23, 2*(ROW(E47)-ROW($B$23)),COLUMN(E47)-2)+OFFSET(daily_original_wrong!$B$23, 1+2*(ROW(E47)-ROW($B$23)),COLUMN(E47)-2)</f>
        <v>1.1504529999999999E-2</v>
      </c>
      <c r="F47">
        <f ca="1">OFFSET(daily_original_wrong!$B$23, 2*(ROW(F47)-ROW($B$23)),COLUMN(F47)-2)+OFFSET(daily_original_wrong!$B$23, 1+2*(ROW(F47)-ROW($B$23)),COLUMN(F47)-2)</f>
        <v>8.1533990000000004E-3</v>
      </c>
      <c r="G47">
        <f ca="1">OFFSET(daily_original_wrong!$B$23, 2*(ROW(G47)-ROW($B$23)),COLUMN(G47)-2)+OFFSET(daily_original_wrong!$B$23, 1+2*(ROW(G47)-ROW($B$23)),COLUMN(G47)-2)</f>
        <v>1.2996037E-2</v>
      </c>
      <c r="H47">
        <f ca="1">OFFSET(daily_original_wrong!$B$23, 2*(ROW(H47)-ROW($B$23)),COLUMN(H47)-2)+OFFSET(daily_original_wrong!$B$23, 1+2*(ROW(H47)-ROW($B$23)),COLUMN(H47)-2)</f>
        <v>1.6055329E-2</v>
      </c>
      <c r="J47" t="str">
        <f t="shared" si="1"/>
        <v>[</v>
      </c>
      <c r="K47" t="str">
        <f t="shared" ca="1" si="2"/>
        <v>[0.0085623875],</v>
      </c>
      <c r="L47" t="str">
        <f t="shared" ca="1" si="3"/>
        <v>[0.017124775],</v>
      </c>
      <c r="M47" t="str">
        <f t="shared" ca="1" si="3"/>
        <v>[0.012837659],</v>
      </c>
      <c r="N47" t="str">
        <f t="shared" ca="1" si="3"/>
        <v>[0.01150453],</v>
      </c>
      <c r="O47" t="str">
        <f t="shared" ca="1" si="3"/>
        <v>[0.008153399],</v>
      </c>
      <c r="P47" t="str">
        <f t="shared" ca="1" si="3"/>
        <v>[0.012996037],</v>
      </c>
      <c r="Q47" t="str">
        <f t="shared" ca="1" si="4"/>
        <v>[0.016055329]</v>
      </c>
      <c r="R47" t="str">
        <f t="shared" si="5"/>
        <v>]</v>
      </c>
      <c r="S47" t="str">
        <f t="shared" ca="1" si="6"/>
        <v>[[0.0085623875],[0.017124775],[0.012837659],[0.01150453],[0.008153399],[0.012996037],[0.016055329]]</v>
      </c>
    </row>
    <row r="48" spans="1:19" x14ac:dyDescent="0.2">
      <c r="A48" s="1" t="d">
        <v>2025-10-01</v>
      </c>
      <c r="B48">
        <f ca="1">OFFSET(daily_original_wrong!$B$23, 2*(ROW(B48)-ROW($B$23)),COLUMN(B48)-2)+OFFSET(daily_original_wrong!$B$23, 1+2*(ROW(B48)-ROW($B$23)),COLUMN(B48)-2)</f>
        <v>1.8099328000000001E-2</v>
      </c>
      <c r="C48">
        <f ca="1">OFFSET(daily_original_wrong!$B$23, 2*(ROW(C48)-ROW($B$23)),COLUMN(C48)-2)+OFFSET(daily_original_wrong!$B$23, 1+2*(ROW(C48)-ROW($B$23)),COLUMN(C48)-2)</f>
        <v>1.8099328000000001E-2</v>
      </c>
      <c r="D48">
        <f ca="1">OFFSET(daily_original_wrong!$B$23, 2*(ROW(D48)-ROW($B$23)),COLUMN(D48)-2)+OFFSET(daily_original_wrong!$B$23, 1+2*(ROW(D48)-ROW($B$23)),COLUMN(D48)-2)</f>
        <v>1.3810262E-2</v>
      </c>
      <c r="E48">
        <f ca="1">OFFSET(daily_original_wrong!$B$23, 2*(ROW(E48)-ROW($B$23)),COLUMN(E48)-2)+OFFSET(daily_original_wrong!$B$23, 1+2*(ROW(E48)-ROW($B$23)),COLUMN(E48)-2)</f>
        <v>1.231573E-2</v>
      </c>
      <c r="F48">
        <f ca="1">OFFSET(daily_original_wrong!$B$23, 2*(ROW(F48)-ROW($B$23)),COLUMN(F48)-2)+OFFSET(daily_original_wrong!$B$23, 1+2*(ROW(F48)-ROW($B$23)),COLUMN(F48)-2)</f>
        <v>8.8906339999999997E-3</v>
      </c>
      <c r="G48">
        <f ca="1">OFFSET(daily_original_wrong!$B$23, 2*(ROW(G48)-ROW($B$23)),COLUMN(G48)-2)+OFFSET(daily_original_wrong!$B$23, 1+2*(ROW(G48)-ROW($B$23)),COLUMN(G48)-2)</f>
        <v>1.4054818E-2</v>
      </c>
      <c r="H48">
        <f ca="1">OFFSET(daily_original_wrong!$B$23, 2*(ROW(H48)-ROW($B$23)),COLUMN(H48)-2)+OFFSET(daily_original_wrong!$B$23, 1+2*(ROW(H48)-ROW($B$23)),COLUMN(H48)-2)</f>
        <v>1.7058147999999999E-2</v>
      </c>
      <c r="J48" t="str">
        <f t="shared" si="1"/>
        <v>[</v>
      </c>
      <c r="K48" t="str">
        <f t="shared" ca="1" si="2"/>
        <v>[0.009049664],</v>
      </c>
      <c r="L48" t="str">
        <f t="shared" ca="1" si="3"/>
        <v>[0.018099328],</v>
      </c>
      <c r="M48" t="str">
        <f t="shared" ca="1" si="3"/>
        <v>[0.013810262],</v>
      </c>
      <c r="N48" t="str">
        <f t="shared" ca="1" si="3"/>
        <v>[0.01231573],</v>
      </c>
      <c r="O48" t="str">
        <f t="shared" ca="1" si="3"/>
        <v>[0.008890634],</v>
      </c>
      <c r="P48" t="str">
        <f t="shared" ca="1" si="3"/>
        <v>[0.014054818],</v>
      </c>
      <c r="Q48" t="str">
        <f t="shared" ca="1" si="4"/>
        <v>[0.017058148]</v>
      </c>
      <c r="R48" t="str">
        <f t="shared" si="5"/>
        <v>]</v>
      </c>
      <c r="S48" t="str">
        <f t="shared" ca="1" si="6"/>
        <v>[[0.009049664],[0.018099328],[0.013810262],[0.01231573],[0.008890634],[0.014054818],[0.017058148]]</v>
      </c>
    </row>
    <row r="49" spans="1:19" x14ac:dyDescent="0.2">
      <c r="A49" s="1" t="d">
        <v>2025-10-02</v>
      </c>
      <c r="B49">
        <f ca="1">OFFSET(daily_original_wrong!$B$23, 2*(ROW(B49)-ROW($B$23)),COLUMN(B49)-2)+OFFSET(daily_original_wrong!$B$23, 1+2*(ROW(B49)-ROW($B$23)),COLUMN(B49)-2)</f>
        <v>1.8099328000000001E-2</v>
      </c>
      <c r="C49">
        <f ca="1">OFFSET(daily_original_wrong!$B$23, 2*(ROW(C49)-ROW($B$23)),COLUMN(C49)-2)+OFFSET(daily_original_wrong!$B$23, 1+2*(ROW(C49)-ROW($B$23)),COLUMN(C49)-2)</f>
        <v>1.8099328000000001E-2</v>
      </c>
      <c r="D49">
        <f ca="1">OFFSET(daily_original_wrong!$B$23, 2*(ROW(D49)-ROW($B$23)),COLUMN(D49)-2)+OFFSET(daily_original_wrong!$B$23, 1+2*(ROW(D49)-ROW($B$23)),COLUMN(D49)-2)</f>
        <v>1.3810262E-2</v>
      </c>
      <c r="E49">
        <f ca="1">OFFSET(daily_original_wrong!$B$23, 2*(ROW(E49)-ROW($B$23)),COLUMN(E49)-2)+OFFSET(daily_original_wrong!$B$23, 1+2*(ROW(E49)-ROW($B$23)),COLUMN(E49)-2)</f>
        <v>1.231573E-2</v>
      </c>
      <c r="F49">
        <f ca="1">OFFSET(daily_original_wrong!$B$23, 2*(ROW(F49)-ROW($B$23)),COLUMN(F49)-2)+OFFSET(daily_original_wrong!$B$23, 1+2*(ROW(F49)-ROW($B$23)),COLUMN(F49)-2)</f>
        <v>8.8906339999999997E-3</v>
      </c>
      <c r="G49">
        <f ca="1">OFFSET(daily_original_wrong!$B$23, 2*(ROW(G49)-ROW($B$23)),COLUMN(G49)-2)+OFFSET(daily_original_wrong!$B$23, 1+2*(ROW(G49)-ROW($B$23)),COLUMN(G49)-2)</f>
        <v>1.4054818E-2</v>
      </c>
      <c r="H49">
        <f ca="1">OFFSET(daily_original_wrong!$B$23, 2*(ROW(H49)-ROW($B$23)),COLUMN(H49)-2)+OFFSET(daily_original_wrong!$B$23, 1+2*(ROW(H49)-ROW($B$23)),COLUMN(H49)-2)</f>
        <v>1.7058147999999999E-2</v>
      </c>
      <c r="J49" t="str">
        <f t="shared" si="1"/>
        <v>[</v>
      </c>
      <c r="K49" t="str">
        <f t="shared" ca="1" si="2"/>
        <v>[0.009049664],</v>
      </c>
      <c r="L49" t="str">
        <f t="shared" ca="1" si="3"/>
        <v>[0.018099328],</v>
      </c>
      <c r="M49" t="str">
        <f t="shared" ca="1" si="3"/>
        <v>[0.013810262],</v>
      </c>
      <c r="N49" t="str">
        <f t="shared" ca="1" si="3"/>
        <v>[0.01231573],</v>
      </c>
      <c r="O49" t="str">
        <f t="shared" ca="1" si="3"/>
        <v>[0.008890634],</v>
      </c>
      <c r="P49" t="str">
        <f t="shared" ca="1" si="3"/>
        <v>[0.014054818],</v>
      </c>
      <c r="Q49" t="str">
        <f t="shared" ca="1" si="4"/>
        <v>[0.017058148]</v>
      </c>
      <c r="R49" t="str">
        <f t="shared" si="5"/>
        <v>]</v>
      </c>
      <c r="S49" t="str">
        <f t="shared" ca="1" si="6"/>
        <v>[[0.009049664],[0.018099328],[0.013810262],[0.01231573],[0.008890634],[0.014054818],[0.017058148]]</v>
      </c>
    </row>
    <row r="50" spans="1:19" x14ac:dyDescent="0.2">
      <c r="A50" s="1" t="d">
        <v>2025-10-03</v>
      </c>
      <c r="B50">
        <f ca="1">OFFSET(daily_original_wrong!$B$23, 2*(ROW(B50)-ROW($B$23)),COLUMN(B50)-2)+OFFSET(daily_original_wrong!$B$23, 1+2*(ROW(B50)-ROW($B$23)),COLUMN(B50)-2)</f>
        <v>1.8099328000000001E-2</v>
      </c>
      <c r="C50">
        <f ca="1">OFFSET(daily_original_wrong!$B$23, 2*(ROW(C50)-ROW($B$23)),COLUMN(C50)-2)+OFFSET(daily_original_wrong!$B$23, 1+2*(ROW(C50)-ROW($B$23)),COLUMN(C50)-2)</f>
        <v>1.8099328000000001E-2</v>
      </c>
      <c r="D50">
        <f ca="1">OFFSET(daily_original_wrong!$B$23, 2*(ROW(D50)-ROW($B$23)),COLUMN(D50)-2)+OFFSET(daily_original_wrong!$B$23, 1+2*(ROW(D50)-ROW($B$23)),COLUMN(D50)-2)</f>
        <v>1.3810262E-2</v>
      </c>
      <c r="E50">
        <f ca="1">OFFSET(daily_original_wrong!$B$23, 2*(ROW(E50)-ROW($B$23)),COLUMN(E50)-2)+OFFSET(daily_original_wrong!$B$23, 1+2*(ROW(E50)-ROW($B$23)),COLUMN(E50)-2)</f>
        <v>1.231573E-2</v>
      </c>
      <c r="F50">
        <f ca="1">OFFSET(daily_original_wrong!$B$23, 2*(ROW(F50)-ROW($B$23)),COLUMN(F50)-2)+OFFSET(daily_original_wrong!$B$23, 1+2*(ROW(F50)-ROW($B$23)),COLUMN(F50)-2)</f>
        <v>8.8906339999999997E-3</v>
      </c>
      <c r="G50">
        <f ca="1">OFFSET(daily_original_wrong!$B$23, 2*(ROW(G50)-ROW($B$23)),COLUMN(G50)-2)+OFFSET(daily_original_wrong!$B$23, 1+2*(ROW(G50)-ROW($B$23)),COLUMN(G50)-2)</f>
        <v>1.4054818E-2</v>
      </c>
      <c r="H50">
        <f ca="1">OFFSET(daily_original_wrong!$B$23, 2*(ROW(H50)-ROW($B$23)),COLUMN(H50)-2)+OFFSET(daily_original_wrong!$B$23, 1+2*(ROW(H50)-ROW($B$23)),COLUMN(H50)-2)</f>
        <v>1.7058147999999999E-2</v>
      </c>
      <c r="J50" t="str">
        <f t="shared" si="1"/>
        <v>[</v>
      </c>
      <c r="K50" t="str">
        <f t="shared" ca="1" si="2"/>
        <v>[0.009049664],</v>
      </c>
      <c r="L50" t="str">
        <f t="shared" ca="1" si="3"/>
        <v>[0.018099328],</v>
      </c>
      <c r="M50" t="str">
        <f t="shared" ca="1" si="3"/>
        <v>[0.013810262],</v>
      </c>
      <c r="N50" t="str">
        <f t="shared" ca="1" si="3"/>
        <v>[0.01231573],</v>
      </c>
      <c r="O50" t="str">
        <f t="shared" ca="1" si="3"/>
        <v>[0.008890634],</v>
      </c>
      <c r="P50" t="str">
        <f t="shared" ca="1" si="3"/>
        <v>[0.014054818],</v>
      </c>
      <c r="Q50" t="str">
        <f t="shared" ca="1" si="4"/>
        <v>[0.017058148]</v>
      </c>
      <c r="R50" t="str">
        <f t="shared" si="5"/>
        <v>]</v>
      </c>
      <c r="S50" t="str">
        <f t="shared" ca="1" si="6"/>
        <v>[[0.009049664],[0.018099328],[0.013810262],[0.01231573],[0.008890634],[0.014054818],[0.017058148]]</v>
      </c>
    </row>
    <row r="51" spans="1:19" x14ac:dyDescent="0.2">
      <c r="A51" s="1" t="d">
        <v>2025-10-04</v>
      </c>
      <c r="B51">
        <f ca="1">OFFSET(daily_original_wrong!$B$23, 2*(ROW(B51)-ROW($B$23)),COLUMN(B51)-2)+OFFSET(daily_original_wrong!$B$23, 1+2*(ROW(B51)-ROW($B$23)),COLUMN(B51)-2)</f>
        <v>3.2739094000000003E-2</v>
      </c>
      <c r="C51">
        <f ca="1">OFFSET(daily_original_wrong!$B$23, 2*(ROW(C51)-ROW($B$23)),COLUMN(C51)-2)+OFFSET(daily_original_wrong!$B$23, 1+2*(ROW(C51)-ROW($B$23)),COLUMN(C51)-2)</f>
        <v>3.2739094000000003E-2</v>
      </c>
      <c r="D51">
        <f ca="1">OFFSET(daily_original_wrong!$B$23, 2*(ROW(D51)-ROW($B$23)),COLUMN(D51)-2)+OFFSET(daily_original_wrong!$B$23, 1+2*(ROW(D51)-ROW($B$23)),COLUMN(D51)-2)</f>
        <v>2.641247E-2</v>
      </c>
      <c r="E51">
        <f ca="1">OFFSET(daily_original_wrong!$B$23, 2*(ROW(E51)-ROW($B$23)),COLUMN(E51)-2)+OFFSET(daily_original_wrong!$B$23, 1+2*(ROW(E51)-ROW($B$23)),COLUMN(E51)-2)</f>
        <v>2.3012588E-2</v>
      </c>
      <c r="F51">
        <f ca="1">OFFSET(daily_original_wrong!$B$23, 2*(ROW(F51)-ROW($B$23)),COLUMN(F51)-2)+OFFSET(daily_original_wrong!$B$23, 1+2*(ROW(F51)-ROW($B$23)),COLUMN(F51)-2)</f>
        <v>1.7239672000000001E-2</v>
      </c>
      <c r="G51">
        <f ca="1">OFFSET(daily_original_wrong!$B$23, 2*(ROW(G51)-ROW($B$23)),COLUMN(G51)-2)+OFFSET(daily_original_wrong!$B$23, 1+2*(ROW(G51)-ROW($B$23)),COLUMN(G51)-2)</f>
        <v>2.6552016000000001E-2</v>
      </c>
      <c r="H51">
        <f ca="1">OFFSET(daily_original_wrong!$B$23, 2*(ROW(H51)-ROW($B$23)),COLUMN(H51)-2)+OFFSET(daily_original_wrong!$B$23, 1+2*(ROW(H51)-ROW($B$23)),COLUMN(H51)-2)</f>
        <v>3.1054379999999999E-2</v>
      </c>
      <c r="J51" t="str">
        <f t="shared" si="1"/>
        <v>[</v>
      </c>
      <c r="K51" t="str">
        <f t="shared" ca="1" si="2"/>
        <v>[0.016369547],</v>
      </c>
      <c r="L51" t="str">
        <f t="shared" ca="1" si="3"/>
        <v>[0.032739094],</v>
      </c>
      <c r="M51" t="str">
        <f t="shared" ca="1" si="3"/>
        <v>[0.02641247],</v>
      </c>
      <c r="N51" t="str">
        <f t="shared" ca="1" si="3"/>
        <v>[0.023012588],</v>
      </c>
      <c r="O51" t="str">
        <f t="shared" ca="1" si="3"/>
        <v>[0.017239672],</v>
      </c>
      <c r="P51" t="str">
        <f t="shared" ca="1" si="3"/>
        <v>[0.026552016],</v>
      </c>
      <c r="Q51" t="str">
        <f t="shared" ca="1" si="4"/>
        <v>[0.03105438]</v>
      </c>
      <c r="R51" t="str">
        <f t="shared" si="5"/>
        <v>]</v>
      </c>
      <c r="S51" t="str">
        <f t="shared" ca="1" si="6"/>
        <v>[[0.016369547],[0.032739094],[0.02641247],[0.023012588],[0.017239672],[0.026552016],[0.03105438]]</v>
      </c>
    </row>
    <row r="52" spans="1:19" x14ac:dyDescent="0.2">
      <c r="A52" s="1" t="d">
        <v>2025-10-05</v>
      </c>
      <c r="B52">
        <f ca="1">OFFSET(daily_original_wrong!$B$23, 2*(ROW(B52)-ROW($B$23)),COLUMN(B52)-2)+OFFSET(daily_original_wrong!$B$23, 1+2*(ROW(B52)-ROW($B$23)),COLUMN(B52)-2)</f>
        <v>3.2739094000000003E-2</v>
      </c>
      <c r="C52">
        <f ca="1">OFFSET(daily_original_wrong!$B$23, 2*(ROW(C52)-ROW($B$23)),COLUMN(C52)-2)+OFFSET(daily_original_wrong!$B$23, 1+2*(ROW(C52)-ROW($B$23)),COLUMN(C52)-2)</f>
        <v>3.2739094000000003E-2</v>
      </c>
      <c r="D52">
        <f ca="1">OFFSET(daily_original_wrong!$B$23, 2*(ROW(D52)-ROW($B$23)),COLUMN(D52)-2)+OFFSET(daily_original_wrong!$B$23, 1+2*(ROW(D52)-ROW($B$23)),COLUMN(D52)-2)</f>
        <v>2.641247E-2</v>
      </c>
      <c r="E52">
        <f ca="1">OFFSET(daily_original_wrong!$B$23, 2*(ROW(E52)-ROW($B$23)),COLUMN(E52)-2)+OFFSET(daily_original_wrong!$B$23, 1+2*(ROW(E52)-ROW($B$23)),COLUMN(E52)-2)</f>
        <v>2.3012588E-2</v>
      </c>
      <c r="F52">
        <f ca="1">OFFSET(daily_original_wrong!$B$23, 2*(ROW(F52)-ROW($B$23)),COLUMN(F52)-2)+OFFSET(daily_original_wrong!$B$23, 1+2*(ROW(F52)-ROW($B$23)),COLUMN(F52)-2)</f>
        <v>1.7239672000000001E-2</v>
      </c>
      <c r="G52">
        <f ca="1">OFFSET(daily_original_wrong!$B$23, 2*(ROW(G52)-ROW($B$23)),COLUMN(G52)-2)+OFFSET(daily_original_wrong!$B$23, 1+2*(ROW(G52)-ROW($B$23)),COLUMN(G52)-2)</f>
        <v>2.6552016000000001E-2</v>
      </c>
      <c r="H52">
        <f ca="1">OFFSET(daily_original_wrong!$B$23, 2*(ROW(H52)-ROW($B$23)),COLUMN(H52)-2)+OFFSET(daily_original_wrong!$B$23, 1+2*(ROW(H52)-ROW($B$23)),COLUMN(H52)-2)</f>
        <v>3.1054379999999999E-2</v>
      </c>
      <c r="J52" t="str">
        <f t="shared" si="1"/>
        <v>[</v>
      </c>
      <c r="K52" t="str">
        <f t="shared" ca="1" si="2"/>
        <v>[0.016369547],</v>
      </c>
      <c r="L52" t="str">
        <f t="shared" ca="1" si="3"/>
        <v>[0.032739094],</v>
      </c>
      <c r="M52" t="str">
        <f t="shared" ca="1" si="3"/>
        <v>[0.02641247],</v>
      </c>
      <c r="N52" t="str">
        <f t="shared" ca="1" si="3"/>
        <v>[0.023012588],</v>
      </c>
      <c r="O52" t="str">
        <f t="shared" ca="1" si="3"/>
        <v>[0.017239672],</v>
      </c>
      <c r="P52" t="str">
        <f t="shared" ca="1" si="3"/>
        <v>[0.026552016],</v>
      </c>
      <c r="Q52" t="str">
        <f t="shared" ca="1" si="4"/>
        <v>[0.03105438]</v>
      </c>
      <c r="R52" t="str">
        <f t="shared" si="5"/>
        <v>]</v>
      </c>
      <c r="S52" t="str">
        <f t="shared" ca="1" si="6"/>
        <v>[[0.016369547],[0.032739094],[0.02641247],[0.023012588],[0.017239672],[0.026552016],[0.03105438]]</v>
      </c>
    </row>
    <row r="53" spans="1:19" x14ac:dyDescent="0.2">
      <c r="A53" s="1" t="d">
        <v>2025-10-06</v>
      </c>
      <c r="B53">
        <f ca="1">OFFSET(daily_original_wrong!$B$23, 2*(ROW(B53)-ROW($B$23)),COLUMN(B53)-2)+OFFSET(daily_original_wrong!$B$23, 1+2*(ROW(B53)-ROW($B$23)),COLUMN(B53)-2)</f>
        <v>3.2739094000000003E-2</v>
      </c>
      <c r="C53">
        <f ca="1">OFFSET(daily_original_wrong!$B$23, 2*(ROW(C53)-ROW($B$23)),COLUMN(C53)-2)+OFFSET(daily_original_wrong!$B$23, 1+2*(ROW(C53)-ROW($B$23)),COLUMN(C53)-2)</f>
        <v>3.2739094000000003E-2</v>
      </c>
      <c r="D53">
        <f ca="1">OFFSET(daily_original_wrong!$B$23, 2*(ROW(D53)-ROW($B$23)),COLUMN(D53)-2)+OFFSET(daily_original_wrong!$B$23, 1+2*(ROW(D53)-ROW($B$23)),COLUMN(D53)-2)</f>
        <v>2.641247E-2</v>
      </c>
      <c r="E53">
        <f ca="1">OFFSET(daily_original_wrong!$B$23, 2*(ROW(E53)-ROW($B$23)),COLUMN(E53)-2)+OFFSET(daily_original_wrong!$B$23, 1+2*(ROW(E53)-ROW($B$23)),COLUMN(E53)-2)</f>
        <v>2.3012588E-2</v>
      </c>
      <c r="F53">
        <f ca="1">OFFSET(daily_original_wrong!$B$23, 2*(ROW(F53)-ROW($B$23)),COLUMN(F53)-2)+OFFSET(daily_original_wrong!$B$23, 1+2*(ROW(F53)-ROW($B$23)),COLUMN(F53)-2)</f>
        <v>1.7239672000000001E-2</v>
      </c>
      <c r="G53">
        <f ca="1">OFFSET(daily_original_wrong!$B$23, 2*(ROW(G53)-ROW($B$23)),COLUMN(G53)-2)+OFFSET(daily_original_wrong!$B$23, 1+2*(ROW(G53)-ROW($B$23)),COLUMN(G53)-2)</f>
        <v>2.6552016000000001E-2</v>
      </c>
      <c r="H53">
        <f ca="1">OFFSET(daily_original_wrong!$B$23, 2*(ROW(H53)-ROW($B$23)),COLUMN(H53)-2)+OFFSET(daily_original_wrong!$B$23, 1+2*(ROW(H53)-ROW($B$23)),COLUMN(H53)-2)</f>
        <v>3.1054379999999999E-2</v>
      </c>
      <c r="J53" t="str">
        <f t="shared" si="1"/>
        <v>[</v>
      </c>
      <c r="K53" t="str">
        <f t="shared" ca="1" si="2"/>
        <v>[0.016369547],</v>
      </c>
      <c r="L53" t="str">
        <f t="shared" ca="1" si="3"/>
        <v>[0.032739094],</v>
      </c>
      <c r="M53" t="str">
        <f t="shared" ca="1" si="3"/>
        <v>[0.02641247],</v>
      </c>
      <c r="N53" t="str">
        <f t="shared" ca="1" si="3"/>
        <v>[0.023012588],</v>
      </c>
      <c r="O53" t="str">
        <f t="shared" ca="1" si="3"/>
        <v>[0.017239672],</v>
      </c>
      <c r="P53" t="str">
        <f t="shared" ca="1" si="3"/>
        <v>[0.026552016],</v>
      </c>
      <c r="Q53" t="str">
        <f t="shared" ca="1" si="4"/>
        <v>[0.03105438]</v>
      </c>
      <c r="R53" t="str">
        <f t="shared" si="5"/>
        <v>]</v>
      </c>
      <c r="S53" t="str">
        <f t="shared" ca="1" si="6"/>
        <v>[[0.016369547],[0.032739094],[0.02641247],[0.023012588],[0.017239672],[0.026552016],[0.03105438]]</v>
      </c>
    </row>
    <row r="54" spans="1:19" x14ac:dyDescent="0.2">
      <c r="A54" s="1" t="d">
        <v>2025-10-07</v>
      </c>
      <c r="B54">
        <f ca="1">OFFSET(daily_original_wrong!$B$23, 2*(ROW(B54)-ROW($B$23)),COLUMN(B54)-2)+OFFSET(daily_original_wrong!$B$23, 1+2*(ROW(B54)-ROW($B$23)),COLUMN(B54)-2)</f>
        <v>2.2712135000000001E-2</v>
      </c>
      <c r="C54">
        <f ca="1">OFFSET(daily_original_wrong!$B$23, 2*(ROW(C54)-ROW($B$23)),COLUMN(C54)-2)+OFFSET(daily_original_wrong!$B$23, 1+2*(ROW(C54)-ROW($B$23)),COLUMN(C54)-2)</f>
        <v>2.2712135000000001E-2</v>
      </c>
      <c r="D54">
        <f ca="1">OFFSET(daily_original_wrong!$B$23, 2*(ROW(D54)-ROW($B$23)),COLUMN(D54)-2)+OFFSET(daily_original_wrong!$B$23, 1+2*(ROW(D54)-ROW($B$23)),COLUMN(D54)-2)</f>
        <v>1.9027387E-2</v>
      </c>
      <c r="E54">
        <f ca="1">OFFSET(daily_original_wrong!$B$23, 2*(ROW(E54)-ROW($B$23)),COLUMN(E54)-2)+OFFSET(daily_original_wrong!$B$23, 1+2*(ROW(E54)-ROW($B$23)),COLUMN(E54)-2)</f>
        <v>1.6220905000000001E-2</v>
      </c>
      <c r="F54">
        <f ca="1">OFFSET(daily_original_wrong!$B$23, 2*(ROW(F54)-ROW($B$23)),COLUMN(F54)-2)+OFFSET(daily_original_wrong!$B$23, 1+2*(ROW(F54)-ROW($B$23)),COLUMN(F54)-2)</f>
        <v>1.2273013000000001E-2</v>
      </c>
      <c r="G54">
        <f ca="1">OFFSET(daily_original_wrong!$B$23, 2*(ROW(G54)-ROW($B$23)),COLUMN(G54)-2)+OFFSET(daily_original_wrong!$B$23, 1+2*(ROW(G54)-ROW($B$23)),COLUMN(G54)-2)</f>
        <v>1.8553937E-2</v>
      </c>
      <c r="H54">
        <f ca="1">OFFSET(daily_original_wrong!$B$23, 2*(ROW(H54)-ROW($B$23)),COLUMN(H54)-2)+OFFSET(daily_original_wrong!$B$23, 1+2*(ROW(H54)-ROW($B$23)),COLUMN(H54)-2)</f>
        <v>2.1474127999999999E-2</v>
      </c>
      <c r="J54" t="str">
        <f t="shared" si="1"/>
        <v>[</v>
      </c>
      <c r="K54" t="str">
        <f t="shared" ca="1" si="2"/>
        <v>[0.0113560675],</v>
      </c>
      <c r="L54" t="str">
        <f t="shared" ref="L54:P104" ca="1" si="7">"["&amp;C54&amp;"],"</f>
        <v>[0.022712135],</v>
      </c>
      <c r="M54" t="str">
        <f t="shared" ca="1" si="7"/>
        <v>[0.019027387],</v>
      </c>
      <c r="N54" t="str">
        <f t="shared" ca="1" si="7"/>
        <v>[0.016220905],</v>
      </c>
      <c r="O54" t="str">
        <f t="shared" ca="1" si="7"/>
        <v>[0.012273013],</v>
      </c>
      <c r="P54" t="str">
        <f t="shared" ca="1" si="7"/>
        <v>[0.018553937],</v>
      </c>
      <c r="Q54" t="str">
        <f t="shared" ca="1" si="4"/>
        <v>[0.021474128]</v>
      </c>
      <c r="R54" t="str">
        <f t="shared" si="5"/>
        <v>]</v>
      </c>
      <c r="S54" t="str">
        <f t="shared" ca="1" si="6"/>
        <v>[[0.0113560675],[0.022712135],[0.019027387],[0.016220905],[0.012273013],[0.018553937],[0.021474128]]</v>
      </c>
    </row>
    <row r="55" spans="1:19" x14ac:dyDescent="0.2">
      <c r="A55" s="1" t="d">
        <v>2025-10-08</v>
      </c>
      <c r="B55">
        <f ca="1">OFFSET(daily_original_wrong!$B$23, 2*(ROW(B55)-ROW($B$23)),COLUMN(B55)-2)+OFFSET(daily_original_wrong!$B$23, 1+2*(ROW(B55)-ROW($B$23)),COLUMN(B55)-2)</f>
        <v>1.2685175999999999E-2</v>
      </c>
      <c r="C55">
        <f ca="1">OFFSET(daily_original_wrong!$B$23, 2*(ROW(C55)-ROW($B$23)),COLUMN(C55)-2)+OFFSET(daily_original_wrong!$B$23, 1+2*(ROW(C55)-ROW($B$23)),COLUMN(C55)-2)</f>
        <v>1.2685175999999999E-2</v>
      </c>
      <c r="D55">
        <f ca="1">OFFSET(daily_original_wrong!$B$23, 2*(ROW(D55)-ROW($B$23)),COLUMN(D55)-2)+OFFSET(daily_original_wrong!$B$23, 1+2*(ROW(D55)-ROW($B$23)),COLUMN(D55)-2)</f>
        <v>1.1642303999999999E-2</v>
      </c>
      <c r="E55">
        <f ca="1">OFFSET(daily_original_wrong!$B$23, 2*(ROW(E55)-ROW($B$23)),COLUMN(E55)-2)+OFFSET(daily_original_wrong!$B$23, 1+2*(ROW(E55)-ROW($B$23)),COLUMN(E55)-2)</f>
        <v>9.4292219999999993E-3</v>
      </c>
      <c r="F55">
        <f ca="1">OFFSET(daily_original_wrong!$B$23, 2*(ROW(F55)-ROW($B$23)),COLUMN(F55)-2)+OFFSET(daily_original_wrong!$B$23, 1+2*(ROW(F55)-ROW($B$23)),COLUMN(F55)-2)</f>
        <v>7.3063540000000001E-3</v>
      </c>
      <c r="G55">
        <f ca="1">OFFSET(daily_original_wrong!$B$23, 2*(ROW(G55)-ROW($B$23)),COLUMN(G55)-2)+OFFSET(daily_original_wrong!$B$23, 1+2*(ROW(G55)-ROW($B$23)),COLUMN(G55)-2)</f>
        <v>1.0555858E-2</v>
      </c>
      <c r="H55">
        <f ca="1">OFFSET(daily_original_wrong!$B$23, 2*(ROW(H55)-ROW($B$23)),COLUMN(H55)-2)+OFFSET(daily_original_wrong!$B$23, 1+2*(ROW(H55)-ROW($B$23)),COLUMN(H55)-2)</f>
        <v>1.1893875999999999E-2</v>
      </c>
      <c r="J55" t="str">
        <f t="shared" si="1"/>
        <v>[</v>
      </c>
      <c r="K55" t="str">
        <f t="shared" ca="1" si="2"/>
        <v>[0.006342588],</v>
      </c>
      <c r="L55" t="str">
        <f t="shared" ca="1" si="7"/>
        <v>[0.012685176],</v>
      </c>
      <c r="M55" t="str">
        <f t="shared" ca="1" si="7"/>
        <v>[0.011642304],</v>
      </c>
      <c r="N55" t="str">
        <f t="shared" ca="1" si="7"/>
        <v>[0.009429222],</v>
      </c>
      <c r="O55" t="str">
        <f t="shared" ca="1" si="7"/>
        <v>[0.007306354],</v>
      </c>
      <c r="P55" t="str">
        <f t="shared" ca="1" si="7"/>
        <v>[0.010555858],</v>
      </c>
      <c r="Q55" t="str">
        <f t="shared" ca="1" si="4"/>
        <v>[0.011893876]</v>
      </c>
      <c r="R55" t="str">
        <f t="shared" si="5"/>
        <v>]</v>
      </c>
      <c r="S55" t="str">
        <f t="shared" ca="1" si="6"/>
        <v>[[0.006342588],[0.012685176],[0.011642304],[0.009429222],[0.007306354],[0.010555858],[0.011893876]]</v>
      </c>
    </row>
    <row r="56" spans="1:19" x14ac:dyDescent="0.2">
      <c r="A56" s="1" t="d">
        <v>2025-10-09</v>
      </c>
      <c r="B56">
        <f ca="1">OFFSET(daily_original_wrong!$B$23, 2*(ROW(B56)-ROW($B$23)),COLUMN(B56)-2)+OFFSET(daily_original_wrong!$B$23, 1+2*(ROW(B56)-ROW($B$23)),COLUMN(B56)-2)</f>
        <v>1.2685175999999999E-2</v>
      </c>
      <c r="C56">
        <f ca="1">OFFSET(daily_original_wrong!$B$23, 2*(ROW(C56)-ROW($B$23)),COLUMN(C56)-2)+OFFSET(daily_original_wrong!$B$23, 1+2*(ROW(C56)-ROW($B$23)),COLUMN(C56)-2)</f>
        <v>1.2685175999999999E-2</v>
      </c>
      <c r="D56">
        <f ca="1">OFFSET(daily_original_wrong!$B$23, 2*(ROW(D56)-ROW($B$23)),COLUMN(D56)-2)+OFFSET(daily_original_wrong!$B$23, 1+2*(ROW(D56)-ROW($B$23)),COLUMN(D56)-2)</f>
        <v>1.1642303999999999E-2</v>
      </c>
      <c r="E56">
        <f ca="1">OFFSET(daily_original_wrong!$B$23, 2*(ROW(E56)-ROW($B$23)),COLUMN(E56)-2)+OFFSET(daily_original_wrong!$B$23, 1+2*(ROW(E56)-ROW($B$23)),COLUMN(E56)-2)</f>
        <v>9.4292219999999993E-3</v>
      </c>
      <c r="F56">
        <f ca="1">OFFSET(daily_original_wrong!$B$23, 2*(ROW(F56)-ROW($B$23)),COLUMN(F56)-2)+OFFSET(daily_original_wrong!$B$23, 1+2*(ROW(F56)-ROW($B$23)),COLUMN(F56)-2)</f>
        <v>7.3063540000000001E-3</v>
      </c>
      <c r="G56">
        <f ca="1">OFFSET(daily_original_wrong!$B$23, 2*(ROW(G56)-ROW($B$23)),COLUMN(G56)-2)+OFFSET(daily_original_wrong!$B$23, 1+2*(ROW(G56)-ROW($B$23)),COLUMN(G56)-2)</f>
        <v>1.0555858E-2</v>
      </c>
      <c r="H56">
        <f ca="1">OFFSET(daily_original_wrong!$B$23, 2*(ROW(H56)-ROW($B$23)),COLUMN(H56)-2)+OFFSET(daily_original_wrong!$B$23, 1+2*(ROW(H56)-ROW($B$23)),COLUMN(H56)-2)</f>
        <v>1.1893875999999999E-2</v>
      </c>
      <c r="J56" t="str">
        <f t="shared" si="1"/>
        <v>[</v>
      </c>
      <c r="K56" t="str">
        <f t="shared" ca="1" si="2"/>
        <v>[0.006342588],</v>
      </c>
      <c r="L56" t="str">
        <f t="shared" ca="1" si="7"/>
        <v>[0.012685176],</v>
      </c>
      <c r="M56" t="str">
        <f t="shared" ca="1" si="7"/>
        <v>[0.011642304],</v>
      </c>
      <c r="N56" t="str">
        <f t="shared" ca="1" si="7"/>
        <v>[0.009429222],</v>
      </c>
      <c r="O56" t="str">
        <f t="shared" ca="1" si="7"/>
        <v>[0.007306354],</v>
      </c>
      <c r="P56" t="str">
        <f t="shared" ca="1" si="7"/>
        <v>[0.010555858],</v>
      </c>
      <c r="Q56" t="str">
        <f t="shared" ca="1" si="4"/>
        <v>[0.011893876]</v>
      </c>
      <c r="R56" t="str">
        <f t="shared" si="5"/>
        <v>]</v>
      </c>
      <c r="S56" t="str">
        <f t="shared" ca="1" si="6"/>
        <v>[[0.006342588],[0.012685176],[0.011642304],[0.009429222],[0.007306354],[0.010555858],[0.011893876]]</v>
      </c>
    </row>
    <row r="57" spans="1:19" x14ac:dyDescent="0.2">
      <c r="A57" s="1" t="d">
        <v>2025-10-10</v>
      </c>
      <c r="B57">
        <f ca="1">OFFSET(daily_original_wrong!$B$23, 2*(ROW(B57)-ROW($B$23)),COLUMN(B57)-2)+OFFSET(daily_original_wrong!$B$23, 1+2*(ROW(B57)-ROW($B$23)),COLUMN(B57)-2)</f>
        <v>1.2685175999999999E-2</v>
      </c>
      <c r="C57">
        <f ca="1">OFFSET(daily_original_wrong!$B$23, 2*(ROW(C57)-ROW($B$23)),COLUMN(C57)-2)+OFFSET(daily_original_wrong!$B$23, 1+2*(ROW(C57)-ROW($B$23)),COLUMN(C57)-2)</f>
        <v>1.2685175999999999E-2</v>
      </c>
      <c r="D57">
        <f ca="1">OFFSET(daily_original_wrong!$B$23, 2*(ROW(D57)-ROW($B$23)),COLUMN(D57)-2)+OFFSET(daily_original_wrong!$B$23, 1+2*(ROW(D57)-ROW($B$23)),COLUMN(D57)-2)</f>
        <v>1.1642303999999999E-2</v>
      </c>
      <c r="E57">
        <f ca="1">OFFSET(daily_original_wrong!$B$23, 2*(ROW(E57)-ROW($B$23)),COLUMN(E57)-2)+OFFSET(daily_original_wrong!$B$23, 1+2*(ROW(E57)-ROW($B$23)),COLUMN(E57)-2)</f>
        <v>9.4292219999999993E-3</v>
      </c>
      <c r="F57">
        <f ca="1">OFFSET(daily_original_wrong!$B$23, 2*(ROW(F57)-ROW($B$23)),COLUMN(F57)-2)+OFFSET(daily_original_wrong!$B$23, 1+2*(ROW(F57)-ROW($B$23)),COLUMN(F57)-2)</f>
        <v>7.3063540000000001E-3</v>
      </c>
      <c r="G57">
        <f ca="1">OFFSET(daily_original_wrong!$B$23, 2*(ROW(G57)-ROW($B$23)),COLUMN(G57)-2)+OFFSET(daily_original_wrong!$B$23, 1+2*(ROW(G57)-ROW($B$23)),COLUMN(G57)-2)</f>
        <v>1.0555858E-2</v>
      </c>
      <c r="H57">
        <f ca="1">OFFSET(daily_original_wrong!$B$23, 2*(ROW(H57)-ROW($B$23)),COLUMN(H57)-2)+OFFSET(daily_original_wrong!$B$23, 1+2*(ROW(H57)-ROW($B$23)),COLUMN(H57)-2)</f>
        <v>1.1893875999999999E-2</v>
      </c>
      <c r="J57" t="str">
        <f t="shared" si="1"/>
        <v>[</v>
      </c>
      <c r="K57" t="str">
        <f t="shared" ca="1" si="2"/>
        <v>[0.006342588],</v>
      </c>
      <c r="L57" t="str">
        <f t="shared" ca="1" si="7"/>
        <v>[0.012685176],</v>
      </c>
      <c r="M57" t="str">
        <f t="shared" ca="1" si="7"/>
        <v>[0.011642304],</v>
      </c>
      <c r="N57" t="str">
        <f t="shared" ca="1" si="7"/>
        <v>[0.009429222],</v>
      </c>
      <c r="O57" t="str">
        <f t="shared" ca="1" si="7"/>
        <v>[0.007306354],</v>
      </c>
      <c r="P57" t="str">
        <f t="shared" ca="1" si="7"/>
        <v>[0.010555858],</v>
      </c>
      <c r="Q57" t="str">
        <f t="shared" ca="1" si="4"/>
        <v>[0.011893876]</v>
      </c>
      <c r="R57" t="str">
        <f t="shared" si="5"/>
        <v>]</v>
      </c>
      <c r="S57" t="str">
        <f t="shared" ca="1" si="6"/>
        <v>[[0.006342588],[0.012685176],[0.011642304],[0.009429222],[0.007306354],[0.010555858],[0.011893876]]</v>
      </c>
    </row>
    <row r="58" spans="1:19" x14ac:dyDescent="0.2">
      <c r="A58" s="1" t="d">
        <v>2025-10-11</v>
      </c>
      <c r="B58">
        <f ca="1">OFFSET(daily_original_wrong!$B$23, 2*(ROW(B58)-ROW($B$23)),COLUMN(B58)-2)+OFFSET(daily_original_wrong!$B$23, 1+2*(ROW(B58)-ROW($B$23)),COLUMN(B58)-2)</f>
        <v>1.0192464E-2</v>
      </c>
      <c r="C58">
        <f ca="1">OFFSET(daily_original_wrong!$B$23, 2*(ROW(C58)-ROW($B$23)),COLUMN(C58)-2)+OFFSET(daily_original_wrong!$B$23, 1+2*(ROW(C58)-ROW($B$23)),COLUMN(C58)-2)</f>
        <v>1.0192464E-2</v>
      </c>
      <c r="D58">
        <f ca="1">OFFSET(daily_original_wrong!$B$23, 2*(ROW(D58)-ROW($B$23)),COLUMN(D58)-2)+OFFSET(daily_original_wrong!$B$23, 1+2*(ROW(D58)-ROW($B$23)),COLUMN(D58)-2)</f>
        <v>1.0537758E-2</v>
      </c>
      <c r="E58">
        <f ca="1">OFFSET(daily_original_wrong!$B$23, 2*(ROW(E58)-ROW($B$23)),COLUMN(E58)-2)+OFFSET(daily_original_wrong!$B$23, 1+2*(ROW(E58)-ROW($B$23)),COLUMN(E58)-2)</f>
        <v>7.9054380000000007E-3</v>
      </c>
      <c r="F58">
        <f ca="1">OFFSET(daily_original_wrong!$B$23, 2*(ROW(F58)-ROW($B$23)),COLUMN(F58)-2)+OFFSET(daily_original_wrong!$B$23, 1+2*(ROW(F58)-ROW($B$23)),COLUMN(F58)-2)</f>
        <v>6.1772679999999996E-3</v>
      </c>
      <c r="G58">
        <f ca="1">OFFSET(daily_original_wrong!$B$23, 2*(ROW(G58)-ROW($B$23)),COLUMN(G58)-2)+OFFSET(daily_original_wrong!$B$23, 1+2*(ROW(G58)-ROW($B$23)),COLUMN(G58)-2)</f>
        <v>8.366788E-3</v>
      </c>
      <c r="H58">
        <f ca="1">OFFSET(daily_original_wrong!$B$23, 2*(ROW(H58)-ROW($B$23)),COLUMN(H58)-2)+OFFSET(daily_original_wrong!$B$23, 1+2*(ROW(H58)-ROW($B$23)),COLUMN(H58)-2)</f>
        <v>9.2891799999999993E-3</v>
      </c>
      <c r="J58" t="str">
        <f t="shared" si="1"/>
        <v>[</v>
      </c>
      <c r="K58" t="str">
        <f t="shared" ca="1" si="2"/>
        <v>[0.005096232],</v>
      </c>
      <c r="L58" t="str">
        <f t="shared" ca="1" si="7"/>
        <v>[0.010192464],</v>
      </c>
      <c r="M58" t="str">
        <f t="shared" ca="1" si="7"/>
        <v>[0.010537758],</v>
      </c>
      <c r="N58" t="str">
        <f t="shared" ca="1" si="7"/>
        <v>[0.007905438],</v>
      </c>
      <c r="O58" t="str">
        <f t="shared" ca="1" si="7"/>
        <v>[0.006177268],</v>
      </c>
      <c r="P58" t="str">
        <f t="shared" ca="1" si="7"/>
        <v>[0.008366788],</v>
      </c>
      <c r="Q58" t="str">
        <f t="shared" ca="1" si="4"/>
        <v>[0.00928918]</v>
      </c>
      <c r="R58" t="str">
        <f t="shared" si="5"/>
        <v>]</v>
      </c>
      <c r="S58" t="str">
        <f t="shared" ca="1" si="6"/>
        <v>[[0.005096232],[0.010192464],[0.010537758],[0.007905438],[0.006177268],[0.008366788],[0.00928918]]</v>
      </c>
    </row>
    <row r="59" spans="1:19" x14ac:dyDescent="0.2">
      <c r="A59" s="1" t="d">
        <v>2025-10-12</v>
      </c>
      <c r="B59">
        <f ca="1">OFFSET(daily_original_wrong!$B$23, 2*(ROW(B59)-ROW($B$23)),COLUMN(B59)-2)+OFFSET(daily_original_wrong!$B$23, 1+2*(ROW(B59)-ROW($B$23)),COLUMN(B59)-2)</f>
        <v>1.0192464E-2</v>
      </c>
      <c r="C59">
        <f ca="1">OFFSET(daily_original_wrong!$B$23, 2*(ROW(C59)-ROW($B$23)),COLUMN(C59)-2)+OFFSET(daily_original_wrong!$B$23, 1+2*(ROW(C59)-ROW($B$23)),COLUMN(C59)-2)</f>
        <v>1.0192464E-2</v>
      </c>
      <c r="D59">
        <f ca="1">OFFSET(daily_original_wrong!$B$23, 2*(ROW(D59)-ROW($B$23)),COLUMN(D59)-2)+OFFSET(daily_original_wrong!$B$23, 1+2*(ROW(D59)-ROW($B$23)),COLUMN(D59)-2)</f>
        <v>1.0537758E-2</v>
      </c>
      <c r="E59">
        <f ca="1">OFFSET(daily_original_wrong!$B$23, 2*(ROW(E59)-ROW($B$23)),COLUMN(E59)-2)+OFFSET(daily_original_wrong!$B$23, 1+2*(ROW(E59)-ROW($B$23)),COLUMN(E59)-2)</f>
        <v>7.9054380000000007E-3</v>
      </c>
      <c r="F59">
        <f ca="1">OFFSET(daily_original_wrong!$B$23, 2*(ROW(F59)-ROW($B$23)),COLUMN(F59)-2)+OFFSET(daily_original_wrong!$B$23, 1+2*(ROW(F59)-ROW($B$23)),COLUMN(F59)-2)</f>
        <v>6.1772679999999996E-3</v>
      </c>
      <c r="G59">
        <f ca="1">OFFSET(daily_original_wrong!$B$23, 2*(ROW(G59)-ROW($B$23)),COLUMN(G59)-2)+OFFSET(daily_original_wrong!$B$23, 1+2*(ROW(G59)-ROW($B$23)),COLUMN(G59)-2)</f>
        <v>8.366788E-3</v>
      </c>
      <c r="H59">
        <f ca="1">OFFSET(daily_original_wrong!$B$23, 2*(ROW(H59)-ROW($B$23)),COLUMN(H59)-2)+OFFSET(daily_original_wrong!$B$23, 1+2*(ROW(H59)-ROW($B$23)),COLUMN(H59)-2)</f>
        <v>9.2891799999999993E-3</v>
      </c>
      <c r="J59" t="str">
        <f t="shared" si="1"/>
        <v>[</v>
      </c>
      <c r="K59" t="str">
        <f t="shared" ca="1" si="2"/>
        <v>[0.005096232],</v>
      </c>
      <c r="L59" t="str">
        <f t="shared" ca="1" si="7"/>
        <v>[0.010192464],</v>
      </c>
      <c r="M59" t="str">
        <f t="shared" ca="1" si="7"/>
        <v>[0.010537758],</v>
      </c>
      <c r="N59" t="str">
        <f t="shared" ca="1" si="7"/>
        <v>[0.007905438],</v>
      </c>
      <c r="O59" t="str">
        <f t="shared" ca="1" si="7"/>
        <v>[0.006177268],</v>
      </c>
      <c r="P59" t="str">
        <f t="shared" ca="1" si="7"/>
        <v>[0.008366788],</v>
      </c>
      <c r="Q59" t="str">
        <f t="shared" ca="1" si="4"/>
        <v>[0.00928918]</v>
      </c>
      <c r="R59" t="str">
        <f t="shared" si="5"/>
        <v>]</v>
      </c>
      <c r="S59" t="str">
        <f t="shared" ca="1" si="6"/>
        <v>[[0.005096232],[0.010192464],[0.010537758],[0.007905438],[0.006177268],[0.008366788],[0.00928918]]</v>
      </c>
    </row>
    <row r="60" spans="1:19" x14ac:dyDescent="0.2">
      <c r="A60" s="1" t="d">
        <v>2025-10-13</v>
      </c>
      <c r="B60">
        <f ca="1">OFFSET(daily_original_wrong!$B$23, 2*(ROW(B60)-ROW($B$23)),COLUMN(B60)-2)+OFFSET(daily_original_wrong!$B$23, 1+2*(ROW(B60)-ROW($B$23)),COLUMN(B60)-2)</f>
        <v>1.0192464E-2</v>
      </c>
      <c r="C60">
        <f ca="1">OFFSET(daily_original_wrong!$B$23, 2*(ROW(C60)-ROW($B$23)),COLUMN(C60)-2)+OFFSET(daily_original_wrong!$B$23, 1+2*(ROW(C60)-ROW($B$23)),COLUMN(C60)-2)</f>
        <v>1.0192464E-2</v>
      </c>
      <c r="D60">
        <f ca="1">OFFSET(daily_original_wrong!$B$23, 2*(ROW(D60)-ROW($B$23)),COLUMN(D60)-2)+OFFSET(daily_original_wrong!$B$23, 1+2*(ROW(D60)-ROW($B$23)),COLUMN(D60)-2)</f>
        <v>1.0537758E-2</v>
      </c>
      <c r="E60">
        <f ca="1">OFFSET(daily_original_wrong!$B$23, 2*(ROW(E60)-ROW($B$23)),COLUMN(E60)-2)+OFFSET(daily_original_wrong!$B$23, 1+2*(ROW(E60)-ROW($B$23)),COLUMN(E60)-2)</f>
        <v>7.9054380000000007E-3</v>
      </c>
      <c r="F60">
        <f ca="1">OFFSET(daily_original_wrong!$B$23, 2*(ROW(F60)-ROW($B$23)),COLUMN(F60)-2)+OFFSET(daily_original_wrong!$B$23, 1+2*(ROW(F60)-ROW($B$23)),COLUMN(F60)-2)</f>
        <v>6.1772679999999996E-3</v>
      </c>
      <c r="G60">
        <f ca="1">OFFSET(daily_original_wrong!$B$23, 2*(ROW(G60)-ROW($B$23)),COLUMN(G60)-2)+OFFSET(daily_original_wrong!$B$23, 1+2*(ROW(G60)-ROW($B$23)),COLUMN(G60)-2)</f>
        <v>8.366788E-3</v>
      </c>
      <c r="H60">
        <f ca="1">OFFSET(daily_original_wrong!$B$23, 2*(ROW(H60)-ROW($B$23)),COLUMN(H60)-2)+OFFSET(daily_original_wrong!$B$23, 1+2*(ROW(H60)-ROW($B$23)),COLUMN(H60)-2)</f>
        <v>9.2891799999999993E-3</v>
      </c>
      <c r="J60" t="str">
        <f t="shared" si="1"/>
        <v>[</v>
      </c>
      <c r="K60" t="str">
        <f t="shared" ca="1" si="2"/>
        <v>[0.005096232],</v>
      </c>
      <c r="L60" t="str">
        <f t="shared" ca="1" si="7"/>
        <v>[0.010192464],</v>
      </c>
      <c r="M60" t="str">
        <f t="shared" ca="1" si="7"/>
        <v>[0.010537758],</v>
      </c>
      <c r="N60" t="str">
        <f t="shared" ca="1" si="7"/>
        <v>[0.007905438],</v>
      </c>
      <c r="O60" t="str">
        <f t="shared" ca="1" si="7"/>
        <v>[0.006177268],</v>
      </c>
      <c r="P60" t="str">
        <f t="shared" ca="1" si="7"/>
        <v>[0.008366788],</v>
      </c>
      <c r="Q60" t="str">
        <f t="shared" ca="1" si="4"/>
        <v>[0.00928918]</v>
      </c>
      <c r="R60" t="str">
        <f t="shared" si="5"/>
        <v>]</v>
      </c>
      <c r="S60" t="str">
        <f t="shared" ca="1" si="6"/>
        <v>[[0.005096232],[0.010192464],[0.010537758],[0.007905438],[0.006177268],[0.008366788],[0.00928918]]</v>
      </c>
    </row>
    <row r="61" spans="1:19" x14ac:dyDescent="0.2">
      <c r="A61" s="1" t="d">
        <v>2025-10-14</v>
      </c>
      <c r="B61">
        <f ca="1">OFFSET(daily_original_wrong!$B$23, 2*(ROW(B61)-ROW($B$23)),COLUMN(B61)-2)+OFFSET(daily_original_wrong!$B$23, 1+2*(ROW(B61)-ROW($B$23)),COLUMN(B61)-2)</f>
        <v>9.2133570000000001E-3</v>
      </c>
      <c r="C61">
        <f ca="1">OFFSET(daily_original_wrong!$B$23, 2*(ROW(C61)-ROW($B$23)),COLUMN(C61)-2)+OFFSET(daily_original_wrong!$B$23, 1+2*(ROW(C61)-ROW($B$23)),COLUMN(C61)-2)</f>
        <v>9.2133570000000001E-3</v>
      </c>
      <c r="D61">
        <f ca="1">OFFSET(daily_original_wrong!$B$23, 2*(ROW(D61)-ROW($B$23)),COLUMN(D61)-2)+OFFSET(daily_original_wrong!$B$23, 1+2*(ROW(D61)-ROW($B$23)),COLUMN(D61)-2)</f>
        <v>9.9427729999999985E-3</v>
      </c>
      <c r="E61">
        <f ca="1">OFFSET(daily_original_wrong!$B$23, 2*(ROW(E61)-ROW($B$23)),COLUMN(E61)-2)+OFFSET(daily_original_wrong!$B$23, 1+2*(ROW(E61)-ROW($B$23)),COLUMN(E61)-2)</f>
        <v>7.2175740000000009E-3</v>
      </c>
      <c r="F61">
        <f ca="1">OFFSET(daily_original_wrong!$B$23, 2*(ROW(F61)-ROW($B$23)),COLUMN(F61)-2)+OFFSET(daily_original_wrong!$B$23, 1+2*(ROW(F61)-ROW($B$23)),COLUMN(F61)-2)</f>
        <v>5.6404990000000002E-3</v>
      </c>
      <c r="G61">
        <f ca="1">OFFSET(daily_original_wrong!$B$23, 2*(ROW(G61)-ROW($B$23)),COLUMN(G61)-2)+OFFSET(daily_original_wrong!$B$23, 1+2*(ROW(G61)-ROW($B$23)),COLUMN(G61)-2)</f>
        <v>7.4587149999999994E-3</v>
      </c>
      <c r="H61">
        <f ca="1">OFFSET(daily_original_wrong!$B$23, 2*(ROW(H61)-ROW($B$23)),COLUMN(H61)-2)+OFFSET(daily_original_wrong!$B$23, 1+2*(ROW(H61)-ROW($B$23)),COLUMN(H61)-2)</f>
        <v>8.2162409999999991E-3</v>
      </c>
      <c r="J61" t="str">
        <f t="shared" si="1"/>
        <v>[</v>
      </c>
      <c r="K61" t="str">
        <f t="shared" ca="1" si="2"/>
        <v>[0.0046066785],</v>
      </c>
      <c r="L61" t="str">
        <f t="shared" ca="1" si="7"/>
        <v>[0.009213357],</v>
      </c>
      <c r="M61" t="str">
        <f t="shared" ca="1" si="7"/>
        <v>[0.009942773],</v>
      </c>
      <c r="N61" t="str">
        <f t="shared" ca="1" si="7"/>
        <v>[0.007217574],</v>
      </c>
      <c r="O61" t="str">
        <f t="shared" ca="1" si="7"/>
        <v>[0.005640499],</v>
      </c>
      <c r="P61" t="str">
        <f t="shared" ca="1" si="7"/>
        <v>[0.007458715],</v>
      </c>
      <c r="Q61" t="str">
        <f t="shared" ca="1" si="4"/>
        <v>[0.008216241]</v>
      </c>
      <c r="R61" t="str">
        <f t="shared" si="5"/>
        <v>]</v>
      </c>
      <c r="S61" t="str">
        <f t="shared" ca="1" si="6"/>
        <v>[[0.0046066785],[0.009213357],[0.009942773],[0.007217574],[0.005640499],[0.007458715],[0.008216241]]</v>
      </c>
    </row>
    <row r="62" spans="1:19" x14ac:dyDescent="0.2">
      <c r="A62" s="1" t="d">
        <v>2025-10-15</v>
      </c>
      <c r="B62">
        <f ca="1">OFFSET(daily_original_wrong!$B$23, 2*(ROW(B62)-ROW($B$23)),COLUMN(B62)-2)+OFFSET(daily_original_wrong!$B$23, 1+2*(ROW(B62)-ROW($B$23)),COLUMN(B62)-2)</f>
        <v>8.2342500000000002E-3</v>
      </c>
      <c r="C62">
        <f ca="1">OFFSET(daily_original_wrong!$B$23, 2*(ROW(C62)-ROW($B$23)),COLUMN(C62)-2)+OFFSET(daily_original_wrong!$B$23, 1+2*(ROW(C62)-ROW($B$23)),COLUMN(C62)-2)</f>
        <v>8.2342500000000002E-3</v>
      </c>
      <c r="D62">
        <f ca="1">OFFSET(daily_original_wrong!$B$23, 2*(ROW(D62)-ROW($B$23)),COLUMN(D62)-2)+OFFSET(daily_original_wrong!$B$23, 1+2*(ROW(D62)-ROW($B$23)),COLUMN(D62)-2)</f>
        <v>9.3477879999999992E-3</v>
      </c>
      <c r="E62">
        <f ca="1">OFFSET(daily_original_wrong!$B$23, 2*(ROW(E62)-ROW($B$23)),COLUMN(E62)-2)+OFFSET(daily_original_wrong!$B$23, 1+2*(ROW(E62)-ROW($B$23)),COLUMN(E62)-2)</f>
        <v>6.5297100000000002E-3</v>
      </c>
      <c r="F62">
        <f ca="1">OFFSET(daily_original_wrong!$B$23, 2*(ROW(F62)-ROW($B$23)),COLUMN(F62)-2)+OFFSET(daily_original_wrong!$B$23, 1+2*(ROW(F62)-ROW($B$23)),COLUMN(F62)-2)</f>
        <v>5.1037299999999999E-3</v>
      </c>
      <c r="G62">
        <f ca="1">OFFSET(daily_original_wrong!$B$23, 2*(ROW(G62)-ROW($B$23)),COLUMN(G62)-2)+OFFSET(daily_original_wrong!$B$23, 1+2*(ROW(G62)-ROW($B$23)),COLUMN(G62)-2)</f>
        <v>6.5506419999999997E-3</v>
      </c>
      <c r="H62">
        <f ca="1">OFFSET(daily_original_wrong!$B$23, 2*(ROW(H62)-ROW($B$23)),COLUMN(H62)-2)+OFFSET(daily_original_wrong!$B$23, 1+2*(ROW(H62)-ROW($B$23)),COLUMN(H62)-2)</f>
        <v>7.1433019999999998E-3</v>
      </c>
      <c r="J62" t="str">
        <f t="shared" si="1"/>
        <v>[</v>
      </c>
      <c r="K62" t="str">
        <f t="shared" ca="1" si="2"/>
        <v>[0.004117125],</v>
      </c>
      <c r="L62" t="str">
        <f t="shared" ca="1" si="7"/>
        <v>[0.00823425],</v>
      </c>
      <c r="M62" t="str">
        <f t="shared" ca="1" si="7"/>
        <v>[0.009347788],</v>
      </c>
      <c r="N62" t="str">
        <f t="shared" ca="1" si="7"/>
        <v>[0.00652971],</v>
      </c>
      <c r="O62" t="str">
        <f t="shared" ca="1" si="7"/>
        <v>[0.00510373],</v>
      </c>
      <c r="P62" t="str">
        <f t="shared" ca="1" si="7"/>
        <v>[0.006550642],</v>
      </c>
      <c r="Q62" t="str">
        <f t="shared" ca="1" si="4"/>
        <v>[0.007143302]</v>
      </c>
      <c r="R62" t="str">
        <f t="shared" si="5"/>
        <v>]</v>
      </c>
      <c r="S62" t="str">
        <f t="shared" ca="1" si="6"/>
        <v>[[0.004117125],[0.00823425],[0.009347788],[0.00652971],[0.00510373],[0.006550642],[0.007143302]]</v>
      </c>
    </row>
    <row r="63" spans="1:19" x14ac:dyDescent="0.2">
      <c r="A63" s="1" t="d">
        <v>2025-10-16</v>
      </c>
      <c r="B63">
        <f ca="1">OFFSET(daily_original_wrong!$B$23, 2*(ROW(B63)-ROW($B$23)),COLUMN(B63)-2)+OFFSET(daily_original_wrong!$B$23, 1+2*(ROW(B63)-ROW($B$23)),COLUMN(B63)-2)</f>
        <v>8.2342500000000002E-3</v>
      </c>
      <c r="C63">
        <f ca="1">OFFSET(daily_original_wrong!$B$23, 2*(ROW(C63)-ROW($B$23)),COLUMN(C63)-2)+OFFSET(daily_original_wrong!$B$23, 1+2*(ROW(C63)-ROW($B$23)),COLUMN(C63)-2)</f>
        <v>8.2342500000000002E-3</v>
      </c>
      <c r="D63">
        <f ca="1">OFFSET(daily_original_wrong!$B$23, 2*(ROW(D63)-ROW($B$23)),COLUMN(D63)-2)+OFFSET(daily_original_wrong!$B$23, 1+2*(ROW(D63)-ROW($B$23)),COLUMN(D63)-2)</f>
        <v>9.3477879999999992E-3</v>
      </c>
      <c r="E63">
        <f ca="1">OFFSET(daily_original_wrong!$B$23, 2*(ROW(E63)-ROW($B$23)),COLUMN(E63)-2)+OFFSET(daily_original_wrong!$B$23, 1+2*(ROW(E63)-ROW($B$23)),COLUMN(E63)-2)</f>
        <v>6.5297100000000002E-3</v>
      </c>
      <c r="F63">
        <f ca="1">OFFSET(daily_original_wrong!$B$23, 2*(ROW(F63)-ROW($B$23)),COLUMN(F63)-2)+OFFSET(daily_original_wrong!$B$23, 1+2*(ROW(F63)-ROW($B$23)),COLUMN(F63)-2)</f>
        <v>5.1037299999999999E-3</v>
      </c>
      <c r="G63">
        <f ca="1">OFFSET(daily_original_wrong!$B$23, 2*(ROW(G63)-ROW($B$23)),COLUMN(G63)-2)+OFFSET(daily_original_wrong!$B$23, 1+2*(ROW(G63)-ROW($B$23)),COLUMN(G63)-2)</f>
        <v>6.5506419999999997E-3</v>
      </c>
      <c r="H63">
        <f ca="1">OFFSET(daily_original_wrong!$B$23, 2*(ROW(H63)-ROW($B$23)),COLUMN(H63)-2)+OFFSET(daily_original_wrong!$B$23, 1+2*(ROW(H63)-ROW($B$23)),COLUMN(H63)-2)</f>
        <v>7.1433019999999998E-3</v>
      </c>
      <c r="J63" t="str">
        <f t="shared" si="1"/>
        <v>[</v>
      </c>
      <c r="K63" t="str">
        <f t="shared" ca="1" si="2"/>
        <v>[0.004117125],</v>
      </c>
      <c r="L63" t="str">
        <f t="shared" ca="1" si="7"/>
        <v>[0.00823425],</v>
      </c>
      <c r="M63" t="str">
        <f t="shared" ca="1" si="7"/>
        <v>[0.009347788],</v>
      </c>
      <c r="N63" t="str">
        <f t="shared" ca="1" si="7"/>
        <v>[0.00652971],</v>
      </c>
      <c r="O63" t="str">
        <f t="shared" ca="1" si="7"/>
        <v>[0.00510373],</v>
      </c>
      <c r="P63" t="str">
        <f t="shared" ca="1" si="7"/>
        <v>[0.006550642],</v>
      </c>
      <c r="Q63" t="str">
        <f t="shared" ca="1" si="4"/>
        <v>[0.007143302]</v>
      </c>
      <c r="R63" t="str">
        <f t="shared" si="5"/>
        <v>]</v>
      </c>
      <c r="S63" t="str">
        <f t="shared" ca="1" si="6"/>
        <v>[[0.004117125],[0.00823425],[0.009347788],[0.00652971],[0.00510373],[0.006550642],[0.007143302]]</v>
      </c>
    </row>
    <row r="64" spans="1:19" x14ac:dyDescent="0.2">
      <c r="A64" s="1" t="d">
        <v>2025-10-17</v>
      </c>
      <c r="B64">
        <f ca="1">OFFSET(daily_original_wrong!$B$23, 2*(ROW(B64)-ROW($B$23)),COLUMN(B64)-2)+OFFSET(daily_original_wrong!$B$23, 1+2*(ROW(B64)-ROW($B$23)),COLUMN(B64)-2)</f>
        <v>8.2342500000000002E-3</v>
      </c>
      <c r="C64">
        <f ca="1">OFFSET(daily_original_wrong!$B$23, 2*(ROW(C64)-ROW($B$23)),COLUMN(C64)-2)+OFFSET(daily_original_wrong!$B$23, 1+2*(ROW(C64)-ROW($B$23)),COLUMN(C64)-2)</f>
        <v>8.2342500000000002E-3</v>
      </c>
      <c r="D64">
        <f ca="1">OFFSET(daily_original_wrong!$B$23, 2*(ROW(D64)-ROW($B$23)),COLUMN(D64)-2)+OFFSET(daily_original_wrong!$B$23, 1+2*(ROW(D64)-ROW($B$23)),COLUMN(D64)-2)</f>
        <v>9.3477879999999992E-3</v>
      </c>
      <c r="E64">
        <f ca="1">OFFSET(daily_original_wrong!$B$23, 2*(ROW(E64)-ROW($B$23)),COLUMN(E64)-2)+OFFSET(daily_original_wrong!$B$23, 1+2*(ROW(E64)-ROW($B$23)),COLUMN(E64)-2)</f>
        <v>6.5297100000000002E-3</v>
      </c>
      <c r="F64">
        <f ca="1">OFFSET(daily_original_wrong!$B$23, 2*(ROW(F64)-ROW($B$23)),COLUMN(F64)-2)+OFFSET(daily_original_wrong!$B$23, 1+2*(ROW(F64)-ROW($B$23)),COLUMN(F64)-2)</f>
        <v>5.1037299999999999E-3</v>
      </c>
      <c r="G64">
        <f ca="1">OFFSET(daily_original_wrong!$B$23, 2*(ROW(G64)-ROW($B$23)),COLUMN(G64)-2)+OFFSET(daily_original_wrong!$B$23, 1+2*(ROW(G64)-ROW($B$23)),COLUMN(G64)-2)</f>
        <v>6.5506419999999997E-3</v>
      </c>
      <c r="H64">
        <f ca="1">OFFSET(daily_original_wrong!$B$23, 2*(ROW(H64)-ROW($B$23)),COLUMN(H64)-2)+OFFSET(daily_original_wrong!$B$23, 1+2*(ROW(H64)-ROW($B$23)),COLUMN(H64)-2)</f>
        <v>7.1433019999999998E-3</v>
      </c>
      <c r="J64" t="str">
        <f t="shared" si="1"/>
        <v>[</v>
      </c>
      <c r="K64" t="str">
        <f t="shared" ca="1" si="2"/>
        <v>[0.004117125],</v>
      </c>
      <c r="L64" t="str">
        <f t="shared" ca="1" si="7"/>
        <v>[0.00823425],</v>
      </c>
      <c r="M64" t="str">
        <f t="shared" ca="1" si="7"/>
        <v>[0.009347788],</v>
      </c>
      <c r="N64" t="str">
        <f t="shared" ca="1" si="7"/>
        <v>[0.00652971],</v>
      </c>
      <c r="O64" t="str">
        <f t="shared" ca="1" si="7"/>
        <v>[0.00510373],</v>
      </c>
      <c r="P64" t="str">
        <f t="shared" ca="1" si="7"/>
        <v>[0.006550642],</v>
      </c>
      <c r="Q64" t="str">
        <f t="shared" ca="1" si="4"/>
        <v>[0.007143302]</v>
      </c>
      <c r="R64" t="str">
        <f t="shared" si="5"/>
        <v>]</v>
      </c>
      <c r="S64" t="str">
        <f t="shared" ca="1" si="6"/>
        <v>[[0.004117125],[0.00823425],[0.009347788],[0.00652971],[0.00510373],[0.006550642],[0.007143302]]</v>
      </c>
    </row>
    <row r="65" spans="1:19" x14ac:dyDescent="0.2">
      <c r="A65" s="1" t="d">
        <v>2025-10-18</v>
      </c>
      <c r="B65">
        <f ca="1">OFFSET(daily_original_wrong!$B$23, 2*(ROW(B65)-ROW($B$23)),COLUMN(B65)-2)+OFFSET(daily_original_wrong!$B$23, 1+2*(ROW(B65)-ROW($B$23)),COLUMN(B65)-2)</f>
        <v>1.4890202E-2</v>
      </c>
      <c r="C65">
        <f ca="1">OFFSET(daily_original_wrong!$B$23, 2*(ROW(C65)-ROW($B$23)),COLUMN(C65)-2)+OFFSET(daily_original_wrong!$B$23, 1+2*(ROW(C65)-ROW($B$23)),COLUMN(C65)-2)</f>
        <v>1.4890202E-2</v>
      </c>
      <c r="D65">
        <f ca="1">OFFSET(daily_original_wrong!$B$23, 2*(ROW(D65)-ROW($B$23)),COLUMN(D65)-2)+OFFSET(daily_original_wrong!$B$23, 1+2*(ROW(D65)-ROW($B$23)),COLUMN(D65)-2)</f>
        <v>1.6814504000000001E-2</v>
      </c>
      <c r="E65">
        <f ca="1">OFFSET(daily_original_wrong!$B$23, 2*(ROW(E65)-ROW($B$23)),COLUMN(E65)-2)+OFFSET(daily_original_wrong!$B$23, 1+2*(ROW(E65)-ROW($B$23)),COLUMN(E65)-2)</f>
        <v>1.1438616E-2</v>
      </c>
      <c r="F65">
        <f ca="1">OFFSET(daily_original_wrong!$B$23, 2*(ROW(F65)-ROW($B$23)),COLUMN(F65)-2)+OFFSET(daily_original_wrong!$B$23, 1+2*(ROW(F65)-ROW($B$23)),COLUMN(F65)-2)</f>
        <v>8.8571359999999998E-3</v>
      </c>
      <c r="G65">
        <f ca="1">OFFSET(daily_original_wrong!$B$23, 2*(ROW(G65)-ROW($B$23)),COLUMN(G65)-2)+OFFSET(daily_original_wrong!$B$23, 1+2*(ROW(G65)-ROW($B$23)),COLUMN(G65)-2)</f>
        <v>1.1436E-2</v>
      </c>
      <c r="H65">
        <f ca="1">OFFSET(daily_original_wrong!$B$23, 2*(ROW(H65)-ROW($B$23)),COLUMN(H65)-2)+OFFSET(daily_original_wrong!$B$23, 1+2*(ROW(H65)-ROW($B$23)),COLUMN(H65)-2)</f>
        <v>1.216391E-2</v>
      </c>
      <c r="J65" t="str">
        <f t="shared" si="1"/>
        <v>[</v>
      </c>
      <c r="K65" t="str">
        <f t="shared" ca="1" si="2"/>
        <v>[0.007445101],</v>
      </c>
      <c r="L65" t="str">
        <f t="shared" ca="1" si="7"/>
        <v>[0.014890202],</v>
      </c>
      <c r="M65" t="str">
        <f t="shared" ca="1" si="7"/>
        <v>[0.016814504],</v>
      </c>
      <c r="N65" t="str">
        <f t="shared" ca="1" si="7"/>
        <v>[0.011438616],</v>
      </c>
      <c r="O65" t="str">
        <f t="shared" ca="1" si="7"/>
        <v>[0.008857136],</v>
      </c>
      <c r="P65" t="str">
        <f t="shared" ca="1" si="7"/>
        <v>[0.011436],</v>
      </c>
      <c r="Q65" t="str">
        <f t="shared" ca="1" si="4"/>
        <v>[0.01216391]</v>
      </c>
      <c r="R65" t="str">
        <f t="shared" si="5"/>
        <v>]</v>
      </c>
      <c r="S65" t="str">
        <f t="shared" ca="1" si="6"/>
        <v>[[0.007445101],[0.014890202],[0.016814504],[0.011438616],[0.008857136],[0.011436],[0.01216391]]</v>
      </c>
    </row>
    <row r="66" spans="1:19" x14ac:dyDescent="0.2">
      <c r="A66" s="1" t="d">
        <v>2025-10-19</v>
      </c>
      <c r="B66">
        <f ca="1">OFFSET(daily_original_wrong!$B$23, 2*(ROW(B66)-ROW($B$23)),COLUMN(B66)-2)+OFFSET(daily_original_wrong!$B$23, 1+2*(ROW(B66)-ROW($B$23)),COLUMN(B66)-2)</f>
        <v>1.4890202E-2</v>
      </c>
      <c r="C66">
        <f ca="1">OFFSET(daily_original_wrong!$B$23, 2*(ROW(C66)-ROW($B$23)),COLUMN(C66)-2)+OFFSET(daily_original_wrong!$B$23, 1+2*(ROW(C66)-ROW($B$23)),COLUMN(C66)-2)</f>
        <v>1.4890202E-2</v>
      </c>
      <c r="D66">
        <f ca="1">OFFSET(daily_original_wrong!$B$23, 2*(ROW(D66)-ROW($B$23)),COLUMN(D66)-2)+OFFSET(daily_original_wrong!$B$23, 1+2*(ROW(D66)-ROW($B$23)),COLUMN(D66)-2)</f>
        <v>1.6814504000000001E-2</v>
      </c>
      <c r="E66">
        <f ca="1">OFFSET(daily_original_wrong!$B$23, 2*(ROW(E66)-ROW($B$23)),COLUMN(E66)-2)+OFFSET(daily_original_wrong!$B$23, 1+2*(ROW(E66)-ROW($B$23)),COLUMN(E66)-2)</f>
        <v>1.1438616E-2</v>
      </c>
      <c r="F66">
        <f ca="1">OFFSET(daily_original_wrong!$B$23, 2*(ROW(F66)-ROW($B$23)),COLUMN(F66)-2)+OFFSET(daily_original_wrong!$B$23, 1+2*(ROW(F66)-ROW($B$23)),COLUMN(F66)-2)</f>
        <v>8.8571359999999998E-3</v>
      </c>
      <c r="G66">
        <f ca="1">OFFSET(daily_original_wrong!$B$23, 2*(ROW(G66)-ROW($B$23)),COLUMN(G66)-2)+OFFSET(daily_original_wrong!$B$23, 1+2*(ROW(G66)-ROW($B$23)),COLUMN(G66)-2)</f>
        <v>1.1436E-2</v>
      </c>
      <c r="H66">
        <f ca="1">OFFSET(daily_original_wrong!$B$23, 2*(ROW(H66)-ROW($B$23)),COLUMN(H66)-2)+OFFSET(daily_original_wrong!$B$23, 1+2*(ROW(H66)-ROW($B$23)),COLUMN(H66)-2)</f>
        <v>1.216391E-2</v>
      </c>
      <c r="J66" t="str">
        <f t="shared" si="1"/>
        <v>[</v>
      </c>
      <c r="K66" t="str">
        <f t="shared" ca="1" si="2"/>
        <v>[0.007445101],</v>
      </c>
      <c r="L66" t="str">
        <f t="shared" ca="1" si="7"/>
        <v>[0.014890202],</v>
      </c>
      <c r="M66" t="str">
        <f t="shared" ca="1" si="7"/>
        <v>[0.016814504],</v>
      </c>
      <c r="N66" t="str">
        <f t="shared" ca="1" si="7"/>
        <v>[0.011438616],</v>
      </c>
      <c r="O66" t="str">
        <f t="shared" ca="1" si="7"/>
        <v>[0.008857136],</v>
      </c>
      <c r="P66" t="str">
        <f t="shared" ca="1" si="7"/>
        <v>[0.011436],</v>
      </c>
      <c r="Q66" t="str">
        <f t="shared" ca="1" si="4"/>
        <v>[0.01216391]</v>
      </c>
      <c r="R66" t="str">
        <f t="shared" si="5"/>
        <v>]</v>
      </c>
      <c r="S66" t="str">
        <f t="shared" ca="1" si="6"/>
        <v>[[0.007445101],[0.014890202],[0.016814504],[0.011438616],[0.008857136],[0.011436],[0.01216391]]</v>
      </c>
    </row>
    <row r="67" spans="1:19" x14ac:dyDescent="0.2">
      <c r="A67" s="1" t="d">
        <v>2025-10-20</v>
      </c>
      <c r="B67">
        <f ca="1">OFFSET(daily_original_wrong!$B$23, 2*(ROW(B67)-ROW($B$23)),COLUMN(B67)-2)+OFFSET(daily_original_wrong!$B$23, 1+2*(ROW(B67)-ROW($B$23)),COLUMN(B67)-2)</f>
        <v>1.4890202E-2</v>
      </c>
      <c r="C67">
        <f ca="1">OFFSET(daily_original_wrong!$B$23, 2*(ROW(C67)-ROW($B$23)),COLUMN(C67)-2)+OFFSET(daily_original_wrong!$B$23, 1+2*(ROW(C67)-ROW($B$23)),COLUMN(C67)-2)</f>
        <v>1.4890202E-2</v>
      </c>
      <c r="D67">
        <f ca="1">OFFSET(daily_original_wrong!$B$23, 2*(ROW(D67)-ROW($B$23)),COLUMN(D67)-2)+OFFSET(daily_original_wrong!$B$23, 1+2*(ROW(D67)-ROW($B$23)),COLUMN(D67)-2)</f>
        <v>1.6814504000000001E-2</v>
      </c>
      <c r="E67">
        <f ca="1">OFFSET(daily_original_wrong!$B$23, 2*(ROW(E67)-ROW($B$23)),COLUMN(E67)-2)+OFFSET(daily_original_wrong!$B$23, 1+2*(ROW(E67)-ROW($B$23)),COLUMN(E67)-2)</f>
        <v>1.1438616E-2</v>
      </c>
      <c r="F67">
        <f ca="1">OFFSET(daily_original_wrong!$B$23, 2*(ROW(F67)-ROW($B$23)),COLUMN(F67)-2)+OFFSET(daily_original_wrong!$B$23, 1+2*(ROW(F67)-ROW($B$23)),COLUMN(F67)-2)</f>
        <v>8.8571359999999998E-3</v>
      </c>
      <c r="G67">
        <f ca="1">OFFSET(daily_original_wrong!$B$23, 2*(ROW(G67)-ROW($B$23)),COLUMN(G67)-2)+OFFSET(daily_original_wrong!$B$23, 1+2*(ROW(G67)-ROW($B$23)),COLUMN(G67)-2)</f>
        <v>1.1436E-2</v>
      </c>
      <c r="H67">
        <f ca="1">OFFSET(daily_original_wrong!$B$23, 2*(ROW(H67)-ROW($B$23)),COLUMN(H67)-2)+OFFSET(daily_original_wrong!$B$23, 1+2*(ROW(H67)-ROW($B$23)),COLUMN(H67)-2)</f>
        <v>1.216391E-2</v>
      </c>
      <c r="J67" t="str">
        <f t="shared" ref="J67:J130" si="8">"["</f>
        <v>[</v>
      </c>
      <c r="K67" t="str">
        <f t="shared" ref="K67:K130" ca="1" si="9">"["&amp;B67/2&amp;"],"</f>
        <v>[0.007445101],</v>
      </c>
      <c r="L67" t="str">
        <f t="shared" ca="1" si="7"/>
        <v>[0.014890202],</v>
      </c>
      <c r="M67" t="str">
        <f t="shared" ca="1" si="7"/>
        <v>[0.016814504],</v>
      </c>
      <c r="N67" t="str">
        <f t="shared" ca="1" si="7"/>
        <v>[0.011438616],</v>
      </c>
      <c r="O67" t="str">
        <f t="shared" ca="1" si="7"/>
        <v>[0.008857136],</v>
      </c>
      <c r="P67" t="str">
        <f t="shared" ca="1" si="7"/>
        <v>[0.011436],</v>
      </c>
      <c r="Q67" t="str">
        <f t="shared" ref="Q67:Q130" ca="1" si="10">"["&amp;H67&amp;"]"</f>
        <v>[0.01216391]</v>
      </c>
      <c r="R67" t="str">
        <f t="shared" ref="R67:R130" si="11">"]"</f>
        <v>]</v>
      </c>
      <c r="S67" t="str">
        <f t="shared" ref="S67:S130" ca="1" si="12">J67&amp;K67&amp;L67&amp;M67&amp;N67&amp;O67&amp;P67&amp;Q67&amp;R67</f>
        <v>[[0.007445101],[0.014890202],[0.016814504],[0.011438616],[0.008857136],[0.011436],[0.01216391]]</v>
      </c>
    </row>
    <row r="68" spans="1:19" x14ac:dyDescent="0.2">
      <c r="A68" s="1" t="d">
        <v>2025-10-21</v>
      </c>
      <c r="B68">
        <f ca="1">OFFSET(daily_original_wrong!$B$23, 2*(ROW(B68)-ROW($B$23)),COLUMN(B68)-2)+OFFSET(daily_original_wrong!$B$23, 1+2*(ROW(B68)-ROW($B$23)),COLUMN(B68)-2)</f>
        <v>1.0680299000000001E-2</v>
      </c>
      <c r="C68">
        <f ca="1">OFFSET(daily_original_wrong!$B$23, 2*(ROW(C68)-ROW($B$23)),COLUMN(C68)-2)+OFFSET(daily_original_wrong!$B$23, 1+2*(ROW(C68)-ROW($B$23)),COLUMN(C68)-2)</f>
        <v>1.0680299000000001E-2</v>
      </c>
      <c r="D68">
        <f ca="1">OFFSET(daily_original_wrong!$B$23, 2*(ROW(D68)-ROW($B$23)),COLUMN(D68)-2)+OFFSET(daily_original_wrong!$B$23, 1+2*(ROW(D68)-ROW($B$23)),COLUMN(D68)-2)</f>
        <v>1.1731349E-2</v>
      </c>
      <c r="E68">
        <f ca="1">OFFSET(daily_original_wrong!$B$23, 2*(ROW(E68)-ROW($B$23)),COLUMN(E68)-2)+OFFSET(daily_original_wrong!$B$23, 1+2*(ROW(E68)-ROW($B$23)),COLUMN(E68)-2)</f>
        <v>7.906125E-3</v>
      </c>
      <c r="F68">
        <f ca="1">OFFSET(daily_original_wrong!$B$23, 2*(ROW(F68)-ROW($B$23)),COLUMN(F68)-2)+OFFSET(daily_original_wrong!$B$23, 1+2*(ROW(F68)-ROW($B$23)),COLUMN(F68)-2)</f>
        <v>6.0402449999999996E-3</v>
      </c>
      <c r="G68">
        <f ca="1">OFFSET(daily_original_wrong!$B$23, 2*(ROW(G68)-ROW($B$23)),COLUMN(G68)-2)+OFFSET(daily_original_wrong!$B$23, 1+2*(ROW(G68)-ROW($B$23)),COLUMN(G68)-2)</f>
        <v>7.9363130000000004E-3</v>
      </c>
      <c r="H68">
        <f ca="1">OFFSET(daily_original_wrong!$B$23, 2*(ROW(H68)-ROW($B$23)),COLUMN(H68)-2)+OFFSET(daily_original_wrong!$B$23, 1+2*(ROW(H68)-ROW($B$23)),COLUMN(H68)-2)</f>
        <v>8.2806040000000004E-3</v>
      </c>
      <c r="J68" t="str">
        <f t="shared" si="8"/>
        <v>[</v>
      </c>
      <c r="K68" t="str">
        <f t="shared" ca="1" si="9"/>
        <v>[0.0053401495],</v>
      </c>
      <c r="L68" t="str">
        <f t="shared" ca="1" si="7"/>
        <v>[0.010680299],</v>
      </c>
      <c r="M68" t="str">
        <f t="shared" ca="1" si="7"/>
        <v>[0.011731349],</v>
      </c>
      <c r="N68" t="str">
        <f t="shared" ca="1" si="7"/>
        <v>[0.007906125],</v>
      </c>
      <c r="O68" t="str">
        <f t="shared" ca="1" si="7"/>
        <v>[0.006040245],</v>
      </c>
      <c r="P68" t="str">
        <f t="shared" ca="1" si="7"/>
        <v>[0.007936313],</v>
      </c>
      <c r="Q68" t="str">
        <f t="shared" ca="1" si="10"/>
        <v>[0.008280604]</v>
      </c>
      <c r="R68" t="str">
        <f t="shared" si="11"/>
        <v>]</v>
      </c>
      <c r="S68" t="str">
        <f t="shared" ca="1" si="12"/>
        <v>[[0.0053401495],[0.010680299],[0.011731349],[0.007906125],[0.006040245],[0.007936313],[0.008280604]]</v>
      </c>
    </row>
    <row r="69" spans="1:19" x14ac:dyDescent="0.2">
      <c r="A69" s="1" t="d">
        <v>2025-10-22</v>
      </c>
      <c r="B69">
        <f ca="1">OFFSET(daily_original_wrong!$B$23, 2*(ROW(B69)-ROW($B$23)),COLUMN(B69)-2)+OFFSET(daily_original_wrong!$B$23, 1+2*(ROW(B69)-ROW($B$23)),COLUMN(B69)-2)</f>
        <v>6.4703959999999998E-3</v>
      </c>
      <c r="C69">
        <f ca="1">OFFSET(daily_original_wrong!$B$23, 2*(ROW(C69)-ROW($B$23)),COLUMN(C69)-2)+OFFSET(daily_original_wrong!$B$23, 1+2*(ROW(C69)-ROW($B$23)),COLUMN(C69)-2)</f>
        <v>6.4703959999999998E-3</v>
      </c>
      <c r="D69">
        <f ca="1">OFFSET(daily_original_wrong!$B$23, 2*(ROW(D69)-ROW($B$23)),COLUMN(D69)-2)+OFFSET(daily_original_wrong!$B$23, 1+2*(ROW(D69)-ROW($B$23)),COLUMN(D69)-2)</f>
        <v>6.6481939999999996E-3</v>
      </c>
      <c r="E69">
        <f ca="1">OFFSET(daily_original_wrong!$B$23, 2*(ROW(E69)-ROW($B$23)),COLUMN(E69)-2)+OFFSET(daily_original_wrong!$B$23, 1+2*(ROW(E69)-ROW($B$23)),COLUMN(E69)-2)</f>
        <v>4.3736340000000004E-3</v>
      </c>
      <c r="F69">
        <f ca="1">OFFSET(daily_original_wrong!$B$23, 2*(ROW(F69)-ROW($B$23)),COLUMN(F69)-2)+OFFSET(daily_original_wrong!$B$23, 1+2*(ROW(F69)-ROW($B$23)),COLUMN(F69)-2)</f>
        <v>3.2233539999999999E-3</v>
      </c>
      <c r="G69">
        <f ca="1">OFFSET(daily_original_wrong!$B$23, 2*(ROW(G69)-ROW($B$23)),COLUMN(G69)-2)+OFFSET(daily_original_wrong!$B$23, 1+2*(ROW(G69)-ROW($B$23)),COLUMN(G69)-2)</f>
        <v>4.4366259999999999E-3</v>
      </c>
      <c r="H69">
        <f ca="1">OFFSET(daily_original_wrong!$B$23, 2*(ROW(H69)-ROW($B$23)),COLUMN(H69)-2)+OFFSET(daily_original_wrong!$B$23, 1+2*(ROW(H69)-ROW($B$23)),COLUMN(H69)-2)</f>
        <v>4.397298E-3</v>
      </c>
      <c r="J69" t="str">
        <f t="shared" si="8"/>
        <v>[</v>
      </c>
      <c r="K69" t="str">
        <f t="shared" ca="1" si="9"/>
        <v>[0.003235198],</v>
      </c>
      <c r="L69" t="str">
        <f t="shared" ca="1" si="7"/>
        <v>[0.006470396],</v>
      </c>
      <c r="M69" t="str">
        <f t="shared" ca="1" si="7"/>
        <v>[0.006648194],</v>
      </c>
      <c r="N69" t="str">
        <f t="shared" ca="1" si="7"/>
        <v>[0.004373634],</v>
      </c>
      <c r="O69" t="str">
        <f t="shared" ca="1" si="7"/>
        <v>[0.003223354],</v>
      </c>
      <c r="P69" t="str">
        <f t="shared" ca="1" si="7"/>
        <v>[0.004436626],</v>
      </c>
      <c r="Q69" t="str">
        <f t="shared" ca="1" si="10"/>
        <v>[0.004397298]</v>
      </c>
      <c r="R69" t="str">
        <f t="shared" si="11"/>
        <v>]</v>
      </c>
      <c r="S69" t="str">
        <f t="shared" ca="1" si="12"/>
        <v>[[0.003235198],[0.006470396],[0.006648194],[0.004373634],[0.003223354],[0.004436626],[0.004397298]]</v>
      </c>
    </row>
    <row r="70" spans="1:19" x14ac:dyDescent="0.2">
      <c r="A70" s="1" t="d">
        <v>2025-10-23</v>
      </c>
      <c r="B70">
        <f ca="1">OFFSET(daily_original_wrong!$B$23, 2*(ROW(B70)-ROW($B$23)),COLUMN(B70)-2)+OFFSET(daily_original_wrong!$B$23, 1+2*(ROW(B70)-ROW($B$23)),COLUMN(B70)-2)</f>
        <v>6.4703959999999998E-3</v>
      </c>
      <c r="C70">
        <f ca="1">OFFSET(daily_original_wrong!$B$23, 2*(ROW(C70)-ROW($B$23)),COLUMN(C70)-2)+OFFSET(daily_original_wrong!$B$23, 1+2*(ROW(C70)-ROW($B$23)),COLUMN(C70)-2)</f>
        <v>6.4703959999999998E-3</v>
      </c>
      <c r="D70">
        <f ca="1">OFFSET(daily_original_wrong!$B$23, 2*(ROW(D70)-ROW($B$23)),COLUMN(D70)-2)+OFFSET(daily_original_wrong!$B$23, 1+2*(ROW(D70)-ROW($B$23)),COLUMN(D70)-2)</f>
        <v>6.6481939999999996E-3</v>
      </c>
      <c r="E70">
        <f ca="1">OFFSET(daily_original_wrong!$B$23, 2*(ROW(E70)-ROW($B$23)),COLUMN(E70)-2)+OFFSET(daily_original_wrong!$B$23, 1+2*(ROW(E70)-ROW($B$23)),COLUMN(E70)-2)</f>
        <v>4.3736340000000004E-3</v>
      </c>
      <c r="F70">
        <f ca="1">OFFSET(daily_original_wrong!$B$23, 2*(ROW(F70)-ROW($B$23)),COLUMN(F70)-2)+OFFSET(daily_original_wrong!$B$23, 1+2*(ROW(F70)-ROW($B$23)),COLUMN(F70)-2)</f>
        <v>3.2233539999999999E-3</v>
      </c>
      <c r="G70">
        <f ca="1">OFFSET(daily_original_wrong!$B$23, 2*(ROW(G70)-ROW($B$23)),COLUMN(G70)-2)+OFFSET(daily_original_wrong!$B$23, 1+2*(ROW(G70)-ROW($B$23)),COLUMN(G70)-2)</f>
        <v>4.4366259999999999E-3</v>
      </c>
      <c r="H70">
        <f ca="1">OFFSET(daily_original_wrong!$B$23, 2*(ROW(H70)-ROW($B$23)),COLUMN(H70)-2)+OFFSET(daily_original_wrong!$B$23, 1+2*(ROW(H70)-ROW($B$23)),COLUMN(H70)-2)</f>
        <v>4.397298E-3</v>
      </c>
      <c r="J70" t="str">
        <f t="shared" si="8"/>
        <v>[</v>
      </c>
      <c r="K70" t="str">
        <f t="shared" ca="1" si="9"/>
        <v>[0.003235198],</v>
      </c>
      <c r="L70" t="str">
        <f t="shared" ca="1" si="7"/>
        <v>[0.006470396],</v>
      </c>
      <c r="M70" t="str">
        <f t="shared" ca="1" si="7"/>
        <v>[0.006648194],</v>
      </c>
      <c r="N70" t="str">
        <f t="shared" ca="1" si="7"/>
        <v>[0.004373634],</v>
      </c>
      <c r="O70" t="str">
        <f t="shared" ca="1" si="7"/>
        <v>[0.003223354],</v>
      </c>
      <c r="P70" t="str">
        <f t="shared" ca="1" si="7"/>
        <v>[0.004436626],</v>
      </c>
      <c r="Q70" t="str">
        <f t="shared" ca="1" si="10"/>
        <v>[0.004397298]</v>
      </c>
      <c r="R70" t="str">
        <f t="shared" si="11"/>
        <v>]</v>
      </c>
      <c r="S70" t="str">
        <f t="shared" ca="1" si="12"/>
        <v>[[0.003235198],[0.006470396],[0.006648194],[0.004373634],[0.003223354],[0.004436626],[0.004397298]]</v>
      </c>
    </row>
    <row r="71" spans="1:19" x14ac:dyDescent="0.2">
      <c r="A71" s="1" t="d">
        <v>2025-10-24</v>
      </c>
      <c r="B71">
        <f ca="1">OFFSET(daily_original_wrong!$B$23, 2*(ROW(B71)-ROW($B$23)),COLUMN(B71)-2)+OFFSET(daily_original_wrong!$B$23, 1+2*(ROW(B71)-ROW($B$23)),COLUMN(B71)-2)</f>
        <v>6.4703959999999998E-3</v>
      </c>
      <c r="C71">
        <f ca="1">OFFSET(daily_original_wrong!$B$23, 2*(ROW(C71)-ROW($B$23)),COLUMN(C71)-2)+OFFSET(daily_original_wrong!$B$23, 1+2*(ROW(C71)-ROW($B$23)),COLUMN(C71)-2)</f>
        <v>6.4703959999999998E-3</v>
      </c>
      <c r="D71">
        <f ca="1">OFFSET(daily_original_wrong!$B$23, 2*(ROW(D71)-ROW($B$23)),COLUMN(D71)-2)+OFFSET(daily_original_wrong!$B$23, 1+2*(ROW(D71)-ROW($B$23)),COLUMN(D71)-2)</f>
        <v>6.6481939999999996E-3</v>
      </c>
      <c r="E71">
        <f ca="1">OFFSET(daily_original_wrong!$B$23, 2*(ROW(E71)-ROW($B$23)),COLUMN(E71)-2)+OFFSET(daily_original_wrong!$B$23, 1+2*(ROW(E71)-ROW($B$23)),COLUMN(E71)-2)</f>
        <v>4.3736340000000004E-3</v>
      </c>
      <c r="F71">
        <f ca="1">OFFSET(daily_original_wrong!$B$23, 2*(ROW(F71)-ROW($B$23)),COLUMN(F71)-2)+OFFSET(daily_original_wrong!$B$23, 1+2*(ROW(F71)-ROW($B$23)),COLUMN(F71)-2)</f>
        <v>3.2233539999999999E-3</v>
      </c>
      <c r="G71">
        <f ca="1">OFFSET(daily_original_wrong!$B$23, 2*(ROW(G71)-ROW($B$23)),COLUMN(G71)-2)+OFFSET(daily_original_wrong!$B$23, 1+2*(ROW(G71)-ROW($B$23)),COLUMN(G71)-2)</f>
        <v>4.4366259999999999E-3</v>
      </c>
      <c r="H71">
        <f ca="1">OFFSET(daily_original_wrong!$B$23, 2*(ROW(H71)-ROW($B$23)),COLUMN(H71)-2)+OFFSET(daily_original_wrong!$B$23, 1+2*(ROW(H71)-ROW($B$23)),COLUMN(H71)-2)</f>
        <v>4.397298E-3</v>
      </c>
      <c r="J71" t="str">
        <f t="shared" si="8"/>
        <v>[</v>
      </c>
      <c r="K71" t="str">
        <f t="shared" ca="1" si="9"/>
        <v>[0.003235198],</v>
      </c>
      <c r="L71" t="str">
        <f t="shared" ca="1" si="7"/>
        <v>[0.006470396],</v>
      </c>
      <c r="M71" t="str">
        <f t="shared" ca="1" si="7"/>
        <v>[0.006648194],</v>
      </c>
      <c r="N71" t="str">
        <f t="shared" ca="1" si="7"/>
        <v>[0.004373634],</v>
      </c>
      <c r="O71" t="str">
        <f t="shared" ca="1" si="7"/>
        <v>[0.003223354],</v>
      </c>
      <c r="P71" t="str">
        <f t="shared" ca="1" si="7"/>
        <v>[0.004436626],</v>
      </c>
      <c r="Q71" t="str">
        <f t="shared" ca="1" si="10"/>
        <v>[0.004397298]</v>
      </c>
      <c r="R71" t="str">
        <f t="shared" si="11"/>
        <v>]</v>
      </c>
      <c r="S71" t="str">
        <f t="shared" ca="1" si="12"/>
        <v>[[0.003235198],[0.006470396],[0.006648194],[0.004373634],[0.003223354],[0.004436626],[0.004397298]]</v>
      </c>
    </row>
    <row r="72" spans="1:19" x14ac:dyDescent="0.2">
      <c r="A72" s="1" t="d">
        <v>2025-10-25</v>
      </c>
      <c r="B72">
        <f ca="1">OFFSET(daily_original_wrong!$B$23, 2*(ROW(B72)-ROW($B$23)),COLUMN(B72)-2)+OFFSET(daily_original_wrong!$B$23, 1+2*(ROW(B72)-ROW($B$23)),COLUMN(B72)-2)</f>
        <v>5.926822E-3</v>
      </c>
      <c r="C72">
        <f ca="1">OFFSET(daily_original_wrong!$B$23, 2*(ROW(C72)-ROW($B$23)),COLUMN(C72)-2)+OFFSET(daily_original_wrong!$B$23, 1+2*(ROW(C72)-ROW($B$23)),COLUMN(C72)-2)</f>
        <v>5.926822E-3</v>
      </c>
      <c r="D72">
        <f ca="1">OFFSET(daily_original_wrong!$B$23, 2*(ROW(D72)-ROW($B$23)),COLUMN(D72)-2)+OFFSET(daily_original_wrong!$B$23, 1+2*(ROW(D72)-ROW($B$23)),COLUMN(D72)-2)</f>
        <v>5.2560159999999996E-3</v>
      </c>
      <c r="E72">
        <f ca="1">OFFSET(daily_original_wrong!$B$23, 2*(ROW(E72)-ROW($B$23)),COLUMN(E72)-2)+OFFSET(daily_original_wrong!$B$23, 1+2*(ROW(E72)-ROW($B$23)),COLUMN(E72)-2)</f>
        <v>3.4075939999999999E-3</v>
      </c>
      <c r="F72">
        <f ca="1">OFFSET(daily_original_wrong!$B$23, 2*(ROW(F72)-ROW($B$23)),COLUMN(F72)-2)+OFFSET(daily_original_wrong!$B$23, 1+2*(ROW(F72)-ROW($B$23)),COLUMN(F72)-2)</f>
        <v>2.3256119999999999E-3</v>
      </c>
      <c r="G72">
        <f ca="1">OFFSET(daily_original_wrong!$B$23, 2*(ROW(G72)-ROW($B$23)),COLUMN(G72)-2)+OFFSET(daily_original_wrong!$B$23, 1+2*(ROW(G72)-ROW($B$23)),COLUMN(G72)-2)</f>
        <v>3.5686160000000001E-3</v>
      </c>
      <c r="H72">
        <f ca="1">OFFSET(daily_original_wrong!$B$23, 2*(ROW(H72)-ROW($B$23)),COLUMN(H72)-2)+OFFSET(daily_original_wrong!$B$23, 1+2*(ROW(H72)-ROW($B$23)),COLUMN(H72)-2)</f>
        <v>3.2559500000000001E-3</v>
      </c>
      <c r="J72" t="str">
        <f t="shared" si="8"/>
        <v>[</v>
      </c>
      <c r="K72" t="str">
        <f t="shared" ca="1" si="9"/>
        <v>[0.002963411],</v>
      </c>
      <c r="L72" t="str">
        <f t="shared" ca="1" si="7"/>
        <v>[0.005926822],</v>
      </c>
      <c r="M72" t="str">
        <f t="shared" ca="1" si="7"/>
        <v>[0.005256016],</v>
      </c>
      <c r="N72" t="str">
        <f t="shared" ca="1" si="7"/>
        <v>[0.003407594],</v>
      </c>
      <c r="O72" t="str">
        <f t="shared" ca="1" si="7"/>
        <v>[0.002325612],</v>
      </c>
      <c r="P72" t="str">
        <f t="shared" ca="1" si="7"/>
        <v>[0.003568616],</v>
      </c>
      <c r="Q72" t="str">
        <f t="shared" ca="1" si="10"/>
        <v>[0.00325595]</v>
      </c>
      <c r="R72" t="str">
        <f t="shared" si="11"/>
        <v>]</v>
      </c>
      <c r="S72" t="str">
        <f t="shared" ca="1" si="12"/>
        <v>[[0.002963411],[0.005926822],[0.005256016],[0.003407594],[0.002325612],[0.003568616],[0.00325595]]</v>
      </c>
    </row>
    <row r="73" spans="1:19" x14ac:dyDescent="0.2">
      <c r="A73" s="1" t="d">
        <v>2025-10-26</v>
      </c>
      <c r="B73">
        <f ca="1">OFFSET(daily_original_wrong!$B$23, 2*(ROW(B73)-ROW($B$23)),COLUMN(B73)-2)+OFFSET(daily_original_wrong!$B$23, 1+2*(ROW(B73)-ROW($B$23)),COLUMN(B73)-2)</f>
        <v>5.926822E-3</v>
      </c>
      <c r="C73">
        <f ca="1">OFFSET(daily_original_wrong!$B$23, 2*(ROW(C73)-ROW($B$23)),COLUMN(C73)-2)+OFFSET(daily_original_wrong!$B$23, 1+2*(ROW(C73)-ROW($B$23)),COLUMN(C73)-2)</f>
        <v>5.926822E-3</v>
      </c>
      <c r="D73">
        <f ca="1">OFFSET(daily_original_wrong!$B$23, 2*(ROW(D73)-ROW($B$23)),COLUMN(D73)-2)+OFFSET(daily_original_wrong!$B$23, 1+2*(ROW(D73)-ROW($B$23)),COLUMN(D73)-2)</f>
        <v>5.2560159999999996E-3</v>
      </c>
      <c r="E73">
        <f ca="1">OFFSET(daily_original_wrong!$B$23, 2*(ROW(E73)-ROW($B$23)),COLUMN(E73)-2)+OFFSET(daily_original_wrong!$B$23, 1+2*(ROW(E73)-ROW($B$23)),COLUMN(E73)-2)</f>
        <v>3.4075939999999999E-3</v>
      </c>
      <c r="F73">
        <f ca="1">OFFSET(daily_original_wrong!$B$23, 2*(ROW(F73)-ROW($B$23)),COLUMN(F73)-2)+OFFSET(daily_original_wrong!$B$23, 1+2*(ROW(F73)-ROW($B$23)),COLUMN(F73)-2)</f>
        <v>2.3256119999999999E-3</v>
      </c>
      <c r="G73">
        <f ca="1">OFFSET(daily_original_wrong!$B$23, 2*(ROW(G73)-ROW($B$23)),COLUMN(G73)-2)+OFFSET(daily_original_wrong!$B$23, 1+2*(ROW(G73)-ROW($B$23)),COLUMN(G73)-2)</f>
        <v>3.5686160000000001E-3</v>
      </c>
      <c r="H73">
        <f ca="1">OFFSET(daily_original_wrong!$B$23, 2*(ROW(H73)-ROW($B$23)),COLUMN(H73)-2)+OFFSET(daily_original_wrong!$B$23, 1+2*(ROW(H73)-ROW($B$23)),COLUMN(H73)-2)</f>
        <v>3.2559500000000001E-3</v>
      </c>
      <c r="J73" t="str">
        <f t="shared" si="8"/>
        <v>[</v>
      </c>
      <c r="K73" t="str">
        <f t="shared" ca="1" si="9"/>
        <v>[0.002963411],</v>
      </c>
      <c r="L73" t="str">
        <f t="shared" ca="1" si="7"/>
        <v>[0.005926822],</v>
      </c>
      <c r="M73" t="str">
        <f t="shared" ca="1" si="7"/>
        <v>[0.005256016],</v>
      </c>
      <c r="N73" t="str">
        <f t="shared" ca="1" si="7"/>
        <v>[0.003407594],</v>
      </c>
      <c r="O73" t="str">
        <f t="shared" ca="1" si="7"/>
        <v>[0.002325612],</v>
      </c>
      <c r="P73" t="str">
        <f t="shared" ca="1" si="7"/>
        <v>[0.003568616],</v>
      </c>
      <c r="Q73" t="str">
        <f t="shared" ca="1" si="10"/>
        <v>[0.00325595]</v>
      </c>
      <c r="R73" t="str">
        <f t="shared" si="11"/>
        <v>]</v>
      </c>
      <c r="S73" t="str">
        <f t="shared" ca="1" si="12"/>
        <v>[[0.002963411],[0.005926822],[0.005256016],[0.003407594],[0.002325612],[0.003568616],[0.00325595]]</v>
      </c>
    </row>
    <row r="74" spans="1:19" x14ac:dyDescent="0.2">
      <c r="A74" s="1" t="d">
        <v>2025-10-27</v>
      </c>
      <c r="B74">
        <f ca="1">OFFSET(daily_original_wrong!$B$23, 2*(ROW(B74)-ROW($B$23)),COLUMN(B74)-2)+OFFSET(daily_original_wrong!$B$23, 1+2*(ROW(B74)-ROW($B$23)),COLUMN(B74)-2)</f>
        <v>5.926822E-3</v>
      </c>
      <c r="C74">
        <f ca="1">OFFSET(daily_original_wrong!$B$23, 2*(ROW(C74)-ROW($B$23)),COLUMN(C74)-2)+OFFSET(daily_original_wrong!$B$23, 1+2*(ROW(C74)-ROW($B$23)),COLUMN(C74)-2)</f>
        <v>5.926822E-3</v>
      </c>
      <c r="D74">
        <f ca="1">OFFSET(daily_original_wrong!$B$23, 2*(ROW(D74)-ROW($B$23)),COLUMN(D74)-2)+OFFSET(daily_original_wrong!$B$23, 1+2*(ROW(D74)-ROW($B$23)),COLUMN(D74)-2)</f>
        <v>5.2560159999999996E-3</v>
      </c>
      <c r="E74">
        <f ca="1">OFFSET(daily_original_wrong!$B$23, 2*(ROW(E74)-ROW($B$23)),COLUMN(E74)-2)+OFFSET(daily_original_wrong!$B$23, 1+2*(ROW(E74)-ROW($B$23)),COLUMN(E74)-2)</f>
        <v>3.4075939999999999E-3</v>
      </c>
      <c r="F74">
        <f ca="1">OFFSET(daily_original_wrong!$B$23, 2*(ROW(F74)-ROW($B$23)),COLUMN(F74)-2)+OFFSET(daily_original_wrong!$B$23, 1+2*(ROW(F74)-ROW($B$23)),COLUMN(F74)-2)</f>
        <v>2.3256119999999999E-3</v>
      </c>
      <c r="G74">
        <f ca="1">OFFSET(daily_original_wrong!$B$23, 2*(ROW(G74)-ROW($B$23)),COLUMN(G74)-2)+OFFSET(daily_original_wrong!$B$23, 1+2*(ROW(G74)-ROW($B$23)),COLUMN(G74)-2)</f>
        <v>3.5686160000000001E-3</v>
      </c>
      <c r="H74">
        <f ca="1">OFFSET(daily_original_wrong!$B$23, 2*(ROW(H74)-ROW($B$23)),COLUMN(H74)-2)+OFFSET(daily_original_wrong!$B$23, 1+2*(ROW(H74)-ROW($B$23)),COLUMN(H74)-2)</f>
        <v>3.2559500000000001E-3</v>
      </c>
      <c r="J74" t="str">
        <f t="shared" si="8"/>
        <v>[</v>
      </c>
      <c r="K74" t="str">
        <f t="shared" ca="1" si="9"/>
        <v>[0.002963411],</v>
      </c>
      <c r="L74" t="str">
        <f t="shared" ca="1" si="7"/>
        <v>[0.005926822],</v>
      </c>
      <c r="M74" t="str">
        <f t="shared" ca="1" si="7"/>
        <v>[0.005256016],</v>
      </c>
      <c r="N74" t="str">
        <f t="shared" ca="1" si="7"/>
        <v>[0.003407594],</v>
      </c>
      <c r="O74" t="str">
        <f t="shared" ca="1" si="7"/>
        <v>[0.002325612],</v>
      </c>
      <c r="P74" t="str">
        <f t="shared" ca="1" si="7"/>
        <v>[0.003568616],</v>
      </c>
      <c r="Q74" t="str">
        <f t="shared" ca="1" si="10"/>
        <v>[0.00325595]</v>
      </c>
      <c r="R74" t="str">
        <f t="shared" si="11"/>
        <v>]</v>
      </c>
      <c r="S74" t="str">
        <f t="shared" ca="1" si="12"/>
        <v>[[0.002963411],[0.005926822],[0.005256016],[0.003407594],[0.002325612],[0.003568616],[0.00325595]]</v>
      </c>
    </row>
    <row r="75" spans="1:19" x14ac:dyDescent="0.2">
      <c r="A75" s="1" t="d">
        <v>2025-10-28</v>
      </c>
      <c r="B75">
        <f ca="1">OFFSET(daily_original_wrong!$B$23, 2*(ROW(B75)-ROW($B$23)),COLUMN(B75)-2)+OFFSET(daily_original_wrong!$B$23, 1+2*(ROW(B75)-ROW($B$23)),COLUMN(B75)-2)</f>
        <v>5.6660189999999996E-3</v>
      </c>
      <c r="C75">
        <f ca="1">OFFSET(daily_original_wrong!$B$23, 2*(ROW(C75)-ROW($B$23)),COLUMN(C75)-2)+OFFSET(daily_original_wrong!$B$23, 1+2*(ROW(C75)-ROW($B$23)),COLUMN(C75)-2)</f>
        <v>5.6660189999999996E-3</v>
      </c>
      <c r="D75">
        <f ca="1">OFFSET(daily_original_wrong!$B$23, 2*(ROW(D75)-ROW($B$23)),COLUMN(D75)-2)+OFFSET(daily_original_wrong!$B$23, 1+2*(ROW(D75)-ROW($B$23)),COLUMN(D75)-2)</f>
        <v>4.6926750000000003E-3</v>
      </c>
      <c r="E75">
        <f ca="1">OFFSET(daily_original_wrong!$B$23, 2*(ROW(E75)-ROW($B$23)),COLUMN(E75)-2)+OFFSET(daily_original_wrong!$B$23, 1+2*(ROW(E75)-ROW($B$23)),COLUMN(E75)-2)</f>
        <v>3.0285849999999999E-3</v>
      </c>
      <c r="F75">
        <f ca="1">OFFSET(daily_original_wrong!$B$23, 2*(ROW(F75)-ROW($B$23)),COLUMN(F75)-2)+OFFSET(daily_original_wrong!$B$23, 1+2*(ROW(F75)-ROW($B$23)),COLUMN(F75)-2)</f>
        <v>1.9989349999999999E-3</v>
      </c>
      <c r="G75">
        <f ca="1">OFFSET(daily_original_wrong!$B$23, 2*(ROW(G75)-ROW($B$23)),COLUMN(G75)-2)+OFFSET(daily_original_wrong!$B$23, 1+2*(ROW(G75)-ROW($B$23)),COLUMN(G75)-2)</f>
        <v>3.2334640000000001E-3</v>
      </c>
      <c r="H75">
        <f ca="1">OFFSET(daily_original_wrong!$B$23, 2*(ROW(H75)-ROW($B$23)),COLUMN(H75)-2)+OFFSET(daily_original_wrong!$B$23, 1+2*(ROW(H75)-ROW($B$23)),COLUMN(H75)-2)</f>
        <v>2.8480370000000003E-3</v>
      </c>
      <c r="J75" t="str">
        <f t="shared" si="8"/>
        <v>[</v>
      </c>
      <c r="K75" t="str">
        <f t="shared" ca="1" si="9"/>
        <v>[0.0028330095],</v>
      </c>
      <c r="L75" t="str">
        <f t="shared" ca="1" si="7"/>
        <v>[0.005666019],</v>
      </c>
      <c r="M75" t="str">
        <f t="shared" ca="1" si="7"/>
        <v>[0.004692675],</v>
      </c>
      <c r="N75" t="str">
        <f t="shared" ca="1" si="7"/>
        <v>[0.003028585],</v>
      </c>
      <c r="O75" t="str">
        <f t="shared" ca="1" si="7"/>
        <v>[0.001998935],</v>
      </c>
      <c r="P75" t="str">
        <f t="shared" ca="1" si="7"/>
        <v>[0.003233464],</v>
      </c>
      <c r="Q75" t="str">
        <f t="shared" ca="1" si="10"/>
        <v>[0.002848037]</v>
      </c>
      <c r="R75" t="str">
        <f t="shared" si="11"/>
        <v>]</v>
      </c>
      <c r="S75" t="str">
        <f t="shared" ca="1" si="12"/>
        <v>[[0.0028330095],[0.005666019],[0.004692675],[0.003028585],[0.001998935],[0.003233464],[0.002848037]]</v>
      </c>
    </row>
    <row r="76" spans="1:19" x14ac:dyDescent="0.2">
      <c r="A76" s="1" t="d">
        <v>2025-10-29</v>
      </c>
      <c r="B76">
        <f ca="1">OFFSET(daily_original_wrong!$B$23, 2*(ROW(B76)-ROW($B$23)),COLUMN(B76)-2)+OFFSET(daily_original_wrong!$B$23, 1+2*(ROW(B76)-ROW($B$23)),COLUMN(B76)-2)</f>
        <v>5.405216E-3</v>
      </c>
      <c r="C76">
        <f ca="1">OFFSET(daily_original_wrong!$B$23, 2*(ROW(C76)-ROW($B$23)),COLUMN(C76)-2)+OFFSET(daily_original_wrong!$B$23, 1+2*(ROW(C76)-ROW($B$23)),COLUMN(C76)-2)</f>
        <v>5.405216E-3</v>
      </c>
      <c r="D76">
        <f ca="1">OFFSET(daily_original_wrong!$B$23, 2*(ROW(D76)-ROW($B$23)),COLUMN(D76)-2)+OFFSET(daily_original_wrong!$B$23, 1+2*(ROW(D76)-ROW($B$23)),COLUMN(D76)-2)</f>
        <v>4.1293340000000001E-3</v>
      </c>
      <c r="E76">
        <f ca="1">OFFSET(daily_original_wrong!$B$23, 2*(ROW(E76)-ROW($B$23)),COLUMN(E76)-2)+OFFSET(daily_original_wrong!$B$23, 1+2*(ROW(E76)-ROW($B$23)),COLUMN(E76)-2)</f>
        <v>2.6495759999999998E-3</v>
      </c>
      <c r="F76">
        <f ca="1">OFFSET(daily_original_wrong!$B$23, 2*(ROW(F76)-ROW($B$23)),COLUMN(F76)-2)+OFFSET(daily_original_wrong!$B$23, 1+2*(ROW(F76)-ROW($B$23)),COLUMN(F76)-2)</f>
        <v>1.672258E-3</v>
      </c>
      <c r="G76">
        <f ca="1">OFFSET(daily_original_wrong!$B$23, 2*(ROW(G76)-ROW($B$23)),COLUMN(G76)-2)+OFFSET(daily_original_wrong!$B$23, 1+2*(ROW(G76)-ROW($B$23)),COLUMN(G76)-2)</f>
        <v>2.8983120000000001E-3</v>
      </c>
      <c r="H76">
        <f ca="1">OFFSET(daily_original_wrong!$B$23, 2*(ROW(H76)-ROW($B$23)),COLUMN(H76)-2)+OFFSET(daily_original_wrong!$B$23, 1+2*(ROW(H76)-ROW($B$23)),COLUMN(H76)-2)</f>
        <v>2.4401240000000001E-3</v>
      </c>
      <c r="J76" t="str">
        <f t="shared" si="8"/>
        <v>[</v>
      </c>
      <c r="K76" t="str">
        <f t="shared" ca="1" si="9"/>
        <v>[0.002702608],</v>
      </c>
      <c r="L76" t="str">
        <f t="shared" ca="1" si="7"/>
        <v>[0.005405216],</v>
      </c>
      <c r="M76" t="str">
        <f t="shared" ca="1" si="7"/>
        <v>[0.004129334],</v>
      </c>
      <c r="N76" t="str">
        <f t="shared" ca="1" si="7"/>
        <v>[0.002649576],</v>
      </c>
      <c r="O76" t="str">
        <f t="shared" ca="1" si="7"/>
        <v>[0.001672258],</v>
      </c>
      <c r="P76" t="str">
        <f t="shared" ca="1" si="7"/>
        <v>[0.002898312],</v>
      </c>
      <c r="Q76" t="str">
        <f t="shared" ca="1" si="10"/>
        <v>[0.002440124]</v>
      </c>
      <c r="R76" t="str">
        <f t="shared" si="11"/>
        <v>]</v>
      </c>
      <c r="S76" t="str">
        <f t="shared" ca="1" si="12"/>
        <v>[[0.002702608],[0.005405216],[0.004129334],[0.002649576],[0.001672258],[0.002898312],[0.002440124]]</v>
      </c>
    </row>
    <row r="77" spans="1:19" x14ac:dyDescent="0.2">
      <c r="A77" s="1" t="d">
        <v>2025-10-30</v>
      </c>
      <c r="B77">
        <f ca="1">OFFSET(daily_original_wrong!$B$23, 2*(ROW(B77)-ROW($B$23)),COLUMN(B77)-2)+OFFSET(daily_original_wrong!$B$23, 1+2*(ROW(B77)-ROW($B$23)),COLUMN(B77)-2)</f>
        <v>5.405216E-3</v>
      </c>
      <c r="C77">
        <f ca="1">OFFSET(daily_original_wrong!$B$23, 2*(ROW(C77)-ROW($B$23)),COLUMN(C77)-2)+OFFSET(daily_original_wrong!$B$23, 1+2*(ROW(C77)-ROW($B$23)),COLUMN(C77)-2)</f>
        <v>5.405216E-3</v>
      </c>
      <c r="D77">
        <f ca="1">OFFSET(daily_original_wrong!$B$23, 2*(ROW(D77)-ROW($B$23)),COLUMN(D77)-2)+OFFSET(daily_original_wrong!$B$23, 1+2*(ROW(D77)-ROW($B$23)),COLUMN(D77)-2)</f>
        <v>4.1293340000000001E-3</v>
      </c>
      <c r="E77">
        <f ca="1">OFFSET(daily_original_wrong!$B$23, 2*(ROW(E77)-ROW($B$23)),COLUMN(E77)-2)+OFFSET(daily_original_wrong!$B$23, 1+2*(ROW(E77)-ROW($B$23)),COLUMN(E77)-2)</f>
        <v>2.6495759999999998E-3</v>
      </c>
      <c r="F77">
        <f ca="1">OFFSET(daily_original_wrong!$B$23, 2*(ROW(F77)-ROW($B$23)),COLUMN(F77)-2)+OFFSET(daily_original_wrong!$B$23, 1+2*(ROW(F77)-ROW($B$23)),COLUMN(F77)-2)</f>
        <v>1.672258E-3</v>
      </c>
      <c r="G77">
        <f ca="1">OFFSET(daily_original_wrong!$B$23, 2*(ROW(G77)-ROW($B$23)),COLUMN(G77)-2)+OFFSET(daily_original_wrong!$B$23, 1+2*(ROW(G77)-ROW($B$23)),COLUMN(G77)-2)</f>
        <v>2.8983120000000001E-3</v>
      </c>
      <c r="H77">
        <f ca="1">OFFSET(daily_original_wrong!$B$23, 2*(ROW(H77)-ROW($B$23)),COLUMN(H77)-2)+OFFSET(daily_original_wrong!$B$23, 1+2*(ROW(H77)-ROW($B$23)),COLUMN(H77)-2)</f>
        <v>2.4401240000000001E-3</v>
      </c>
      <c r="J77" t="str">
        <f t="shared" si="8"/>
        <v>[</v>
      </c>
      <c r="K77" t="str">
        <f t="shared" ca="1" si="9"/>
        <v>[0.002702608],</v>
      </c>
      <c r="L77" t="str">
        <f t="shared" ca="1" si="7"/>
        <v>[0.005405216],</v>
      </c>
      <c r="M77" t="str">
        <f t="shared" ca="1" si="7"/>
        <v>[0.004129334],</v>
      </c>
      <c r="N77" t="str">
        <f t="shared" ca="1" si="7"/>
        <v>[0.002649576],</v>
      </c>
      <c r="O77" t="str">
        <f t="shared" ca="1" si="7"/>
        <v>[0.001672258],</v>
      </c>
      <c r="P77" t="str">
        <f t="shared" ca="1" si="7"/>
        <v>[0.002898312],</v>
      </c>
      <c r="Q77" t="str">
        <f t="shared" ca="1" si="10"/>
        <v>[0.002440124]</v>
      </c>
      <c r="R77" t="str">
        <f t="shared" si="11"/>
        <v>]</v>
      </c>
      <c r="S77" t="str">
        <f t="shared" ca="1" si="12"/>
        <v>[[0.002702608],[0.005405216],[0.004129334],[0.002649576],[0.001672258],[0.002898312],[0.002440124]]</v>
      </c>
    </row>
    <row r="78" spans="1:19" x14ac:dyDescent="0.2">
      <c r="A78" s="1" t="d">
        <v>2025-10-31</v>
      </c>
      <c r="B78">
        <f ca="1">OFFSET(daily_original_wrong!$B$23, 2*(ROW(B78)-ROW($B$23)),COLUMN(B78)-2)+OFFSET(daily_original_wrong!$B$23, 1+2*(ROW(B78)-ROW($B$23)),COLUMN(B78)-2)</f>
        <v>5.405216E-3</v>
      </c>
      <c r="C78">
        <f ca="1">OFFSET(daily_original_wrong!$B$23, 2*(ROW(C78)-ROW($B$23)),COLUMN(C78)-2)+OFFSET(daily_original_wrong!$B$23, 1+2*(ROW(C78)-ROW($B$23)),COLUMN(C78)-2)</f>
        <v>5.405216E-3</v>
      </c>
      <c r="D78">
        <f ca="1">OFFSET(daily_original_wrong!$B$23, 2*(ROW(D78)-ROW($B$23)),COLUMN(D78)-2)+OFFSET(daily_original_wrong!$B$23, 1+2*(ROW(D78)-ROW($B$23)),COLUMN(D78)-2)</f>
        <v>4.1293340000000001E-3</v>
      </c>
      <c r="E78">
        <f ca="1">OFFSET(daily_original_wrong!$B$23, 2*(ROW(E78)-ROW($B$23)),COLUMN(E78)-2)+OFFSET(daily_original_wrong!$B$23, 1+2*(ROW(E78)-ROW($B$23)),COLUMN(E78)-2)</f>
        <v>2.6495759999999998E-3</v>
      </c>
      <c r="F78">
        <f ca="1">OFFSET(daily_original_wrong!$B$23, 2*(ROW(F78)-ROW($B$23)),COLUMN(F78)-2)+OFFSET(daily_original_wrong!$B$23, 1+2*(ROW(F78)-ROW($B$23)),COLUMN(F78)-2)</f>
        <v>1.672258E-3</v>
      </c>
      <c r="G78">
        <f ca="1">OFFSET(daily_original_wrong!$B$23, 2*(ROW(G78)-ROW($B$23)),COLUMN(G78)-2)+OFFSET(daily_original_wrong!$B$23, 1+2*(ROW(G78)-ROW($B$23)),COLUMN(G78)-2)</f>
        <v>2.8983120000000001E-3</v>
      </c>
      <c r="H78">
        <f ca="1">OFFSET(daily_original_wrong!$B$23, 2*(ROW(H78)-ROW($B$23)),COLUMN(H78)-2)+OFFSET(daily_original_wrong!$B$23, 1+2*(ROW(H78)-ROW($B$23)),COLUMN(H78)-2)</f>
        <v>2.4401240000000001E-3</v>
      </c>
      <c r="J78" t="str">
        <f t="shared" si="8"/>
        <v>[</v>
      </c>
      <c r="K78" t="str">
        <f t="shared" ca="1" si="9"/>
        <v>[0.002702608],</v>
      </c>
      <c r="L78" t="str">
        <f t="shared" ca="1" si="7"/>
        <v>[0.005405216],</v>
      </c>
      <c r="M78" t="str">
        <f t="shared" ca="1" si="7"/>
        <v>[0.004129334],</v>
      </c>
      <c r="N78" t="str">
        <f t="shared" ca="1" si="7"/>
        <v>[0.002649576],</v>
      </c>
      <c r="O78" t="str">
        <f t="shared" ca="1" si="7"/>
        <v>[0.001672258],</v>
      </c>
      <c r="P78" t="str">
        <f t="shared" ca="1" si="7"/>
        <v>[0.002898312],</v>
      </c>
      <c r="Q78" t="str">
        <f t="shared" ca="1" si="10"/>
        <v>[0.002440124]</v>
      </c>
      <c r="R78" t="str">
        <f t="shared" si="11"/>
        <v>]</v>
      </c>
      <c r="S78" t="str">
        <f t="shared" ca="1" si="12"/>
        <v>[[0.002702608],[0.005405216],[0.004129334],[0.002649576],[0.001672258],[0.002898312],[0.002440124]]</v>
      </c>
    </row>
    <row r="79" spans="1:19" x14ac:dyDescent="0.2">
      <c r="A79" s="1" t="d">
        <v>2025-11-01</v>
      </c>
      <c r="B79">
        <f ca="1">OFFSET(daily_original_wrong!$B$23, 2*(ROW(B79)-ROW($B$23)),COLUMN(B79)-2)+OFFSET(daily_original_wrong!$B$23, 1+2*(ROW(B79)-ROW($B$23)),COLUMN(B79)-2)</f>
        <v>5.8147099999999998E-3</v>
      </c>
      <c r="C79">
        <f ca="1">OFFSET(daily_original_wrong!$B$23, 2*(ROW(C79)-ROW($B$23)),COLUMN(C79)-2)+OFFSET(daily_original_wrong!$B$23, 1+2*(ROW(C79)-ROW($B$23)),COLUMN(C79)-2)</f>
        <v>5.8147099999999998E-3</v>
      </c>
      <c r="D79">
        <f ca="1">OFFSET(daily_original_wrong!$B$23, 2*(ROW(D79)-ROW($B$23)),COLUMN(D79)-2)+OFFSET(daily_original_wrong!$B$23, 1+2*(ROW(D79)-ROW($B$23)),COLUMN(D79)-2)</f>
        <v>4.4014060000000001E-3</v>
      </c>
      <c r="E79">
        <f ca="1">OFFSET(daily_original_wrong!$B$23, 2*(ROW(E79)-ROW($B$23)),COLUMN(E79)-2)+OFFSET(daily_original_wrong!$B$23, 1+2*(ROW(E79)-ROW($B$23)),COLUMN(E79)-2)</f>
        <v>2.7780779999999998E-3</v>
      </c>
      <c r="F79">
        <f ca="1">OFFSET(daily_original_wrong!$B$23, 2*(ROW(F79)-ROW($B$23)),COLUMN(F79)-2)+OFFSET(daily_original_wrong!$B$23, 1+2*(ROW(F79)-ROW($B$23)),COLUMN(F79)-2)</f>
        <v>1.905286E-3</v>
      </c>
      <c r="G79">
        <f ca="1">OFFSET(daily_original_wrong!$B$23, 2*(ROW(G79)-ROW($B$23)),COLUMN(G79)-2)+OFFSET(daily_original_wrong!$B$23, 1+2*(ROW(G79)-ROW($B$23)),COLUMN(G79)-2)</f>
        <v>3.1738700000000001E-3</v>
      </c>
      <c r="H79">
        <f ca="1">OFFSET(daily_original_wrong!$B$23, 2*(ROW(H79)-ROW($B$23)),COLUMN(H79)-2)+OFFSET(daily_original_wrong!$B$23, 1+2*(ROW(H79)-ROW($B$23)),COLUMN(H79)-2)</f>
        <v>2.782882E-3</v>
      </c>
      <c r="J79" t="str">
        <f t="shared" si="8"/>
        <v>[</v>
      </c>
      <c r="K79" t="str">
        <f t="shared" ca="1" si="9"/>
        <v>[0.002907355],</v>
      </c>
      <c r="L79" t="str">
        <f t="shared" ca="1" si="7"/>
        <v>[0.00581471],</v>
      </c>
      <c r="M79" t="str">
        <f t="shared" ca="1" si="7"/>
        <v>[0.004401406],</v>
      </c>
      <c r="N79" t="str">
        <f t="shared" ca="1" si="7"/>
        <v>[0.002778078],</v>
      </c>
      <c r="O79" t="str">
        <f t="shared" ca="1" si="7"/>
        <v>[0.001905286],</v>
      </c>
      <c r="P79" t="str">
        <f t="shared" ca="1" si="7"/>
        <v>[0.00317387],</v>
      </c>
      <c r="Q79" t="str">
        <f t="shared" ca="1" si="10"/>
        <v>[0.002782882]</v>
      </c>
      <c r="R79" t="str">
        <f t="shared" si="11"/>
        <v>]</v>
      </c>
      <c r="S79" t="str">
        <f t="shared" ca="1" si="12"/>
        <v>[[0.002907355],[0.00581471],[0.004401406],[0.002778078],[0.001905286],[0.00317387],[0.002782882]]</v>
      </c>
    </row>
    <row r="80" spans="1:19" x14ac:dyDescent="0.2">
      <c r="A80" s="1" t="d">
        <v>2025-11-02</v>
      </c>
      <c r="B80">
        <f ca="1">OFFSET(daily_original_wrong!$B$23, 2*(ROW(B80)-ROW($B$23)),COLUMN(B80)-2)+OFFSET(daily_original_wrong!$B$23, 1+2*(ROW(B80)-ROW($B$23)),COLUMN(B80)-2)</f>
        <v>5.8147099999999998E-3</v>
      </c>
      <c r="C80">
        <f ca="1">OFFSET(daily_original_wrong!$B$23, 2*(ROW(C80)-ROW($B$23)),COLUMN(C80)-2)+OFFSET(daily_original_wrong!$B$23, 1+2*(ROW(C80)-ROW($B$23)),COLUMN(C80)-2)</f>
        <v>5.8147099999999998E-3</v>
      </c>
      <c r="D80">
        <f ca="1">OFFSET(daily_original_wrong!$B$23, 2*(ROW(D80)-ROW($B$23)),COLUMN(D80)-2)+OFFSET(daily_original_wrong!$B$23, 1+2*(ROW(D80)-ROW($B$23)),COLUMN(D80)-2)</f>
        <v>4.4014060000000001E-3</v>
      </c>
      <c r="E80">
        <f ca="1">OFFSET(daily_original_wrong!$B$23, 2*(ROW(E80)-ROW($B$23)),COLUMN(E80)-2)+OFFSET(daily_original_wrong!$B$23, 1+2*(ROW(E80)-ROW($B$23)),COLUMN(E80)-2)</f>
        <v>2.7780779999999998E-3</v>
      </c>
      <c r="F80">
        <f ca="1">OFFSET(daily_original_wrong!$B$23, 2*(ROW(F80)-ROW($B$23)),COLUMN(F80)-2)+OFFSET(daily_original_wrong!$B$23, 1+2*(ROW(F80)-ROW($B$23)),COLUMN(F80)-2)</f>
        <v>1.905286E-3</v>
      </c>
      <c r="G80">
        <f ca="1">OFFSET(daily_original_wrong!$B$23, 2*(ROW(G80)-ROW($B$23)),COLUMN(G80)-2)+OFFSET(daily_original_wrong!$B$23, 1+2*(ROW(G80)-ROW($B$23)),COLUMN(G80)-2)</f>
        <v>3.1738700000000001E-3</v>
      </c>
      <c r="H80">
        <f ca="1">OFFSET(daily_original_wrong!$B$23, 2*(ROW(H80)-ROW($B$23)),COLUMN(H80)-2)+OFFSET(daily_original_wrong!$B$23, 1+2*(ROW(H80)-ROW($B$23)),COLUMN(H80)-2)</f>
        <v>2.782882E-3</v>
      </c>
      <c r="J80" t="str">
        <f t="shared" si="8"/>
        <v>[</v>
      </c>
      <c r="K80" t="str">
        <f t="shared" ca="1" si="9"/>
        <v>[0.002907355],</v>
      </c>
      <c r="L80" t="str">
        <f t="shared" ca="1" si="7"/>
        <v>[0.00581471],</v>
      </c>
      <c r="M80" t="str">
        <f t="shared" ca="1" si="7"/>
        <v>[0.004401406],</v>
      </c>
      <c r="N80" t="str">
        <f t="shared" ca="1" si="7"/>
        <v>[0.002778078],</v>
      </c>
      <c r="O80" t="str">
        <f t="shared" ca="1" si="7"/>
        <v>[0.001905286],</v>
      </c>
      <c r="P80" t="str">
        <f t="shared" ca="1" si="7"/>
        <v>[0.00317387],</v>
      </c>
      <c r="Q80" t="str">
        <f t="shared" ca="1" si="10"/>
        <v>[0.002782882]</v>
      </c>
      <c r="R80" t="str">
        <f t="shared" si="11"/>
        <v>]</v>
      </c>
      <c r="S80" t="str">
        <f t="shared" ca="1" si="12"/>
        <v>[[0.002907355],[0.00581471],[0.004401406],[0.002778078],[0.001905286],[0.00317387],[0.002782882]]</v>
      </c>
    </row>
    <row r="81" spans="1:19" x14ac:dyDescent="0.2">
      <c r="A81" s="1" t="d">
        <v>2025-11-03</v>
      </c>
      <c r="B81">
        <f ca="1">OFFSET(daily_original_wrong!$B$23, 2*(ROW(B81)-ROW($B$23)),COLUMN(B81)-2)+OFFSET(daily_original_wrong!$B$23, 1+2*(ROW(B81)-ROW($B$23)),COLUMN(B81)-2)</f>
        <v>5.8147099999999998E-3</v>
      </c>
      <c r="C81">
        <f ca="1">OFFSET(daily_original_wrong!$B$23, 2*(ROW(C81)-ROW($B$23)),COLUMN(C81)-2)+OFFSET(daily_original_wrong!$B$23, 1+2*(ROW(C81)-ROW($B$23)),COLUMN(C81)-2)</f>
        <v>5.8147099999999998E-3</v>
      </c>
      <c r="D81">
        <f ca="1">OFFSET(daily_original_wrong!$B$23, 2*(ROW(D81)-ROW($B$23)),COLUMN(D81)-2)+OFFSET(daily_original_wrong!$B$23, 1+2*(ROW(D81)-ROW($B$23)),COLUMN(D81)-2)</f>
        <v>4.4014060000000001E-3</v>
      </c>
      <c r="E81">
        <f ca="1">OFFSET(daily_original_wrong!$B$23, 2*(ROW(E81)-ROW($B$23)),COLUMN(E81)-2)+OFFSET(daily_original_wrong!$B$23, 1+2*(ROW(E81)-ROW($B$23)),COLUMN(E81)-2)</f>
        <v>2.7780779999999998E-3</v>
      </c>
      <c r="F81">
        <f ca="1">OFFSET(daily_original_wrong!$B$23, 2*(ROW(F81)-ROW($B$23)),COLUMN(F81)-2)+OFFSET(daily_original_wrong!$B$23, 1+2*(ROW(F81)-ROW($B$23)),COLUMN(F81)-2)</f>
        <v>1.905286E-3</v>
      </c>
      <c r="G81">
        <f ca="1">OFFSET(daily_original_wrong!$B$23, 2*(ROW(G81)-ROW($B$23)),COLUMN(G81)-2)+OFFSET(daily_original_wrong!$B$23, 1+2*(ROW(G81)-ROW($B$23)),COLUMN(G81)-2)</f>
        <v>3.1738700000000001E-3</v>
      </c>
      <c r="H81">
        <f ca="1">OFFSET(daily_original_wrong!$B$23, 2*(ROW(H81)-ROW($B$23)),COLUMN(H81)-2)+OFFSET(daily_original_wrong!$B$23, 1+2*(ROW(H81)-ROW($B$23)),COLUMN(H81)-2)</f>
        <v>2.782882E-3</v>
      </c>
      <c r="J81" t="str">
        <f t="shared" si="8"/>
        <v>[</v>
      </c>
      <c r="K81" t="str">
        <f t="shared" ca="1" si="9"/>
        <v>[0.002907355],</v>
      </c>
      <c r="L81" t="str">
        <f t="shared" ca="1" si="7"/>
        <v>[0.00581471],</v>
      </c>
      <c r="M81" t="str">
        <f t="shared" ca="1" si="7"/>
        <v>[0.004401406],</v>
      </c>
      <c r="N81" t="str">
        <f t="shared" ca="1" si="7"/>
        <v>[0.002778078],</v>
      </c>
      <c r="O81" t="str">
        <f t="shared" ca="1" si="7"/>
        <v>[0.001905286],</v>
      </c>
      <c r="P81" t="str">
        <f t="shared" ca="1" si="7"/>
        <v>[0.00317387],</v>
      </c>
      <c r="Q81" t="str">
        <f t="shared" ca="1" si="10"/>
        <v>[0.002782882]</v>
      </c>
      <c r="R81" t="str">
        <f t="shared" si="11"/>
        <v>]</v>
      </c>
      <c r="S81" t="str">
        <f t="shared" ca="1" si="12"/>
        <v>[[0.002907355],[0.00581471],[0.004401406],[0.002778078],[0.001905286],[0.00317387],[0.002782882]]</v>
      </c>
    </row>
    <row r="82" spans="1:19" x14ac:dyDescent="0.2">
      <c r="A82" s="1" t="d">
        <v>2025-11-04</v>
      </c>
      <c r="B82">
        <f ca="1">OFFSET(daily_original_wrong!$B$23, 2*(ROW(B82)-ROW($B$23)),COLUMN(B82)-2)+OFFSET(daily_original_wrong!$B$23, 1+2*(ROW(B82)-ROW($B$23)),COLUMN(B82)-2)</f>
        <v>7.3955959999999991E-3</v>
      </c>
      <c r="C82">
        <f ca="1">OFFSET(daily_original_wrong!$B$23, 2*(ROW(C82)-ROW($B$23)),COLUMN(C82)-2)+OFFSET(daily_original_wrong!$B$23, 1+2*(ROW(C82)-ROW($B$23)),COLUMN(C82)-2)</f>
        <v>7.3955959999999991E-3</v>
      </c>
      <c r="D82">
        <f ca="1">OFFSET(daily_original_wrong!$B$23, 2*(ROW(D82)-ROW($B$23)),COLUMN(D82)-2)+OFFSET(daily_original_wrong!$B$23, 1+2*(ROW(D82)-ROW($B$23)),COLUMN(D82)-2)</f>
        <v>5.5224739999999994E-3</v>
      </c>
      <c r="E82">
        <f ca="1">OFFSET(daily_original_wrong!$B$23, 2*(ROW(E82)-ROW($B$23)),COLUMN(E82)-2)+OFFSET(daily_original_wrong!$B$23, 1+2*(ROW(E82)-ROW($B$23)),COLUMN(E82)-2)</f>
        <v>3.4590580000000001E-3</v>
      </c>
      <c r="F82">
        <f ca="1">OFFSET(daily_original_wrong!$B$23, 2*(ROW(F82)-ROW($B$23)),COLUMN(F82)-2)+OFFSET(daily_original_wrong!$B$23, 1+2*(ROW(F82)-ROW($B$23)),COLUMN(F82)-2)</f>
        <v>2.439999E-3</v>
      </c>
      <c r="G82">
        <f ca="1">OFFSET(daily_original_wrong!$B$23, 2*(ROW(G82)-ROW($B$23)),COLUMN(G82)-2)+OFFSET(daily_original_wrong!$B$23, 1+2*(ROW(G82)-ROW($B$23)),COLUMN(G82)-2)</f>
        <v>4.0265630000000004E-3</v>
      </c>
      <c r="H82">
        <f ca="1">OFFSET(daily_original_wrong!$B$23, 2*(ROW(H82)-ROW($B$23)),COLUMN(H82)-2)+OFFSET(daily_original_wrong!$B$23, 1+2*(ROW(H82)-ROW($B$23)),COLUMN(H82)-2)</f>
        <v>3.5726990000000004E-3</v>
      </c>
      <c r="J82" t="str">
        <f t="shared" si="8"/>
        <v>[</v>
      </c>
      <c r="K82" t="str">
        <f t="shared" ca="1" si="9"/>
        <v>[0.003697798],</v>
      </c>
      <c r="L82" t="str">
        <f t="shared" ca="1" si="7"/>
        <v>[0.007395596],</v>
      </c>
      <c r="M82" t="str">
        <f t="shared" ca="1" si="7"/>
        <v>[0.005522474],</v>
      </c>
      <c r="N82" t="str">
        <f t="shared" ca="1" si="7"/>
        <v>[0.003459058],</v>
      </c>
      <c r="O82" t="str">
        <f t="shared" ca="1" si="7"/>
        <v>[0.002439999],</v>
      </c>
      <c r="P82" t="str">
        <f t="shared" ca="1" si="7"/>
        <v>[0.004026563],</v>
      </c>
      <c r="Q82" t="str">
        <f t="shared" ca="1" si="10"/>
        <v>[0.003572699]</v>
      </c>
      <c r="R82" t="str">
        <f t="shared" si="11"/>
        <v>]</v>
      </c>
      <c r="S82" t="str">
        <f t="shared" ca="1" si="12"/>
        <v>[[0.003697798],[0.007395596],[0.005522474],[0.003459058],[0.002439999],[0.004026563],[0.003572699]]</v>
      </c>
    </row>
    <row r="83" spans="1:19" x14ac:dyDescent="0.2">
      <c r="A83" s="1" t="d">
        <v>2025-11-05</v>
      </c>
      <c r="B83">
        <f ca="1">OFFSET(daily_original_wrong!$B$23, 2*(ROW(B83)-ROW($B$23)),COLUMN(B83)-2)+OFFSET(daily_original_wrong!$B$23, 1+2*(ROW(B83)-ROW($B$23)),COLUMN(B83)-2)</f>
        <v>8.9764819999999992E-3</v>
      </c>
      <c r="C83">
        <f ca="1">OFFSET(daily_original_wrong!$B$23, 2*(ROW(C83)-ROW($B$23)),COLUMN(C83)-2)+OFFSET(daily_original_wrong!$B$23, 1+2*(ROW(C83)-ROW($B$23)),COLUMN(C83)-2)</f>
        <v>8.9764819999999992E-3</v>
      </c>
      <c r="D83">
        <f ca="1">OFFSET(daily_original_wrong!$B$23, 2*(ROW(D83)-ROW($B$23)),COLUMN(D83)-2)+OFFSET(daily_original_wrong!$B$23, 1+2*(ROW(D83)-ROW($B$23)),COLUMN(D83)-2)</f>
        <v>6.6435419999999997E-3</v>
      </c>
      <c r="E83">
        <f ca="1">OFFSET(daily_original_wrong!$B$23, 2*(ROW(E83)-ROW($B$23)),COLUMN(E83)-2)+OFFSET(daily_original_wrong!$B$23, 1+2*(ROW(E83)-ROW($B$23)),COLUMN(E83)-2)</f>
        <v>4.1400380000000004E-3</v>
      </c>
      <c r="F83">
        <f ca="1">OFFSET(daily_original_wrong!$B$23, 2*(ROW(F83)-ROW($B$23)),COLUMN(F83)-2)+OFFSET(daily_original_wrong!$B$23, 1+2*(ROW(F83)-ROW($B$23)),COLUMN(F83)-2)</f>
        <v>2.974712E-3</v>
      </c>
      <c r="G83">
        <f ca="1">OFFSET(daily_original_wrong!$B$23, 2*(ROW(G83)-ROW($B$23)),COLUMN(G83)-2)+OFFSET(daily_original_wrong!$B$23, 1+2*(ROW(G83)-ROW($B$23)),COLUMN(G83)-2)</f>
        <v>4.8792560000000002E-3</v>
      </c>
      <c r="H83">
        <f ca="1">OFFSET(daily_original_wrong!$B$23, 2*(ROW(H83)-ROW($B$23)),COLUMN(H83)-2)+OFFSET(daily_original_wrong!$B$23, 1+2*(ROW(H83)-ROW($B$23)),COLUMN(H83)-2)</f>
        <v>4.3625160000000003E-3</v>
      </c>
      <c r="J83" t="str">
        <f t="shared" si="8"/>
        <v>[</v>
      </c>
      <c r="K83" t="str">
        <f t="shared" ca="1" si="9"/>
        <v>[0.004488241],</v>
      </c>
      <c r="L83" t="str">
        <f t="shared" ca="1" si="7"/>
        <v>[0.008976482],</v>
      </c>
      <c r="M83" t="str">
        <f t="shared" ca="1" si="7"/>
        <v>[0.006643542],</v>
      </c>
      <c r="N83" t="str">
        <f t="shared" ca="1" si="7"/>
        <v>[0.004140038],</v>
      </c>
      <c r="O83" t="str">
        <f t="shared" ca="1" si="7"/>
        <v>[0.002974712],</v>
      </c>
      <c r="P83" t="str">
        <f t="shared" ca="1" si="7"/>
        <v>[0.004879256],</v>
      </c>
      <c r="Q83" t="str">
        <f t="shared" ca="1" si="10"/>
        <v>[0.004362516]</v>
      </c>
      <c r="R83" t="str">
        <f t="shared" si="11"/>
        <v>]</v>
      </c>
      <c r="S83" t="str">
        <f t="shared" ca="1" si="12"/>
        <v>[[0.004488241],[0.008976482],[0.006643542],[0.004140038],[0.002974712],[0.004879256],[0.004362516]]</v>
      </c>
    </row>
    <row r="84" spans="1:19" x14ac:dyDescent="0.2">
      <c r="A84" s="1" t="d">
        <v>2025-11-06</v>
      </c>
      <c r="B84">
        <f ca="1">OFFSET(daily_original_wrong!$B$23, 2*(ROW(B84)-ROW($B$23)),COLUMN(B84)-2)+OFFSET(daily_original_wrong!$B$23, 1+2*(ROW(B84)-ROW($B$23)),COLUMN(B84)-2)</f>
        <v>8.9764819999999992E-3</v>
      </c>
      <c r="C84">
        <f ca="1">OFFSET(daily_original_wrong!$B$23, 2*(ROW(C84)-ROW($B$23)),COLUMN(C84)-2)+OFFSET(daily_original_wrong!$B$23, 1+2*(ROW(C84)-ROW($B$23)),COLUMN(C84)-2)</f>
        <v>8.9764819999999992E-3</v>
      </c>
      <c r="D84">
        <f ca="1">OFFSET(daily_original_wrong!$B$23, 2*(ROW(D84)-ROW($B$23)),COLUMN(D84)-2)+OFFSET(daily_original_wrong!$B$23, 1+2*(ROW(D84)-ROW($B$23)),COLUMN(D84)-2)</f>
        <v>6.6435419999999997E-3</v>
      </c>
      <c r="E84">
        <f ca="1">OFFSET(daily_original_wrong!$B$23, 2*(ROW(E84)-ROW($B$23)),COLUMN(E84)-2)+OFFSET(daily_original_wrong!$B$23, 1+2*(ROW(E84)-ROW($B$23)),COLUMN(E84)-2)</f>
        <v>4.1400380000000004E-3</v>
      </c>
      <c r="F84">
        <f ca="1">OFFSET(daily_original_wrong!$B$23, 2*(ROW(F84)-ROW($B$23)),COLUMN(F84)-2)+OFFSET(daily_original_wrong!$B$23, 1+2*(ROW(F84)-ROW($B$23)),COLUMN(F84)-2)</f>
        <v>2.974712E-3</v>
      </c>
      <c r="G84">
        <f ca="1">OFFSET(daily_original_wrong!$B$23, 2*(ROW(G84)-ROW($B$23)),COLUMN(G84)-2)+OFFSET(daily_original_wrong!$B$23, 1+2*(ROW(G84)-ROW($B$23)),COLUMN(G84)-2)</f>
        <v>4.8792560000000002E-3</v>
      </c>
      <c r="H84">
        <f ca="1">OFFSET(daily_original_wrong!$B$23, 2*(ROW(H84)-ROW($B$23)),COLUMN(H84)-2)+OFFSET(daily_original_wrong!$B$23, 1+2*(ROW(H84)-ROW($B$23)),COLUMN(H84)-2)</f>
        <v>4.3625160000000003E-3</v>
      </c>
      <c r="J84" t="str">
        <f t="shared" si="8"/>
        <v>[</v>
      </c>
      <c r="K84" t="str">
        <f t="shared" ca="1" si="9"/>
        <v>[0.004488241],</v>
      </c>
      <c r="L84" t="str">
        <f t="shared" ca="1" si="7"/>
        <v>[0.008976482],</v>
      </c>
      <c r="M84" t="str">
        <f t="shared" ca="1" si="7"/>
        <v>[0.006643542],</v>
      </c>
      <c r="N84" t="str">
        <f t="shared" ca="1" si="7"/>
        <v>[0.004140038],</v>
      </c>
      <c r="O84" t="str">
        <f t="shared" ca="1" si="7"/>
        <v>[0.002974712],</v>
      </c>
      <c r="P84" t="str">
        <f t="shared" ca="1" si="7"/>
        <v>[0.004879256],</v>
      </c>
      <c r="Q84" t="str">
        <f t="shared" ca="1" si="10"/>
        <v>[0.004362516]</v>
      </c>
      <c r="R84" t="str">
        <f t="shared" si="11"/>
        <v>]</v>
      </c>
      <c r="S84" t="str">
        <f t="shared" ca="1" si="12"/>
        <v>[[0.004488241],[0.008976482],[0.006643542],[0.004140038],[0.002974712],[0.004879256],[0.004362516]]</v>
      </c>
    </row>
    <row r="85" spans="1:19" x14ac:dyDescent="0.2">
      <c r="A85" s="1" t="d">
        <v>2025-11-07</v>
      </c>
      <c r="B85">
        <f ca="1">OFFSET(daily_original_wrong!$B$23, 2*(ROW(B85)-ROW($B$23)),COLUMN(B85)-2)+OFFSET(daily_original_wrong!$B$23, 1+2*(ROW(B85)-ROW($B$23)),COLUMN(B85)-2)</f>
        <v>8.9764819999999992E-3</v>
      </c>
      <c r="C85">
        <f ca="1">OFFSET(daily_original_wrong!$B$23, 2*(ROW(C85)-ROW($B$23)),COLUMN(C85)-2)+OFFSET(daily_original_wrong!$B$23, 1+2*(ROW(C85)-ROW($B$23)),COLUMN(C85)-2)</f>
        <v>8.9764819999999992E-3</v>
      </c>
      <c r="D85">
        <f ca="1">OFFSET(daily_original_wrong!$B$23, 2*(ROW(D85)-ROW($B$23)),COLUMN(D85)-2)+OFFSET(daily_original_wrong!$B$23, 1+2*(ROW(D85)-ROW($B$23)),COLUMN(D85)-2)</f>
        <v>6.6435419999999997E-3</v>
      </c>
      <c r="E85">
        <f ca="1">OFFSET(daily_original_wrong!$B$23, 2*(ROW(E85)-ROW($B$23)),COLUMN(E85)-2)+OFFSET(daily_original_wrong!$B$23, 1+2*(ROW(E85)-ROW($B$23)),COLUMN(E85)-2)</f>
        <v>4.1400380000000004E-3</v>
      </c>
      <c r="F85">
        <f ca="1">OFFSET(daily_original_wrong!$B$23, 2*(ROW(F85)-ROW($B$23)),COLUMN(F85)-2)+OFFSET(daily_original_wrong!$B$23, 1+2*(ROW(F85)-ROW($B$23)),COLUMN(F85)-2)</f>
        <v>2.974712E-3</v>
      </c>
      <c r="G85">
        <f ca="1">OFFSET(daily_original_wrong!$B$23, 2*(ROW(G85)-ROW($B$23)),COLUMN(G85)-2)+OFFSET(daily_original_wrong!$B$23, 1+2*(ROW(G85)-ROW($B$23)),COLUMN(G85)-2)</f>
        <v>4.8792560000000002E-3</v>
      </c>
      <c r="H85">
        <f ca="1">OFFSET(daily_original_wrong!$B$23, 2*(ROW(H85)-ROW($B$23)),COLUMN(H85)-2)+OFFSET(daily_original_wrong!$B$23, 1+2*(ROW(H85)-ROW($B$23)),COLUMN(H85)-2)</f>
        <v>4.3625160000000003E-3</v>
      </c>
      <c r="J85" t="str">
        <f t="shared" si="8"/>
        <v>[</v>
      </c>
      <c r="K85" t="str">
        <f t="shared" ca="1" si="9"/>
        <v>[0.004488241],</v>
      </c>
      <c r="L85" t="str">
        <f t="shared" ca="1" si="7"/>
        <v>[0.008976482],</v>
      </c>
      <c r="M85" t="str">
        <f t="shared" ca="1" si="7"/>
        <v>[0.006643542],</v>
      </c>
      <c r="N85" t="str">
        <f t="shared" ca="1" si="7"/>
        <v>[0.004140038],</v>
      </c>
      <c r="O85" t="str">
        <f t="shared" ca="1" si="7"/>
        <v>[0.002974712],</v>
      </c>
      <c r="P85" t="str">
        <f t="shared" ca="1" si="7"/>
        <v>[0.004879256],</v>
      </c>
      <c r="Q85" t="str">
        <f t="shared" ca="1" si="10"/>
        <v>[0.004362516]</v>
      </c>
      <c r="R85" t="str">
        <f t="shared" si="11"/>
        <v>]</v>
      </c>
      <c r="S85" t="str">
        <f t="shared" ca="1" si="12"/>
        <v>[[0.004488241],[0.008976482],[0.006643542],[0.004140038],[0.002974712],[0.004879256],[0.004362516]]</v>
      </c>
    </row>
    <row r="86" spans="1:19" x14ac:dyDescent="0.2">
      <c r="A86" s="1" t="d">
        <v>2025-11-08</v>
      </c>
      <c r="B86">
        <f ca="1">OFFSET(daily_original_wrong!$B$23, 2*(ROW(B86)-ROW($B$23)),COLUMN(B86)-2)+OFFSET(daily_original_wrong!$B$23, 1+2*(ROW(B86)-ROW($B$23)),COLUMN(B86)-2)</f>
        <v>3.0685E-3</v>
      </c>
      <c r="C86">
        <f ca="1">OFFSET(daily_original_wrong!$B$23, 2*(ROW(C86)-ROW($B$23)),COLUMN(C86)-2)+OFFSET(daily_original_wrong!$B$23, 1+2*(ROW(C86)-ROW($B$23)),COLUMN(C86)-2)</f>
        <v>3.0685E-3</v>
      </c>
      <c r="D86">
        <f ca="1">OFFSET(daily_original_wrong!$B$23, 2*(ROW(D86)-ROW($B$23)),COLUMN(D86)-2)+OFFSET(daily_original_wrong!$B$23, 1+2*(ROW(D86)-ROW($B$23)),COLUMN(D86)-2)</f>
        <v>2.5018179999999998E-3</v>
      </c>
      <c r="E86">
        <f ca="1">OFFSET(daily_original_wrong!$B$23, 2*(ROW(E86)-ROW($B$23)),COLUMN(E86)-2)+OFFSET(daily_original_wrong!$B$23, 1+2*(ROW(E86)-ROW($B$23)),COLUMN(E86)-2)</f>
        <v>1.49956E-3</v>
      </c>
      <c r="F86">
        <f ca="1">OFFSET(daily_original_wrong!$B$23, 2*(ROW(F86)-ROW($B$23)),COLUMN(F86)-2)+OFFSET(daily_original_wrong!$B$23, 1+2*(ROW(F86)-ROW($B$23)),COLUMN(F86)-2)</f>
        <v>1.4603280000000001E-3</v>
      </c>
      <c r="G86">
        <f ca="1">OFFSET(daily_original_wrong!$B$23, 2*(ROW(G86)-ROW($B$23)),COLUMN(G86)-2)+OFFSET(daily_original_wrong!$B$23, 1+2*(ROW(G86)-ROW($B$23)),COLUMN(G86)-2)</f>
        <v>1.936386E-3</v>
      </c>
      <c r="H86">
        <f ca="1">OFFSET(daily_original_wrong!$B$23, 2*(ROW(H86)-ROW($B$23)),COLUMN(H86)-2)+OFFSET(daily_original_wrong!$B$23, 1+2*(ROW(H86)-ROW($B$23)),COLUMN(H86)-2)</f>
        <v>2.1167260000000002E-3</v>
      </c>
      <c r="J86" t="str">
        <f t="shared" si="8"/>
        <v>[</v>
      </c>
      <c r="K86" t="str">
        <f t="shared" ca="1" si="9"/>
        <v>[0.00153425],</v>
      </c>
      <c r="L86" t="str">
        <f t="shared" ca="1" si="7"/>
        <v>[0.0030685],</v>
      </c>
      <c r="M86" t="str">
        <f t="shared" ca="1" si="7"/>
        <v>[0.002501818],</v>
      </c>
      <c r="N86" t="str">
        <f t="shared" ca="1" si="7"/>
        <v>[0.00149956],</v>
      </c>
      <c r="O86" t="str">
        <f t="shared" ca="1" si="7"/>
        <v>[0.001460328],</v>
      </c>
      <c r="P86" t="str">
        <f t="shared" ca="1" si="7"/>
        <v>[0.001936386],</v>
      </c>
      <c r="Q86" t="str">
        <f t="shared" ca="1" si="10"/>
        <v>[0.002116726]</v>
      </c>
      <c r="R86" t="str">
        <f t="shared" si="11"/>
        <v>]</v>
      </c>
      <c r="S86" t="str">
        <f t="shared" ca="1" si="12"/>
        <v>[[0.00153425],[0.0030685],[0.002501818],[0.00149956],[0.001460328],[0.001936386],[0.002116726]]</v>
      </c>
    </row>
    <row r="87" spans="1:19" x14ac:dyDescent="0.2">
      <c r="A87" s="1" t="d">
        <v>2025-11-09</v>
      </c>
      <c r="B87">
        <f ca="1">OFFSET(daily_original_wrong!$B$23, 2*(ROW(B87)-ROW($B$23)),COLUMN(B87)-2)+OFFSET(daily_original_wrong!$B$23, 1+2*(ROW(B87)-ROW($B$23)),COLUMN(B87)-2)</f>
        <v>3.0685E-3</v>
      </c>
      <c r="C87">
        <f ca="1">OFFSET(daily_original_wrong!$B$23, 2*(ROW(C87)-ROW($B$23)),COLUMN(C87)-2)+OFFSET(daily_original_wrong!$B$23, 1+2*(ROW(C87)-ROW($B$23)),COLUMN(C87)-2)</f>
        <v>3.0685E-3</v>
      </c>
      <c r="D87">
        <f ca="1">OFFSET(daily_original_wrong!$B$23, 2*(ROW(D87)-ROW($B$23)),COLUMN(D87)-2)+OFFSET(daily_original_wrong!$B$23, 1+2*(ROW(D87)-ROW($B$23)),COLUMN(D87)-2)</f>
        <v>2.5018179999999998E-3</v>
      </c>
      <c r="E87">
        <f ca="1">OFFSET(daily_original_wrong!$B$23, 2*(ROW(E87)-ROW($B$23)),COLUMN(E87)-2)+OFFSET(daily_original_wrong!$B$23, 1+2*(ROW(E87)-ROW($B$23)),COLUMN(E87)-2)</f>
        <v>1.49956E-3</v>
      </c>
      <c r="F87">
        <f ca="1">OFFSET(daily_original_wrong!$B$23, 2*(ROW(F87)-ROW($B$23)),COLUMN(F87)-2)+OFFSET(daily_original_wrong!$B$23, 1+2*(ROW(F87)-ROW($B$23)),COLUMN(F87)-2)</f>
        <v>1.4603280000000001E-3</v>
      </c>
      <c r="G87">
        <f ca="1">OFFSET(daily_original_wrong!$B$23, 2*(ROW(G87)-ROW($B$23)),COLUMN(G87)-2)+OFFSET(daily_original_wrong!$B$23, 1+2*(ROW(G87)-ROW($B$23)),COLUMN(G87)-2)</f>
        <v>1.936386E-3</v>
      </c>
      <c r="H87">
        <f ca="1">OFFSET(daily_original_wrong!$B$23, 2*(ROW(H87)-ROW($B$23)),COLUMN(H87)-2)+OFFSET(daily_original_wrong!$B$23, 1+2*(ROW(H87)-ROW($B$23)),COLUMN(H87)-2)</f>
        <v>2.1167260000000002E-3</v>
      </c>
      <c r="J87" t="str">
        <f t="shared" si="8"/>
        <v>[</v>
      </c>
      <c r="K87" t="str">
        <f t="shared" ca="1" si="9"/>
        <v>[0.00153425],</v>
      </c>
      <c r="L87" t="str">
        <f t="shared" ca="1" si="7"/>
        <v>[0.0030685],</v>
      </c>
      <c r="M87" t="str">
        <f t="shared" ca="1" si="7"/>
        <v>[0.002501818],</v>
      </c>
      <c r="N87" t="str">
        <f t="shared" ca="1" si="7"/>
        <v>[0.00149956],</v>
      </c>
      <c r="O87" t="str">
        <f t="shared" ca="1" si="7"/>
        <v>[0.001460328],</v>
      </c>
      <c r="P87" t="str">
        <f t="shared" ca="1" si="7"/>
        <v>[0.001936386],</v>
      </c>
      <c r="Q87" t="str">
        <f t="shared" ca="1" si="10"/>
        <v>[0.002116726]</v>
      </c>
      <c r="R87" t="str">
        <f t="shared" si="11"/>
        <v>]</v>
      </c>
      <c r="S87" t="str">
        <f t="shared" ca="1" si="12"/>
        <v>[[0.00153425],[0.0030685],[0.002501818],[0.00149956],[0.001460328],[0.001936386],[0.002116726]]</v>
      </c>
    </row>
    <row r="88" spans="1:19" x14ac:dyDescent="0.2">
      <c r="A88" s="1" t="d">
        <v>2025-11-10</v>
      </c>
      <c r="B88">
        <f ca="1">OFFSET(daily_original_wrong!$B$23, 2*(ROW(B88)-ROW($B$23)),COLUMN(B88)-2)+OFFSET(daily_original_wrong!$B$23, 1+2*(ROW(B88)-ROW($B$23)),COLUMN(B88)-2)</f>
        <v>3.0685E-3</v>
      </c>
      <c r="C88">
        <f ca="1">OFFSET(daily_original_wrong!$B$23, 2*(ROW(C88)-ROW($B$23)),COLUMN(C88)-2)+OFFSET(daily_original_wrong!$B$23, 1+2*(ROW(C88)-ROW($B$23)),COLUMN(C88)-2)</f>
        <v>3.0685E-3</v>
      </c>
      <c r="D88">
        <f ca="1">OFFSET(daily_original_wrong!$B$23, 2*(ROW(D88)-ROW($B$23)),COLUMN(D88)-2)+OFFSET(daily_original_wrong!$B$23, 1+2*(ROW(D88)-ROW($B$23)),COLUMN(D88)-2)</f>
        <v>2.5018179999999998E-3</v>
      </c>
      <c r="E88">
        <f ca="1">OFFSET(daily_original_wrong!$B$23, 2*(ROW(E88)-ROW($B$23)),COLUMN(E88)-2)+OFFSET(daily_original_wrong!$B$23, 1+2*(ROW(E88)-ROW($B$23)),COLUMN(E88)-2)</f>
        <v>1.49956E-3</v>
      </c>
      <c r="F88">
        <f ca="1">OFFSET(daily_original_wrong!$B$23, 2*(ROW(F88)-ROW($B$23)),COLUMN(F88)-2)+OFFSET(daily_original_wrong!$B$23, 1+2*(ROW(F88)-ROW($B$23)),COLUMN(F88)-2)</f>
        <v>1.4603280000000001E-3</v>
      </c>
      <c r="G88">
        <f ca="1">OFFSET(daily_original_wrong!$B$23, 2*(ROW(G88)-ROW($B$23)),COLUMN(G88)-2)+OFFSET(daily_original_wrong!$B$23, 1+2*(ROW(G88)-ROW($B$23)),COLUMN(G88)-2)</f>
        <v>1.936386E-3</v>
      </c>
      <c r="H88">
        <f ca="1">OFFSET(daily_original_wrong!$B$23, 2*(ROW(H88)-ROW($B$23)),COLUMN(H88)-2)+OFFSET(daily_original_wrong!$B$23, 1+2*(ROW(H88)-ROW($B$23)),COLUMN(H88)-2)</f>
        <v>2.1167260000000002E-3</v>
      </c>
      <c r="J88" t="str">
        <f t="shared" si="8"/>
        <v>[</v>
      </c>
      <c r="K88" t="str">
        <f t="shared" ca="1" si="9"/>
        <v>[0.00153425],</v>
      </c>
      <c r="L88" t="str">
        <f t="shared" ca="1" si="7"/>
        <v>[0.0030685],</v>
      </c>
      <c r="M88" t="str">
        <f t="shared" ca="1" si="7"/>
        <v>[0.002501818],</v>
      </c>
      <c r="N88" t="str">
        <f t="shared" ca="1" si="7"/>
        <v>[0.00149956],</v>
      </c>
      <c r="O88" t="str">
        <f t="shared" ca="1" si="7"/>
        <v>[0.001460328],</v>
      </c>
      <c r="P88" t="str">
        <f t="shared" ca="1" si="7"/>
        <v>[0.001936386],</v>
      </c>
      <c r="Q88" t="str">
        <f t="shared" ca="1" si="10"/>
        <v>[0.002116726]</v>
      </c>
      <c r="R88" t="str">
        <f t="shared" si="11"/>
        <v>]</v>
      </c>
      <c r="S88" t="str">
        <f t="shared" ca="1" si="12"/>
        <v>[[0.00153425],[0.0030685],[0.002501818],[0.00149956],[0.001460328],[0.001936386],[0.002116726]]</v>
      </c>
    </row>
    <row r="89" spans="1:19" x14ac:dyDescent="0.2">
      <c r="A89" s="1" t="d">
        <v>2025-11-11</v>
      </c>
      <c r="B89">
        <f ca="1">OFFSET(daily_original_wrong!$B$23, 2*(ROW(B89)-ROW($B$23)),COLUMN(B89)-2)+OFFSET(daily_original_wrong!$B$23, 1+2*(ROW(B89)-ROW($B$23)),COLUMN(B89)-2)</f>
        <v>2.7166539999999998E-3</v>
      </c>
      <c r="C89">
        <f ca="1">OFFSET(daily_original_wrong!$B$23, 2*(ROW(C89)-ROW($B$23)),COLUMN(C89)-2)+OFFSET(daily_original_wrong!$B$23, 1+2*(ROW(C89)-ROW($B$23)),COLUMN(C89)-2)</f>
        <v>2.7166539999999998E-3</v>
      </c>
      <c r="D89">
        <f ca="1">OFFSET(daily_original_wrong!$B$23, 2*(ROW(D89)-ROW($B$23)),COLUMN(D89)-2)+OFFSET(daily_original_wrong!$B$23, 1+2*(ROW(D89)-ROW($B$23)),COLUMN(D89)-2)</f>
        <v>2.33738E-3</v>
      </c>
      <c r="E89">
        <f ca="1">OFFSET(daily_original_wrong!$B$23, 2*(ROW(E89)-ROW($B$23)),COLUMN(E89)-2)+OFFSET(daily_original_wrong!$B$23, 1+2*(ROW(E89)-ROW($B$23)),COLUMN(E89)-2)</f>
        <v>1.382014E-3</v>
      </c>
      <c r="F89">
        <f ca="1">OFFSET(daily_original_wrong!$B$23, 2*(ROW(F89)-ROW($B$23)),COLUMN(F89)-2)+OFFSET(daily_original_wrong!$B$23, 1+2*(ROW(F89)-ROW($B$23)),COLUMN(F89)-2)</f>
        <v>1.5117220000000001E-3</v>
      </c>
      <c r="G89">
        <f ca="1">OFFSET(daily_original_wrong!$B$23, 2*(ROW(G89)-ROW($B$23)),COLUMN(G89)-2)+OFFSET(daily_original_wrong!$B$23, 1+2*(ROW(G89)-ROW($B$23)),COLUMN(G89)-2)</f>
        <v>1.8485889999999999E-3</v>
      </c>
      <c r="H89">
        <f ca="1">OFFSET(daily_original_wrong!$B$23, 2*(ROW(H89)-ROW($B$23)),COLUMN(H89)-2)+OFFSET(daily_original_wrong!$B$23, 1+2*(ROW(H89)-ROW($B$23)),COLUMN(H89)-2)</f>
        <v>2.172326E-3</v>
      </c>
      <c r="J89" t="str">
        <f t="shared" si="8"/>
        <v>[</v>
      </c>
      <c r="K89" t="str">
        <f t="shared" ca="1" si="9"/>
        <v>[0.001358327],</v>
      </c>
      <c r="L89" t="str">
        <f t="shared" ca="1" si="7"/>
        <v>[0.002716654],</v>
      </c>
      <c r="M89" t="str">
        <f t="shared" ca="1" si="7"/>
        <v>[0.00233738],</v>
      </c>
      <c r="N89" t="str">
        <f t="shared" ca="1" si="7"/>
        <v>[0.001382014],</v>
      </c>
      <c r="O89" t="str">
        <f t="shared" ca="1" si="7"/>
        <v>[0.001511722],</v>
      </c>
      <c r="P89" t="str">
        <f t="shared" ca="1" si="7"/>
        <v>[0.001848589],</v>
      </c>
      <c r="Q89" t="str">
        <f t="shared" ca="1" si="10"/>
        <v>[0.002172326]</v>
      </c>
      <c r="R89" t="str">
        <f t="shared" si="11"/>
        <v>]</v>
      </c>
      <c r="S89" t="str">
        <f t="shared" ca="1" si="12"/>
        <v>[[0.001358327],[0.002716654],[0.00233738],[0.001382014],[0.001511722],[0.001848589],[0.002172326]]</v>
      </c>
    </row>
    <row r="90" spans="1:19" x14ac:dyDescent="0.2">
      <c r="A90" s="1" t="d">
        <v>2025-11-12</v>
      </c>
      <c r="B90">
        <f ca="1">OFFSET(daily_original_wrong!$B$23, 2*(ROW(B90)-ROW($B$23)),COLUMN(B90)-2)+OFFSET(daily_original_wrong!$B$23, 1+2*(ROW(B90)-ROW($B$23)),COLUMN(B90)-2)</f>
        <v>2.3648079999999999E-3</v>
      </c>
      <c r="C90">
        <f ca="1">OFFSET(daily_original_wrong!$B$23, 2*(ROW(C90)-ROW($B$23)),COLUMN(C90)-2)+OFFSET(daily_original_wrong!$B$23, 1+2*(ROW(C90)-ROW($B$23)),COLUMN(C90)-2)</f>
        <v>2.3648079999999999E-3</v>
      </c>
      <c r="D90">
        <f ca="1">OFFSET(daily_original_wrong!$B$23, 2*(ROW(D90)-ROW($B$23)),COLUMN(D90)-2)+OFFSET(daily_original_wrong!$B$23, 1+2*(ROW(D90)-ROW($B$23)),COLUMN(D90)-2)</f>
        <v>2.1729420000000002E-3</v>
      </c>
      <c r="E90">
        <f ca="1">OFFSET(daily_original_wrong!$B$23, 2*(ROW(E90)-ROW($B$23)),COLUMN(E90)-2)+OFFSET(daily_original_wrong!$B$23, 1+2*(ROW(E90)-ROW($B$23)),COLUMN(E90)-2)</f>
        <v>1.2644679999999999E-3</v>
      </c>
      <c r="F90">
        <f ca="1">OFFSET(daily_original_wrong!$B$23, 2*(ROW(F90)-ROW($B$23)),COLUMN(F90)-2)+OFFSET(daily_original_wrong!$B$23, 1+2*(ROW(F90)-ROW($B$23)),COLUMN(F90)-2)</f>
        <v>1.563116E-3</v>
      </c>
      <c r="G90">
        <f ca="1">OFFSET(daily_original_wrong!$B$23, 2*(ROW(G90)-ROW($B$23)),COLUMN(G90)-2)+OFFSET(daily_original_wrong!$B$23, 1+2*(ROW(G90)-ROW($B$23)),COLUMN(G90)-2)</f>
        <v>1.760792E-3</v>
      </c>
      <c r="H90">
        <f ca="1">OFFSET(daily_original_wrong!$B$23, 2*(ROW(H90)-ROW($B$23)),COLUMN(H90)-2)+OFFSET(daily_original_wrong!$B$23, 1+2*(ROW(H90)-ROW($B$23)),COLUMN(H90)-2)</f>
        <v>2.2279259999999999E-3</v>
      </c>
      <c r="J90" t="str">
        <f t="shared" si="8"/>
        <v>[</v>
      </c>
      <c r="K90" t="str">
        <f t="shared" ca="1" si="9"/>
        <v>[0.001182404],</v>
      </c>
      <c r="L90" t="str">
        <f t="shared" ca="1" si="7"/>
        <v>[0.002364808],</v>
      </c>
      <c r="M90" t="str">
        <f t="shared" ca="1" si="7"/>
        <v>[0.002172942],</v>
      </c>
      <c r="N90" t="str">
        <f t="shared" ca="1" si="7"/>
        <v>[0.001264468],</v>
      </c>
      <c r="O90" t="str">
        <f t="shared" ca="1" si="7"/>
        <v>[0.001563116],</v>
      </c>
      <c r="P90" t="str">
        <f t="shared" ca="1" si="7"/>
        <v>[0.001760792],</v>
      </c>
      <c r="Q90" t="str">
        <f t="shared" ca="1" si="10"/>
        <v>[0.002227926]</v>
      </c>
      <c r="R90" t="str">
        <f t="shared" si="11"/>
        <v>]</v>
      </c>
      <c r="S90" t="str">
        <f t="shared" ca="1" si="12"/>
        <v>[[0.001182404],[0.002364808],[0.002172942],[0.001264468],[0.001563116],[0.001760792],[0.002227926]]</v>
      </c>
    </row>
    <row r="91" spans="1:19" x14ac:dyDescent="0.2">
      <c r="A91" s="1" t="d">
        <v>2025-11-13</v>
      </c>
      <c r="B91">
        <f ca="1">OFFSET(daily_original_wrong!$B$23, 2*(ROW(B91)-ROW($B$23)),COLUMN(B91)-2)+OFFSET(daily_original_wrong!$B$23, 1+2*(ROW(B91)-ROW($B$23)),COLUMN(B91)-2)</f>
        <v>2.3648079999999999E-3</v>
      </c>
      <c r="C91">
        <f ca="1">OFFSET(daily_original_wrong!$B$23, 2*(ROW(C91)-ROW($B$23)),COLUMN(C91)-2)+OFFSET(daily_original_wrong!$B$23, 1+2*(ROW(C91)-ROW($B$23)),COLUMN(C91)-2)</f>
        <v>2.3648079999999999E-3</v>
      </c>
      <c r="D91">
        <f ca="1">OFFSET(daily_original_wrong!$B$23, 2*(ROW(D91)-ROW($B$23)),COLUMN(D91)-2)+OFFSET(daily_original_wrong!$B$23, 1+2*(ROW(D91)-ROW($B$23)),COLUMN(D91)-2)</f>
        <v>2.1729420000000002E-3</v>
      </c>
      <c r="E91">
        <f ca="1">OFFSET(daily_original_wrong!$B$23, 2*(ROW(E91)-ROW($B$23)),COLUMN(E91)-2)+OFFSET(daily_original_wrong!$B$23, 1+2*(ROW(E91)-ROW($B$23)),COLUMN(E91)-2)</f>
        <v>1.2644679999999999E-3</v>
      </c>
      <c r="F91">
        <f ca="1">OFFSET(daily_original_wrong!$B$23, 2*(ROW(F91)-ROW($B$23)),COLUMN(F91)-2)+OFFSET(daily_original_wrong!$B$23, 1+2*(ROW(F91)-ROW($B$23)),COLUMN(F91)-2)</f>
        <v>1.563116E-3</v>
      </c>
      <c r="G91">
        <f ca="1">OFFSET(daily_original_wrong!$B$23, 2*(ROW(G91)-ROW($B$23)),COLUMN(G91)-2)+OFFSET(daily_original_wrong!$B$23, 1+2*(ROW(G91)-ROW($B$23)),COLUMN(G91)-2)</f>
        <v>1.760792E-3</v>
      </c>
      <c r="H91">
        <f ca="1">OFFSET(daily_original_wrong!$B$23, 2*(ROW(H91)-ROW($B$23)),COLUMN(H91)-2)+OFFSET(daily_original_wrong!$B$23, 1+2*(ROW(H91)-ROW($B$23)),COLUMN(H91)-2)</f>
        <v>2.2279259999999999E-3</v>
      </c>
      <c r="J91" t="str">
        <f t="shared" si="8"/>
        <v>[</v>
      </c>
      <c r="K91" t="str">
        <f t="shared" ca="1" si="9"/>
        <v>[0.001182404],</v>
      </c>
      <c r="L91" t="str">
        <f t="shared" ca="1" si="7"/>
        <v>[0.002364808],</v>
      </c>
      <c r="M91" t="str">
        <f t="shared" ca="1" si="7"/>
        <v>[0.002172942],</v>
      </c>
      <c r="N91" t="str">
        <f t="shared" ca="1" si="7"/>
        <v>[0.001264468],</v>
      </c>
      <c r="O91" t="str">
        <f t="shared" ca="1" si="7"/>
        <v>[0.001563116],</v>
      </c>
      <c r="P91" t="str">
        <f t="shared" ca="1" si="7"/>
        <v>[0.001760792],</v>
      </c>
      <c r="Q91" t="str">
        <f t="shared" ca="1" si="10"/>
        <v>[0.002227926]</v>
      </c>
      <c r="R91" t="str">
        <f t="shared" si="11"/>
        <v>]</v>
      </c>
      <c r="S91" t="str">
        <f t="shared" ca="1" si="12"/>
        <v>[[0.001182404],[0.002364808],[0.002172942],[0.001264468],[0.001563116],[0.001760792],[0.002227926]]</v>
      </c>
    </row>
    <row r="92" spans="1:19" x14ac:dyDescent="0.2">
      <c r="A92" s="1" t="d">
        <v>2025-11-14</v>
      </c>
      <c r="B92">
        <f ca="1">OFFSET(daily_original_wrong!$B$23, 2*(ROW(B92)-ROW($B$23)),COLUMN(B92)-2)+OFFSET(daily_original_wrong!$B$23, 1+2*(ROW(B92)-ROW($B$23)),COLUMN(B92)-2)</f>
        <v>2.3648079999999999E-3</v>
      </c>
      <c r="C92">
        <f ca="1">OFFSET(daily_original_wrong!$B$23, 2*(ROW(C92)-ROW($B$23)),COLUMN(C92)-2)+OFFSET(daily_original_wrong!$B$23, 1+2*(ROW(C92)-ROW($B$23)),COLUMN(C92)-2)</f>
        <v>2.3648079999999999E-3</v>
      </c>
      <c r="D92">
        <f ca="1">OFFSET(daily_original_wrong!$B$23, 2*(ROW(D92)-ROW($B$23)),COLUMN(D92)-2)+OFFSET(daily_original_wrong!$B$23, 1+2*(ROW(D92)-ROW($B$23)),COLUMN(D92)-2)</f>
        <v>2.1729420000000002E-3</v>
      </c>
      <c r="E92">
        <f ca="1">OFFSET(daily_original_wrong!$B$23, 2*(ROW(E92)-ROW($B$23)),COLUMN(E92)-2)+OFFSET(daily_original_wrong!$B$23, 1+2*(ROW(E92)-ROW($B$23)),COLUMN(E92)-2)</f>
        <v>1.2644679999999999E-3</v>
      </c>
      <c r="F92">
        <f ca="1">OFFSET(daily_original_wrong!$B$23, 2*(ROW(F92)-ROW($B$23)),COLUMN(F92)-2)+OFFSET(daily_original_wrong!$B$23, 1+2*(ROW(F92)-ROW($B$23)),COLUMN(F92)-2)</f>
        <v>1.563116E-3</v>
      </c>
      <c r="G92">
        <f ca="1">OFFSET(daily_original_wrong!$B$23, 2*(ROW(G92)-ROW($B$23)),COLUMN(G92)-2)+OFFSET(daily_original_wrong!$B$23, 1+2*(ROW(G92)-ROW($B$23)),COLUMN(G92)-2)</f>
        <v>1.760792E-3</v>
      </c>
      <c r="H92">
        <f ca="1">OFFSET(daily_original_wrong!$B$23, 2*(ROW(H92)-ROW($B$23)),COLUMN(H92)-2)+OFFSET(daily_original_wrong!$B$23, 1+2*(ROW(H92)-ROW($B$23)),COLUMN(H92)-2)</f>
        <v>2.2279259999999999E-3</v>
      </c>
      <c r="J92" t="str">
        <f t="shared" si="8"/>
        <v>[</v>
      </c>
      <c r="K92" t="str">
        <f t="shared" ca="1" si="9"/>
        <v>[0.001182404],</v>
      </c>
      <c r="L92" t="str">
        <f t="shared" ca="1" si="7"/>
        <v>[0.002364808],</v>
      </c>
      <c r="M92" t="str">
        <f t="shared" ca="1" si="7"/>
        <v>[0.002172942],</v>
      </c>
      <c r="N92" t="str">
        <f t="shared" ca="1" si="7"/>
        <v>[0.001264468],</v>
      </c>
      <c r="O92" t="str">
        <f t="shared" ca="1" si="7"/>
        <v>[0.001563116],</v>
      </c>
      <c r="P92" t="str">
        <f t="shared" ca="1" si="7"/>
        <v>[0.001760792],</v>
      </c>
      <c r="Q92" t="str">
        <f t="shared" ca="1" si="10"/>
        <v>[0.002227926]</v>
      </c>
      <c r="R92" t="str">
        <f t="shared" si="11"/>
        <v>]</v>
      </c>
      <c r="S92" t="str">
        <f t="shared" ca="1" si="12"/>
        <v>[[0.001182404],[0.002364808],[0.002172942],[0.001264468],[0.001563116],[0.001760792],[0.002227926]]</v>
      </c>
    </row>
    <row r="93" spans="1:19" x14ac:dyDescent="0.2">
      <c r="A93" s="1" t="d">
        <v>2025-11-15</v>
      </c>
      <c r="B93">
        <f ca="1">OFFSET(daily_original_wrong!$B$23, 2*(ROW(B93)-ROW($B$23)),COLUMN(B93)-2)+OFFSET(daily_original_wrong!$B$23, 1+2*(ROW(B93)-ROW($B$23)),COLUMN(B93)-2)</f>
        <v>1.66277E-3</v>
      </c>
      <c r="C93">
        <f ca="1">OFFSET(daily_original_wrong!$B$23, 2*(ROW(C93)-ROW($B$23)),COLUMN(C93)-2)+OFFSET(daily_original_wrong!$B$23, 1+2*(ROW(C93)-ROW($B$23)),COLUMN(C93)-2)</f>
        <v>1.66277E-3</v>
      </c>
      <c r="D93">
        <f ca="1">OFFSET(daily_original_wrong!$B$23, 2*(ROW(D93)-ROW($B$23)),COLUMN(D93)-2)+OFFSET(daily_original_wrong!$B$23, 1+2*(ROW(D93)-ROW($B$23)),COLUMN(D93)-2)</f>
        <v>1.649778E-3</v>
      </c>
      <c r="E93">
        <f ca="1">OFFSET(daily_original_wrong!$B$23, 2*(ROW(E93)-ROW($B$23)),COLUMN(E93)-2)+OFFSET(daily_original_wrong!$B$23, 1+2*(ROW(E93)-ROW($B$23)),COLUMN(E93)-2)</f>
        <v>9.34858E-4</v>
      </c>
      <c r="F93">
        <f ca="1">OFFSET(daily_original_wrong!$B$23, 2*(ROW(F93)-ROW($B$23)),COLUMN(F93)-2)+OFFSET(daily_original_wrong!$B$23, 1+2*(ROW(F93)-ROW($B$23)),COLUMN(F93)-2)</f>
        <v>1.392388E-3</v>
      </c>
      <c r="G93">
        <f ca="1">OFFSET(daily_original_wrong!$B$23, 2*(ROW(G93)-ROW($B$23)),COLUMN(G93)-2)+OFFSET(daily_original_wrong!$B$23, 1+2*(ROW(G93)-ROW($B$23)),COLUMN(G93)-2)</f>
        <v>1.4202660000000001E-3</v>
      </c>
      <c r="H93">
        <f ca="1">OFFSET(daily_original_wrong!$B$23, 2*(ROW(H93)-ROW($B$23)),COLUMN(H93)-2)+OFFSET(daily_original_wrong!$B$23, 1+2*(ROW(H93)-ROW($B$23)),COLUMN(H93)-2)</f>
        <v>1.9078439999999999E-3</v>
      </c>
      <c r="J93" t="str">
        <f t="shared" si="8"/>
        <v>[</v>
      </c>
      <c r="K93" t="str">
        <f t="shared" ca="1" si="9"/>
        <v>[0.000831385],</v>
      </c>
      <c r="L93" t="str">
        <f t="shared" ca="1" si="7"/>
        <v>[0.00166277],</v>
      </c>
      <c r="M93" t="str">
        <f t="shared" ca="1" si="7"/>
        <v>[0.001649778],</v>
      </c>
      <c r="N93" t="str">
        <f t="shared" ca="1" si="7"/>
        <v>[0.000934858],</v>
      </c>
      <c r="O93" t="str">
        <f t="shared" ca="1" si="7"/>
        <v>[0.001392388],</v>
      </c>
      <c r="P93" t="str">
        <f t="shared" ca="1" si="7"/>
        <v>[0.001420266],</v>
      </c>
      <c r="Q93" t="str">
        <f t="shared" ca="1" si="10"/>
        <v>[0.001907844]</v>
      </c>
      <c r="R93" t="str">
        <f t="shared" si="11"/>
        <v>]</v>
      </c>
      <c r="S93" t="str">
        <f t="shared" ca="1" si="12"/>
        <v>[[0.000831385],[0.00166277],[0.001649778],[0.000934858],[0.001392388],[0.001420266],[0.001907844]]</v>
      </c>
    </row>
    <row r="94" spans="1:19" x14ac:dyDescent="0.2">
      <c r="A94" s="1" t="d">
        <v>2025-11-16</v>
      </c>
      <c r="B94">
        <f ca="1">OFFSET(daily_original_wrong!$B$23, 2*(ROW(B94)-ROW($B$23)),COLUMN(B94)-2)+OFFSET(daily_original_wrong!$B$23, 1+2*(ROW(B94)-ROW($B$23)),COLUMN(B94)-2)</f>
        <v>1.66277E-3</v>
      </c>
      <c r="C94">
        <f ca="1">OFFSET(daily_original_wrong!$B$23, 2*(ROW(C94)-ROW($B$23)),COLUMN(C94)-2)+OFFSET(daily_original_wrong!$B$23, 1+2*(ROW(C94)-ROW($B$23)),COLUMN(C94)-2)</f>
        <v>1.66277E-3</v>
      </c>
      <c r="D94">
        <f ca="1">OFFSET(daily_original_wrong!$B$23, 2*(ROW(D94)-ROW($B$23)),COLUMN(D94)-2)+OFFSET(daily_original_wrong!$B$23, 1+2*(ROW(D94)-ROW($B$23)),COLUMN(D94)-2)</f>
        <v>1.649778E-3</v>
      </c>
      <c r="E94">
        <f ca="1">OFFSET(daily_original_wrong!$B$23, 2*(ROW(E94)-ROW($B$23)),COLUMN(E94)-2)+OFFSET(daily_original_wrong!$B$23, 1+2*(ROW(E94)-ROW($B$23)),COLUMN(E94)-2)</f>
        <v>9.34858E-4</v>
      </c>
      <c r="F94">
        <f ca="1">OFFSET(daily_original_wrong!$B$23, 2*(ROW(F94)-ROW($B$23)),COLUMN(F94)-2)+OFFSET(daily_original_wrong!$B$23, 1+2*(ROW(F94)-ROW($B$23)),COLUMN(F94)-2)</f>
        <v>1.392388E-3</v>
      </c>
      <c r="G94">
        <f ca="1">OFFSET(daily_original_wrong!$B$23, 2*(ROW(G94)-ROW($B$23)),COLUMN(G94)-2)+OFFSET(daily_original_wrong!$B$23, 1+2*(ROW(G94)-ROW($B$23)),COLUMN(G94)-2)</f>
        <v>1.4202660000000001E-3</v>
      </c>
      <c r="H94">
        <f ca="1">OFFSET(daily_original_wrong!$B$23, 2*(ROW(H94)-ROW($B$23)),COLUMN(H94)-2)+OFFSET(daily_original_wrong!$B$23, 1+2*(ROW(H94)-ROW($B$23)),COLUMN(H94)-2)</f>
        <v>1.9078439999999999E-3</v>
      </c>
      <c r="J94" t="str">
        <f t="shared" si="8"/>
        <v>[</v>
      </c>
      <c r="K94" t="str">
        <f t="shared" ca="1" si="9"/>
        <v>[0.000831385],</v>
      </c>
      <c r="L94" t="str">
        <f t="shared" ca="1" si="7"/>
        <v>[0.00166277],</v>
      </c>
      <c r="M94" t="str">
        <f t="shared" ca="1" si="7"/>
        <v>[0.001649778],</v>
      </c>
      <c r="N94" t="str">
        <f t="shared" ca="1" si="7"/>
        <v>[0.000934858],</v>
      </c>
      <c r="O94" t="str">
        <f t="shared" ca="1" si="7"/>
        <v>[0.001392388],</v>
      </c>
      <c r="P94" t="str">
        <f t="shared" ca="1" si="7"/>
        <v>[0.001420266],</v>
      </c>
      <c r="Q94" t="str">
        <f t="shared" ca="1" si="10"/>
        <v>[0.001907844]</v>
      </c>
      <c r="R94" t="str">
        <f t="shared" si="11"/>
        <v>]</v>
      </c>
      <c r="S94" t="str">
        <f t="shared" ca="1" si="12"/>
        <v>[[0.000831385],[0.00166277],[0.001649778],[0.000934858],[0.001392388],[0.001420266],[0.001907844]]</v>
      </c>
    </row>
    <row r="95" spans="1:19" x14ac:dyDescent="0.2">
      <c r="A95" s="1" t="d">
        <v>2025-11-17</v>
      </c>
      <c r="B95">
        <f ca="1">OFFSET(daily_original_wrong!$B$23, 2*(ROW(B95)-ROW($B$23)),COLUMN(B95)-2)+OFFSET(daily_original_wrong!$B$23, 1+2*(ROW(B95)-ROW($B$23)),COLUMN(B95)-2)</f>
        <v>1.66277E-3</v>
      </c>
      <c r="C95">
        <f ca="1">OFFSET(daily_original_wrong!$B$23, 2*(ROW(C95)-ROW($B$23)),COLUMN(C95)-2)+OFFSET(daily_original_wrong!$B$23, 1+2*(ROW(C95)-ROW($B$23)),COLUMN(C95)-2)</f>
        <v>1.66277E-3</v>
      </c>
      <c r="D95">
        <f ca="1">OFFSET(daily_original_wrong!$B$23, 2*(ROW(D95)-ROW($B$23)),COLUMN(D95)-2)+OFFSET(daily_original_wrong!$B$23, 1+2*(ROW(D95)-ROW($B$23)),COLUMN(D95)-2)</f>
        <v>1.649778E-3</v>
      </c>
      <c r="E95">
        <f ca="1">OFFSET(daily_original_wrong!$B$23, 2*(ROW(E95)-ROW($B$23)),COLUMN(E95)-2)+OFFSET(daily_original_wrong!$B$23, 1+2*(ROW(E95)-ROW($B$23)),COLUMN(E95)-2)</f>
        <v>9.34858E-4</v>
      </c>
      <c r="F95">
        <f ca="1">OFFSET(daily_original_wrong!$B$23, 2*(ROW(F95)-ROW($B$23)),COLUMN(F95)-2)+OFFSET(daily_original_wrong!$B$23, 1+2*(ROW(F95)-ROW($B$23)),COLUMN(F95)-2)</f>
        <v>1.392388E-3</v>
      </c>
      <c r="G95">
        <f ca="1">OFFSET(daily_original_wrong!$B$23, 2*(ROW(G95)-ROW($B$23)),COLUMN(G95)-2)+OFFSET(daily_original_wrong!$B$23, 1+2*(ROW(G95)-ROW($B$23)),COLUMN(G95)-2)</f>
        <v>1.4202660000000001E-3</v>
      </c>
      <c r="H95">
        <f ca="1">OFFSET(daily_original_wrong!$B$23, 2*(ROW(H95)-ROW($B$23)),COLUMN(H95)-2)+OFFSET(daily_original_wrong!$B$23, 1+2*(ROW(H95)-ROW($B$23)),COLUMN(H95)-2)</f>
        <v>1.9078439999999999E-3</v>
      </c>
      <c r="J95" t="str">
        <f t="shared" si="8"/>
        <v>[</v>
      </c>
      <c r="K95" t="str">
        <f t="shared" ca="1" si="9"/>
        <v>[0.000831385],</v>
      </c>
      <c r="L95" t="str">
        <f t="shared" ca="1" si="7"/>
        <v>[0.00166277],</v>
      </c>
      <c r="M95" t="str">
        <f t="shared" ca="1" si="7"/>
        <v>[0.001649778],</v>
      </c>
      <c r="N95" t="str">
        <f t="shared" ca="1" si="7"/>
        <v>[0.000934858],</v>
      </c>
      <c r="O95" t="str">
        <f t="shared" ca="1" si="7"/>
        <v>[0.001392388],</v>
      </c>
      <c r="P95" t="str">
        <f t="shared" ca="1" si="7"/>
        <v>[0.001420266],</v>
      </c>
      <c r="Q95" t="str">
        <f t="shared" ca="1" si="10"/>
        <v>[0.001907844]</v>
      </c>
      <c r="R95" t="str">
        <f t="shared" si="11"/>
        <v>]</v>
      </c>
      <c r="S95" t="str">
        <f t="shared" ca="1" si="12"/>
        <v>[[0.000831385],[0.00166277],[0.001649778],[0.000934858],[0.001392388],[0.001420266],[0.001907844]]</v>
      </c>
    </row>
    <row r="96" spans="1:19" x14ac:dyDescent="0.2">
      <c r="A96" s="1" t="d">
        <v>2025-11-18</v>
      </c>
      <c r="B96">
        <f ca="1">OFFSET(daily_original_wrong!$B$23, 2*(ROW(B96)-ROW($B$23)),COLUMN(B96)-2)+OFFSET(daily_original_wrong!$B$23, 1+2*(ROW(B96)-ROW($B$23)),COLUMN(B96)-2)</f>
        <v>2.7967109999999999E-3</v>
      </c>
      <c r="C96">
        <f ca="1">OFFSET(daily_original_wrong!$B$23, 2*(ROW(C96)-ROW($B$23)),COLUMN(C96)-2)+OFFSET(daily_original_wrong!$B$23, 1+2*(ROW(C96)-ROW($B$23)),COLUMN(C96)-2)</f>
        <v>2.7967109999999999E-3</v>
      </c>
      <c r="D96">
        <f ca="1">OFFSET(daily_original_wrong!$B$23, 2*(ROW(D96)-ROW($B$23)),COLUMN(D96)-2)+OFFSET(daily_original_wrong!$B$23, 1+2*(ROW(D96)-ROW($B$23)),COLUMN(D96)-2)</f>
        <v>2.6745319999999999E-3</v>
      </c>
      <c r="E96">
        <f ca="1">OFFSET(daily_original_wrong!$B$23, 2*(ROW(E96)-ROW($B$23)),COLUMN(E96)-2)+OFFSET(daily_original_wrong!$B$23, 1+2*(ROW(E96)-ROW($B$23)),COLUMN(E96)-2)</f>
        <v>1.5092069999999998E-3</v>
      </c>
      <c r="F96">
        <f ca="1">OFFSET(daily_original_wrong!$B$23, 2*(ROW(F96)-ROW($B$23)),COLUMN(F96)-2)+OFFSET(daily_original_wrong!$B$23, 1+2*(ROW(F96)-ROW($B$23)),COLUMN(F96)-2)</f>
        <v>2.2235600000000003E-3</v>
      </c>
      <c r="G96">
        <f ca="1">OFFSET(daily_original_wrong!$B$23, 2*(ROW(G96)-ROW($B$23)),COLUMN(G96)-2)+OFFSET(daily_original_wrong!$B$23, 1+2*(ROW(G96)-ROW($B$23)),COLUMN(G96)-2)</f>
        <v>2.3815400000000001E-3</v>
      </c>
      <c r="H96">
        <f ca="1">OFFSET(daily_original_wrong!$B$23, 2*(ROW(H96)-ROW($B$23)),COLUMN(H96)-2)+OFFSET(daily_original_wrong!$B$23, 1+2*(ROW(H96)-ROW($B$23)),COLUMN(H96)-2)</f>
        <v>2.9435059999999998E-3</v>
      </c>
      <c r="J96" t="str">
        <f t="shared" si="8"/>
        <v>[</v>
      </c>
      <c r="K96" t="str">
        <f t="shared" ca="1" si="9"/>
        <v>[0.0013983555],</v>
      </c>
      <c r="L96" t="str">
        <f t="shared" ca="1" si="7"/>
        <v>[0.002796711],</v>
      </c>
      <c r="M96" t="str">
        <f t="shared" ca="1" si="7"/>
        <v>[0.002674532],</v>
      </c>
      <c r="N96" t="str">
        <f t="shared" ca="1" si="7"/>
        <v>[0.001509207],</v>
      </c>
      <c r="O96" t="str">
        <f t="shared" ca="1" si="7"/>
        <v>[0.00222356],</v>
      </c>
      <c r="P96" t="str">
        <f t="shared" ca="1" si="7"/>
        <v>[0.00238154],</v>
      </c>
      <c r="Q96" t="str">
        <f t="shared" ca="1" si="10"/>
        <v>[0.002943506]</v>
      </c>
      <c r="R96" t="str">
        <f t="shared" si="11"/>
        <v>]</v>
      </c>
      <c r="S96" t="str">
        <f t="shared" ca="1" si="12"/>
        <v>[[0.0013983555],[0.002796711],[0.002674532],[0.001509207],[0.00222356],[0.00238154],[0.002943506]]</v>
      </c>
    </row>
    <row r="97" spans="1:19" x14ac:dyDescent="0.2">
      <c r="A97" s="1" t="d">
        <v>2025-11-19</v>
      </c>
      <c r="B97">
        <f ca="1">OFFSET(daily_original_wrong!$B$23, 2*(ROW(B97)-ROW($B$23)),COLUMN(B97)-2)+OFFSET(daily_original_wrong!$B$23, 1+2*(ROW(B97)-ROW($B$23)),COLUMN(B97)-2)</f>
        <v>3.9306519999999998E-3</v>
      </c>
      <c r="C97">
        <f ca="1">OFFSET(daily_original_wrong!$B$23, 2*(ROW(C97)-ROW($B$23)),COLUMN(C97)-2)+OFFSET(daily_original_wrong!$B$23, 1+2*(ROW(C97)-ROW($B$23)),COLUMN(C97)-2)</f>
        <v>3.9306519999999998E-3</v>
      </c>
      <c r="D97">
        <f ca="1">OFFSET(daily_original_wrong!$B$23, 2*(ROW(D97)-ROW($B$23)),COLUMN(D97)-2)+OFFSET(daily_original_wrong!$B$23, 1+2*(ROW(D97)-ROW($B$23)),COLUMN(D97)-2)</f>
        <v>3.699286E-3</v>
      </c>
      <c r="E97">
        <f ca="1">OFFSET(daily_original_wrong!$B$23, 2*(ROW(E97)-ROW($B$23)),COLUMN(E97)-2)+OFFSET(daily_original_wrong!$B$23, 1+2*(ROW(E97)-ROW($B$23)),COLUMN(E97)-2)</f>
        <v>2.0835559999999999E-3</v>
      </c>
      <c r="F97">
        <f ca="1">OFFSET(daily_original_wrong!$B$23, 2*(ROW(F97)-ROW($B$23)),COLUMN(F97)-2)+OFFSET(daily_original_wrong!$B$23, 1+2*(ROW(F97)-ROW($B$23)),COLUMN(F97)-2)</f>
        <v>3.0547320000000001E-3</v>
      </c>
      <c r="G97">
        <f ca="1">OFFSET(daily_original_wrong!$B$23, 2*(ROW(G97)-ROW($B$23)),COLUMN(G97)-2)+OFFSET(daily_original_wrong!$B$23, 1+2*(ROW(G97)-ROW($B$23)),COLUMN(G97)-2)</f>
        <v>3.3428139999999999E-3</v>
      </c>
      <c r="H97">
        <f ca="1">OFFSET(daily_original_wrong!$B$23, 2*(ROW(H97)-ROW($B$23)),COLUMN(H97)-2)+OFFSET(daily_original_wrong!$B$23, 1+2*(ROW(H97)-ROW($B$23)),COLUMN(H97)-2)</f>
        <v>3.9791679999999999E-3</v>
      </c>
      <c r="J97" t="str">
        <f t="shared" si="8"/>
        <v>[</v>
      </c>
      <c r="K97" t="str">
        <f t="shared" ca="1" si="9"/>
        <v>[0.001965326],</v>
      </c>
      <c r="L97" t="str">
        <f t="shared" ca="1" si="7"/>
        <v>[0.003930652],</v>
      </c>
      <c r="M97" t="str">
        <f t="shared" ca="1" si="7"/>
        <v>[0.003699286],</v>
      </c>
      <c r="N97" t="str">
        <f t="shared" ca="1" si="7"/>
        <v>[0.002083556],</v>
      </c>
      <c r="O97" t="str">
        <f t="shared" ca="1" si="7"/>
        <v>[0.003054732],</v>
      </c>
      <c r="P97" t="str">
        <f t="shared" ca="1" si="7"/>
        <v>[0.003342814],</v>
      </c>
      <c r="Q97" t="str">
        <f t="shared" ca="1" si="10"/>
        <v>[0.003979168]</v>
      </c>
      <c r="R97" t="str">
        <f t="shared" si="11"/>
        <v>]</v>
      </c>
      <c r="S97" t="str">
        <f t="shared" ca="1" si="12"/>
        <v>[[0.001965326],[0.003930652],[0.003699286],[0.002083556],[0.003054732],[0.003342814],[0.003979168]]</v>
      </c>
    </row>
    <row r="98" spans="1:19" x14ac:dyDescent="0.2">
      <c r="A98" s="1" t="d">
        <v>2025-11-20</v>
      </c>
      <c r="B98">
        <f ca="1">OFFSET(daily_original_wrong!$B$23, 2*(ROW(B98)-ROW($B$23)),COLUMN(B98)-2)+OFFSET(daily_original_wrong!$B$23, 1+2*(ROW(B98)-ROW($B$23)),COLUMN(B98)-2)</f>
        <v>3.9306519999999998E-3</v>
      </c>
      <c r="C98">
        <f ca="1">OFFSET(daily_original_wrong!$B$23, 2*(ROW(C98)-ROW($B$23)),COLUMN(C98)-2)+OFFSET(daily_original_wrong!$B$23, 1+2*(ROW(C98)-ROW($B$23)),COLUMN(C98)-2)</f>
        <v>3.9306519999999998E-3</v>
      </c>
      <c r="D98">
        <f ca="1">OFFSET(daily_original_wrong!$B$23, 2*(ROW(D98)-ROW($B$23)),COLUMN(D98)-2)+OFFSET(daily_original_wrong!$B$23, 1+2*(ROW(D98)-ROW($B$23)),COLUMN(D98)-2)</f>
        <v>3.699286E-3</v>
      </c>
      <c r="E98">
        <f ca="1">OFFSET(daily_original_wrong!$B$23, 2*(ROW(E98)-ROW($B$23)),COLUMN(E98)-2)+OFFSET(daily_original_wrong!$B$23, 1+2*(ROW(E98)-ROW($B$23)),COLUMN(E98)-2)</f>
        <v>2.0835559999999999E-3</v>
      </c>
      <c r="F98">
        <f ca="1">OFFSET(daily_original_wrong!$B$23, 2*(ROW(F98)-ROW($B$23)),COLUMN(F98)-2)+OFFSET(daily_original_wrong!$B$23, 1+2*(ROW(F98)-ROW($B$23)),COLUMN(F98)-2)</f>
        <v>3.0547320000000001E-3</v>
      </c>
      <c r="G98">
        <f ca="1">OFFSET(daily_original_wrong!$B$23, 2*(ROW(G98)-ROW($B$23)),COLUMN(G98)-2)+OFFSET(daily_original_wrong!$B$23, 1+2*(ROW(G98)-ROW($B$23)),COLUMN(G98)-2)</f>
        <v>3.3428139999999999E-3</v>
      </c>
      <c r="H98">
        <f ca="1">OFFSET(daily_original_wrong!$B$23, 2*(ROW(H98)-ROW($B$23)),COLUMN(H98)-2)+OFFSET(daily_original_wrong!$B$23, 1+2*(ROW(H98)-ROW($B$23)),COLUMN(H98)-2)</f>
        <v>3.9791679999999999E-3</v>
      </c>
      <c r="J98" t="str">
        <f t="shared" si="8"/>
        <v>[</v>
      </c>
      <c r="K98" t="str">
        <f t="shared" ca="1" si="9"/>
        <v>[0.001965326],</v>
      </c>
      <c r="L98" t="str">
        <f t="shared" ca="1" si="7"/>
        <v>[0.003930652],</v>
      </c>
      <c r="M98" t="str">
        <f t="shared" ca="1" si="7"/>
        <v>[0.003699286],</v>
      </c>
      <c r="N98" t="str">
        <f t="shared" ca="1" si="7"/>
        <v>[0.002083556],</v>
      </c>
      <c r="O98" t="str">
        <f t="shared" ca="1" si="7"/>
        <v>[0.003054732],</v>
      </c>
      <c r="P98" t="str">
        <f t="shared" ca="1" si="7"/>
        <v>[0.003342814],</v>
      </c>
      <c r="Q98" t="str">
        <f t="shared" ca="1" si="10"/>
        <v>[0.003979168]</v>
      </c>
      <c r="R98" t="str">
        <f t="shared" si="11"/>
        <v>]</v>
      </c>
      <c r="S98" t="str">
        <f t="shared" ca="1" si="12"/>
        <v>[[0.001965326],[0.003930652],[0.003699286],[0.002083556],[0.003054732],[0.003342814],[0.003979168]]</v>
      </c>
    </row>
    <row r="99" spans="1:19" x14ac:dyDescent="0.2">
      <c r="A99" s="1" t="d">
        <v>2025-11-21</v>
      </c>
      <c r="B99">
        <f ca="1">OFFSET(daily_original_wrong!$B$23, 2*(ROW(B99)-ROW($B$23)),COLUMN(B99)-2)+OFFSET(daily_original_wrong!$B$23, 1+2*(ROW(B99)-ROW($B$23)),COLUMN(B99)-2)</f>
        <v>3.9306519999999998E-3</v>
      </c>
      <c r="C99">
        <f ca="1">OFFSET(daily_original_wrong!$B$23, 2*(ROW(C99)-ROW($B$23)),COLUMN(C99)-2)+OFFSET(daily_original_wrong!$B$23, 1+2*(ROW(C99)-ROW($B$23)),COLUMN(C99)-2)</f>
        <v>3.9306519999999998E-3</v>
      </c>
      <c r="D99">
        <f ca="1">OFFSET(daily_original_wrong!$B$23, 2*(ROW(D99)-ROW($B$23)),COLUMN(D99)-2)+OFFSET(daily_original_wrong!$B$23, 1+2*(ROW(D99)-ROW($B$23)),COLUMN(D99)-2)</f>
        <v>3.699286E-3</v>
      </c>
      <c r="E99">
        <f ca="1">OFFSET(daily_original_wrong!$B$23, 2*(ROW(E99)-ROW($B$23)),COLUMN(E99)-2)+OFFSET(daily_original_wrong!$B$23, 1+2*(ROW(E99)-ROW($B$23)),COLUMN(E99)-2)</f>
        <v>2.0835559999999999E-3</v>
      </c>
      <c r="F99">
        <f ca="1">OFFSET(daily_original_wrong!$B$23, 2*(ROW(F99)-ROW($B$23)),COLUMN(F99)-2)+OFFSET(daily_original_wrong!$B$23, 1+2*(ROW(F99)-ROW($B$23)),COLUMN(F99)-2)</f>
        <v>3.0547320000000001E-3</v>
      </c>
      <c r="G99">
        <f ca="1">OFFSET(daily_original_wrong!$B$23, 2*(ROW(G99)-ROW($B$23)),COLUMN(G99)-2)+OFFSET(daily_original_wrong!$B$23, 1+2*(ROW(G99)-ROW($B$23)),COLUMN(G99)-2)</f>
        <v>3.3428139999999999E-3</v>
      </c>
      <c r="H99">
        <f ca="1">OFFSET(daily_original_wrong!$B$23, 2*(ROW(H99)-ROW($B$23)),COLUMN(H99)-2)+OFFSET(daily_original_wrong!$B$23, 1+2*(ROW(H99)-ROW($B$23)),COLUMN(H99)-2)</f>
        <v>3.9791679999999999E-3</v>
      </c>
      <c r="J99" t="str">
        <f t="shared" si="8"/>
        <v>[</v>
      </c>
      <c r="K99" t="str">
        <f t="shared" ca="1" si="9"/>
        <v>[0.001965326],</v>
      </c>
      <c r="L99" t="str">
        <f t="shared" ca="1" si="7"/>
        <v>[0.003930652],</v>
      </c>
      <c r="M99" t="str">
        <f t="shared" ca="1" si="7"/>
        <v>[0.003699286],</v>
      </c>
      <c r="N99" t="str">
        <f t="shared" ca="1" si="7"/>
        <v>[0.002083556],</v>
      </c>
      <c r="O99" t="str">
        <f t="shared" ca="1" si="7"/>
        <v>[0.003054732],</v>
      </c>
      <c r="P99" t="str">
        <f t="shared" ca="1" si="7"/>
        <v>[0.003342814],</v>
      </c>
      <c r="Q99" t="str">
        <f t="shared" ca="1" si="10"/>
        <v>[0.003979168]</v>
      </c>
      <c r="R99" t="str">
        <f t="shared" si="11"/>
        <v>]</v>
      </c>
      <c r="S99" t="str">
        <f t="shared" ca="1" si="12"/>
        <v>[[0.001965326],[0.003930652],[0.003699286],[0.002083556],[0.003054732],[0.003342814],[0.003979168]]</v>
      </c>
    </row>
    <row r="100" spans="1:19" x14ac:dyDescent="0.2">
      <c r="A100" s="1" t="d">
        <v>2025-11-22</v>
      </c>
      <c r="B100">
        <f ca="1">OFFSET(daily_original_wrong!$B$23, 2*(ROW(B100)-ROW($B$23)),COLUMN(B100)-2)+OFFSET(daily_original_wrong!$B$23, 1+2*(ROW(B100)-ROW($B$23)),COLUMN(B100)-2)</f>
        <v>2.280678E-3</v>
      </c>
      <c r="C100">
        <f ca="1">OFFSET(daily_original_wrong!$B$23, 2*(ROW(C100)-ROW($B$23)),COLUMN(C100)-2)+OFFSET(daily_original_wrong!$B$23, 1+2*(ROW(C100)-ROW($B$23)),COLUMN(C100)-2)</f>
        <v>2.280678E-3</v>
      </c>
      <c r="D100">
        <f ca="1">OFFSET(daily_original_wrong!$B$23, 2*(ROW(D100)-ROW($B$23)),COLUMN(D100)-2)+OFFSET(daily_original_wrong!$B$23, 1+2*(ROW(D100)-ROW($B$23)),COLUMN(D100)-2)</f>
        <v>1.8365180000000001E-3</v>
      </c>
      <c r="E100">
        <f ca="1">OFFSET(daily_original_wrong!$B$23, 2*(ROW(E100)-ROW($B$23)),COLUMN(E100)-2)+OFFSET(daily_original_wrong!$B$23, 1+2*(ROW(E100)-ROW($B$23)),COLUMN(E100)-2)</f>
        <v>1.0103460000000001E-3</v>
      </c>
      <c r="F100">
        <f ca="1">OFFSET(daily_original_wrong!$B$23, 2*(ROW(F100)-ROW($B$23)),COLUMN(F100)-2)+OFFSET(daily_original_wrong!$B$23, 1+2*(ROW(F100)-ROW($B$23)),COLUMN(F100)-2)</f>
        <v>1.382096E-3</v>
      </c>
      <c r="G100">
        <f ca="1">OFFSET(daily_original_wrong!$B$23, 2*(ROW(G100)-ROW($B$23)),COLUMN(G100)-2)+OFFSET(daily_original_wrong!$B$23, 1+2*(ROW(G100)-ROW($B$23)),COLUMN(G100)-2)</f>
        <v>1.905094E-3</v>
      </c>
      <c r="H100">
        <f ca="1">OFFSET(daily_original_wrong!$B$23, 2*(ROW(H100)-ROW($B$23)),COLUMN(H100)-2)+OFFSET(daily_original_wrong!$B$23, 1+2*(ROW(H100)-ROW($B$23)),COLUMN(H100)-2)</f>
        <v>1.541796E-3</v>
      </c>
      <c r="J100" t="str">
        <f t="shared" si="8"/>
        <v>[</v>
      </c>
      <c r="K100" t="str">
        <f t="shared" ca="1" si="9"/>
        <v>[0.001140339],</v>
      </c>
      <c r="L100" t="str">
        <f t="shared" ca="1" si="7"/>
        <v>[0.002280678],</v>
      </c>
      <c r="M100" t="str">
        <f t="shared" ca="1" si="7"/>
        <v>[0.001836518],</v>
      </c>
      <c r="N100" t="str">
        <f t="shared" ca="1" si="7"/>
        <v>[0.001010346],</v>
      </c>
      <c r="O100" t="str">
        <f t="shared" ca="1" si="7"/>
        <v>[0.001382096],</v>
      </c>
      <c r="P100" t="str">
        <f t="shared" ca="1" si="7"/>
        <v>[0.001905094],</v>
      </c>
      <c r="Q100" t="str">
        <f t="shared" ca="1" si="10"/>
        <v>[0.001541796]</v>
      </c>
      <c r="R100" t="str">
        <f t="shared" si="11"/>
        <v>]</v>
      </c>
      <c r="S100" t="str">
        <f t="shared" ca="1" si="12"/>
        <v>[[0.001140339],[0.002280678],[0.001836518],[0.001010346],[0.001382096],[0.001905094],[0.001541796]]</v>
      </c>
    </row>
    <row r="101" spans="1:19" x14ac:dyDescent="0.2">
      <c r="A101" s="1" t="d">
        <v>2025-11-23</v>
      </c>
      <c r="B101">
        <f ca="1">OFFSET(daily_original_wrong!$B$23, 2*(ROW(B101)-ROW($B$23)),COLUMN(B101)-2)+OFFSET(daily_original_wrong!$B$23, 1+2*(ROW(B101)-ROW($B$23)),COLUMN(B101)-2)</f>
        <v>2.280678E-3</v>
      </c>
      <c r="C101">
        <f ca="1">OFFSET(daily_original_wrong!$B$23, 2*(ROW(C101)-ROW($B$23)),COLUMN(C101)-2)+OFFSET(daily_original_wrong!$B$23, 1+2*(ROW(C101)-ROW($B$23)),COLUMN(C101)-2)</f>
        <v>2.280678E-3</v>
      </c>
      <c r="D101">
        <f ca="1">OFFSET(daily_original_wrong!$B$23, 2*(ROW(D101)-ROW($B$23)),COLUMN(D101)-2)+OFFSET(daily_original_wrong!$B$23, 1+2*(ROW(D101)-ROW($B$23)),COLUMN(D101)-2)</f>
        <v>1.8365180000000001E-3</v>
      </c>
      <c r="E101">
        <f ca="1">OFFSET(daily_original_wrong!$B$23, 2*(ROW(E101)-ROW($B$23)),COLUMN(E101)-2)+OFFSET(daily_original_wrong!$B$23, 1+2*(ROW(E101)-ROW($B$23)),COLUMN(E101)-2)</f>
        <v>1.0103460000000001E-3</v>
      </c>
      <c r="F101">
        <f ca="1">OFFSET(daily_original_wrong!$B$23, 2*(ROW(F101)-ROW($B$23)),COLUMN(F101)-2)+OFFSET(daily_original_wrong!$B$23, 1+2*(ROW(F101)-ROW($B$23)),COLUMN(F101)-2)</f>
        <v>1.382096E-3</v>
      </c>
      <c r="G101">
        <f ca="1">OFFSET(daily_original_wrong!$B$23, 2*(ROW(G101)-ROW($B$23)),COLUMN(G101)-2)+OFFSET(daily_original_wrong!$B$23, 1+2*(ROW(G101)-ROW($B$23)),COLUMN(G101)-2)</f>
        <v>1.905094E-3</v>
      </c>
      <c r="H101">
        <f ca="1">OFFSET(daily_original_wrong!$B$23, 2*(ROW(H101)-ROW($B$23)),COLUMN(H101)-2)+OFFSET(daily_original_wrong!$B$23, 1+2*(ROW(H101)-ROW($B$23)),COLUMN(H101)-2)</f>
        <v>1.541796E-3</v>
      </c>
      <c r="J101" t="str">
        <f t="shared" si="8"/>
        <v>[</v>
      </c>
      <c r="K101" t="str">
        <f t="shared" ca="1" si="9"/>
        <v>[0.001140339],</v>
      </c>
      <c r="L101" t="str">
        <f t="shared" ca="1" si="7"/>
        <v>[0.002280678],</v>
      </c>
      <c r="M101" t="str">
        <f t="shared" ca="1" si="7"/>
        <v>[0.001836518],</v>
      </c>
      <c r="N101" t="str">
        <f t="shared" ca="1" si="7"/>
        <v>[0.001010346],</v>
      </c>
      <c r="O101" t="str">
        <f t="shared" ca="1" si="7"/>
        <v>[0.001382096],</v>
      </c>
      <c r="P101" t="str">
        <f t="shared" ca="1" si="7"/>
        <v>[0.001905094],</v>
      </c>
      <c r="Q101" t="str">
        <f t="shared" ca="1" si="10"/>
        <v>[0.001541796]</v>
      </c>
      <c r="R101" t="str">
        <f t="shared" si="11"/>
        <v>]</v>
      </c>
      <c r="S101" t="str">
        <f t="shared" ca="1" si="12"/>
        <v>[[0.001140339],[0.002280678],[0.001836518],[0.001010346],[0.001382096],[0.001905094],[0.001541796]]</v>
      </c>
    </row>
    <row r="102" spans="1:19" x14ac:dyDescent="0.2">
      <c r="A102" s="1" t="d">
        <v>2025-11-24</v>
      </c>
      <c r="B102">
        <f ca="1">OFFSET(daily_original_wrong!$B$23, 2*(ROW(B102)-ROW($B$23)),COLUMN(B102)-2)+OFFSET(daily_original_wrong!$B$23, 1+2*(ROW(B102)-ROW($B$23)),COLUMN(B102)-2)</f>
        <v>2.280678E-3</v>
      </c>
      <c r="C102">
        <f ca="1">OFFSET(daily_original_wrong!$B$23, 2*(ROW(C102)-ROW($B$23)),COLUMN(C102)-2)+OFFSET(daily_original_wrong!$B$23, 1+2*(ROW(C102)-ROW($B$23)),COLUMN(C102)-2)</f>
        <v>2.280678E-3</v>
      </c>
      <c r="D102">
        <f ca="1">OFFSET(daily_original_wrong!$B$23, 2*(ROW(D102)-ROW($B$23)),COLUMN(D102)-2)+OFFSET(daily_original_wrong!$B$23, 1+2*(ROW(D102)-ROW($B$23)),COLUMN(D102)-2)</f>
        <v>1.8365180000000001E-3</v>
      </c>
      <c r="E102">
        <f ca="1">OFFSET(daily_original_wrong!$B$23, 2*(ROW(E102)-ROW($B$23)),COLUMN(E102)-2)+OFFSET(daily_original_wrong!$B$23, 1+2*(ROW(E102)-ROW($B$23)),COLUMN(E102)-2)</f>
        <v>1.0103460000000001E-3</v>
      </c>
      <c r="F102">
        <f ca="1">OFFSET(daily_original_wrong!$B$23, 2*(ROW(F102)-ROW($B$23)),COLUMN(F102)-2)+OFFSET(daily_original_wrong!$B$23, 1+2*(ROW(F102)-ROW($B$23)),COLUMN(F102)-2)</f>
        <v>1.382096E-3</v>
      </c>
      <c r="G102">
        <f ca="1">OFFSET(daily_original_wrong!$B$23, 2*(ROW(G102)-ROW($B$23)),COLUMN(G102)-2)+OFFSET(daily_original_wrong!$B$23, 1+2*(ROW(G102)-ROW($B$23)),COLUMN(G102)-2)</f>
        <v>1.905094E-3</v>
      </c>
      <c r="H102">
        <f ca="1">OFFSET(daily_original_wrong!$B$23, 2*(ROW(H102)-ROW($B$23)),COLUMN(H102)-2)+OFFSET(daily_original_wrong!$B$23, 1+2*(ROW(H102)-ROW($B$23)),COLUMN(H102)-2)</f>
        <v>1.541796E-3</v>
      </c>
      <c r="J102" t="str">
        <f t="shared" si="8"/>
        <v>[</v>
      </c>
      <c r="K102" t="str">
        <f t="shared" ca="1" si="9"/>
        <v>[0.001140339],</v>
      </c>
      <c r="L102" t="str">
        <f t="shared" ca="1" si="7"/>
        <v>[0.002280678],</v>
      </c>
      <c r="M102" t="str">
        <f t="shared" ca="1" si="7"/>
        <v>[0.001836518],</v>
      </c>
      <c r="N102" t="str">
        <f t="shared" ca="1" si="7"/>
        <v>[0.001010346],</v>
      </c>
      <c r="O102" t="str">
        <f t="shared" ca="1" si="7"/>
        <v>[0.001382096],</v>
      </c>
      <c r="P102" t="str">
        <f t="shared" ca="1" si="7"/>
        <v>[0.001905094],</v>
      </c>
      <c r="Q102" t="str">
        <f t="shared" ca="1" si="10"/>
        <v>[0.001541796]</v>
      </c>
      <c r="R102" t="str">
        <f t="shared" si="11"/>
        <v>]</v>
      </c>
      <c r="S102" t="str">
        <f t="shared" ca="1" si="12"/>
        <v>[[0.001140339],[0.002280678],[0.001836518],[0.001010346],[0.001382096],[0.001905094],[0.001541796]]</v>
      </c>
    </row>
    <row r="103" spans="1:19" x14ac:dyDescent="0.2">
      <c r="A103" s="1" t="d">
        <v>2025-11-25</v>
      </c>
      <c r="B103">
        <f ca="1">OFFSET(daily_original_wrong!$B$23, 2*(ROW(B103)-ROW($B$23)),COLUMN(B103)-2)+OFFSET(daily_original_wrong!$B$23, 1+2*(ROW(B103)-ROW($B$23)),COLUMN(B103)-2)</f>
        <v>2.4716989999999999E-3</v>
      </c>
      <c r="C103">
        <f ca="1">OFFSET(daily_original_wrong!$B$23, 2*(ROW(C103)-ROW($B$23)),COLUMN(C103)-2)+OFFSET(daily_original_wrong!$B$23, 1+2*(ROW(C103)-ROW($B$23)),COLUMN(C103)-2)</f>
        <v>2.4716989999999999E-3</v>
      </c>
      <c r="D103">
        <f ca="1">OFFSET(daily_original_wrong!$B$23, 2*(ROW(D103)-ROW($B$23)),COLUMN(D103)-2)+OFFSET(daily_original_wrong!$B$23, 1+2*(ROW(D103)-ROW($B$23)),COLUMN(D103)-2)</f>
        <v>1.8526689999999999E-3</v>
      </c>
      <c r="E103">
        <f ca="1">OFFSET(daily_original_wrong!$B$23, 2*(ROW(E103)-ROW($B$23)),COLUMN(E103)-2)+OFFSET(daily_original_wrong!$B$23, 1+2*(ROW(E103)-ROW($B$23)),COLUMN(E103)-2)</f>
        <v>1.013014E-3</v>
      </c>
      <c r="F103">
        <f ca="1">OFFSET(daily_original_wrong!$B$23, 2*(ROW(F103)-ROW($B$23)),COLUMN(F103)-2)+OFFSET(daily_original_wrong!$B$23, 1+2*(ROW(F103)-ROW($B$23)),COLUMN(F103)-2)</f>
        <v>1.310589E-3</v>
      </c>
      <c r="G103">
        <f ca="1">OFFSET(daily_original_wrong!$B$23, 2*(ROW(G103)-ROW($B$23)),COLUMN(G103)-2)+OFFSET(daily_original_wrong!$B$23, 1+2*(ROW(G103)-ROW($B$23)),COLUMN(G103)-2)</f>
        <v>2.024985E-3</v>
      </c>
      <c r="H103">
        <f ca="1">OFFSET(daily_original_wrong!$B$23, 2*(ROW(H103)-ROW($B$23)),COLUMN(H103)-2)+OFFSET(daily_original_wrong!$B$23, 1+2*(ROW(H103)-ROW($B$23)),COLUMN(H103)-2)</f>
        <v>1.3528609999999999E-3</v>
      </c>
      <c r="J103" t="str">
        <f t="shared" si="8"/>
        <v>[</v>
      </c>
      <c r="K103" t="str">
        <f t="shared" ca="1" si="9"/>
        <v>[0.0012358495],</v>
      </c>
      <c r="L103" t="str">
        <f t="shared" ca="1" si="7"/>
        <v>[0.002471699],</v>
      </c>
      <c r="M103" t="str">
        <f t="shared" ca="1" si="7"/>
        <v>[0.001852669],</v>
      </c>
      <c r="N103" t="str">
        <f t="shared" ca="1" si="7"/>
        <v>[0.001013014],</v>
      </c>
      <c r="O103" t="str">
        <f t="shared" ca="1" si="7"/>
        <v>[0.001310589],</v>
      </c>
      <c r="P103" t="str">
        <f t="shared" ca="1" si="7"/>
        <v>[0.002024985],</v>
      </c>
      <c r="Q103" t="str">
        <f t="shared" ca="1" si="10"/>
        <v>[0.001352861]</v>
      </c>
      <c r="R103" t="str">
        <f t="shared" si="11"/>
        <v>]</v>
      </c>
      <c r="S103" t="str">
        <f t="shared" ca="1" si="12"/>
        <v>[[0.0012358495],[0.002471699],[0.001852669],[0.001013014],[0.001310589],[0.002024985],[0.001352861]]</v>
      </c>
    </row>
    <row r="104" spans="1:19" x14ac:dyDescent="0.2">
      <c r="A104" s="1" t="d">
        <v>2025-11-26</v>
      </c>
      <c r="B104">
        <f ca="1">OFFSET(daily_original_wrong!$B$23, 2*(ROW(B104)-ROW($B$23)),COLUMN(B104)-2)+OFFSET(daily_original_wrong!$B$23, 1+2*(ROW(B104)-ROW($B$23)),COLUMN(B104)-2)</f>
        <v>2.6627199999999999E-3</v>
      </c>
      <c r="C104">
        <f ca="1">OFFSET(daily_original_wrong!$B$23, 2*(ROW(C104)-ROW($B$23)),COLUMN(C104)-2)+OFFSET(daily_original_wrong!$B$23, 1+2*(ROW(C104)-ROW($B$23)),COLUMN(C104)-2)</f>
        <v>2.6627199999999999E-3</v>
      </c>
      <c r="D104">
        <f ca="1">OFFSET(daily_original_wrong!$B$23, 2*(ROW(D104)-ROW($B$23)),COLUMN(D104)-2)+OFFSET(daily_original_wrong!$B$23, 1+2*(ROW(D104)-ROW($B$23)),COLUMN(D104)-2)</f>
        <v>1.86882E-3</v>
      </c>
      <c r="E104">
        <f ca="1">OFFSET(daily_original_wrong!$B$23, 2*(ROW(E104)-ROW($B$23)),COLUMN(E104)-2)+OFFSET(daily_original_wrong!$B$23, 1+2*(ROW(E104)-ROW($B$23)),COLUMN(E104)-2)</f>
        <v>1.015682E-3</v>
      </c>
      <c r="F104">
        <f ca="1">OFFSET(daily_original_wrong!$B$23, 2*(ROW(F104)-ROW($B$23)),COLUMN(F104)-2)+OFFSET(daily_original_wrong!$B$23, 1+2*(ROW(F104)-ROW($B$23)),COLUMN(F104)-2)</f>
        <v>1.2390820000000001E-3</v>
      </c>
      <c r="G104">
        <f ca="1">OFFSET(daily_original_wrong!$B$23, 2*(ROW(G104)-ROW($B$23)),COLUMN(G104)-2)+OFFSET(daily_original_wrong!$B$23, 1+2*(ROW(G104)-ROW($B$23)),COLUMN(G104)-2)</f>
        <v>2.144876E-3</v>
      </c>
      <c r="H104">
        <f ca="1">OFFSET(daily_original_wrong!$B$23, 2*(ROW(H104)-ROW($B$23)),COLUMN(H104)-2)+OFFSET(daily_original_wrong!$B$23, 1+2*(ROW(H104)-ROW($B$23)),COLUMN(H104)-2)</f>
        <v>1.163926E-3</v>
      </c>
      <c r="J104" t="str">
        <f t="shared" si="8"/>
        <v>[</v>
      </c>
      <c r="K104" t="str">
        <f t="shared" ca="1" si="9"/>
        <v>[0.00133136],</v>
      </c>
      <c r="L104" t="str">
        <f t="shared" ca="1" si="7"/>
        <v>[0.00266272],</v>
      </c>
      <c r="M104" t="str">
        <f t="shared" ca="1" si="7"/>
        <v>[0.00186882],</v>
      </c>
      <c r="N104" t="str">
        <f t="shared" ca="1" si="7"/>
        <v>[0.001015682],</v>
      </c>
      <c r="O104" t="str">
        <f t="shared" ca="1" si="7"/>
        <v>[0.001239082],</v>
      </c>
      <c r="P104" t="str">
        <f t="shared" ca="1" si="7"/>
        <v>[0.002144876],</v>
      </c>
      <c r="Q104" t="str">
        <f t="shared" ca="1" si="10"/>
        <v>[0.001163926]</v>
      </c>
      <c r="R104" t="str">
        <f t="shared" si="11"/>
        <v>]</v>
      </c>
      <c r="S104" t="str">
        <f t="shared" ca="1" si="12"/>
        <v>[[0.00133136],[0.00266272],[0.00186882],[0.001015682],[0.001239082],[0.002144876],[0.001163926]]</v>
      </c>
    </row>
    <row r="105" spans="1:19" x14ac:dyDescent="0.2">
      <c r="A105" s="1" t="d">
        <v>2025-11-27</v>
      </c>
      <c r="B105">
        <f ca="1">OFFSET(daily_original_wrong!$B$23, 2*(ROW(B105)-ROW($B$23)),COLUMN(B105)-2)+OFFSET(daily_original_wrong!$B$23, 1+2*(ROW(B105)-ROW($B$23)),COLUMN(B105)-2)</f>
        <v>2.6627199999999999E-3</v>
      </c>
      <c r="C105">
        <f ca="1">OFFSET(daily_original_wrong!$B$23, 2*(ROW(C105)-ROW($B$23)),COLUMN(C105)-2)+OFFSET(daily_original_wrong!$B$23, 1+2*(ROW(C105)-ROW($B$23)),COLUMN(C105)-2)</f>
        <v>2.6627199999999999E-3</v>
      </c>
      <c r="D105">
        <f ca="1">OFFSET(daily_original_wrong!$B$23, 2*(ROW(D105)-ROW($B$23)),COLUMN(D105)-2)+OFFSET(daily_original_wrong!$B$23, 1+2*(ROW(D105)-ROW($B$23)),COLUMN(D105)-2)</f>
        <v>1.86882E-3</v>
      </c>
      <c r="E105">
        <f ca="1">OFFSET(daily_original_wrong!$B$23, 2*(ROW(E105)-ROW($B$23)),COLUMN(E105)-2)+OFFSET(daily_original_wrong!$B$23, 1+2*(ROW(E105)-ROW($B$23)),COLUMN(E105)-2)</f>
        <v>1.015682E-3</v>
      </c>
      <c r="F105">
        <f ca="1">OFFSET(daily_original_wrong!$B$23, 2*(ROW(F105)-ROW($B$23)),COLUMN(F105)-2)+OFFSET(daily_original_wrong!$B$23, 1+2*(ROW(F105)-ROW($B$23)),COLUMN(F105)-2)</f>
        <v>1.2390820000000001E-3</v>
      </c>
      <c r="G105">
        <f ca="1">OFFSET(daily_original_wrong!$B$23, 2*(ROW(G105)-ROW($B$23)),COLUMN(G105)-2)+OFFSET(daily_original_wrong!$B$23, 1+2*(ROW(G105)-ROW($B$23)),COLUMN(G105)-2)</f>
        <v>2.144876E-3</v>
      </c>
      <c r="H105">
        <f ca="1">OFFSET(daily_original_wrong!$B$23, 2*(ROW(H105)-ROW($B$23)),COLUMN(H105)-2)+OFFSET(daily_original_wrong!$B$23, 1+2*(ROW(H105)-ROW($B$23)),COLUMN(H105)-2)</f>
        <v>1.163926E-3</v>
      </c>
      <c r="J105" t="str">
        <f t="shared" si="8"/>
        <v>[</v>
      </c>
      <c r="K105" t="str">
        <f t="shared" ca="1" si="9"/>
        <v>[0.00133136],</v>
      </c>
      <c r="L105" t="str">
        <f t="shared" ref="L105:P155" ca="1" si="13">"["&amp;C105&amp;"],"</f>
        <v>[0.00266272],</v>
      </c>
      <c r="M105" t="str">
        <f t="shared" ca="1" si="13"/>
        <v>[0.00186882],</v>
      </c>
      <c r="N105" t="str">
        <f t="shared" ca="1" si="13"/>
        <v>[0.001015682],</v>
      </c>
      <c r="O105" t="str">
        <f t="shared" ca="1" si="13"/>
        <v>[0.001239082],</v>
      </c>
      <c r="P105" t="str">
        <f t="shared" ca="1" si="13"/>
        <v>[0.002144876],</v>
      </c>
      <c r="Q105" t="str">
        <f t="shared" ca="1" si="10"/>
        <v>[0.001163926]</v>
      </c>
      <c r="R105" t="str">
        <f t="shared" si="11"/>
        <v>]</v>
      </c>
      <c r="S105" t="str">
        <f t="shared" ca="1" si="12"/>
        <v>[[0.00133136],[0.00266272],[0.00186882],[0.001015682],[0.001239082],[0.002144876],[0.001163926]]</v>
      </c>
    </row>
    <row r="106" spans="1:19" x14ac:dyDescent="0.2">
      <c r="A106" s="1" t="d">
        <v>2025-11-28</v>
      </c>
      <c r="B106">
        <f ca="1">OFFSET(daily_original_wrong!$B$23, 2*(ROW(B106)-ROW($B$23)),COLUMN(B106)-2)+OFFSET(daily_original_wrong!$B$23, 1+2*(ROW(B106)-ROW($B$23)),COLUMN(B106)-2)</f>
        <v>2.6627199999999999E-3</v>
      </c>
      <c r="C106">
        <f ca="1">OFFSET(daily_original_wrong!$B$23, 2*(ROW(C106)-ROW($B$23)),COLUMN(C106)-2)+OFFSET(daily_original_wrong!$B$23, 1+2*(ROW(C106)-ROW($B$23)),COLUMN(C106)-2)</f>
        <v>2.6627199999999999E-3</v>
      </c>
      <c r="D106">
        <f ca="1">OFFSET(daily_original_wrong!$B$23, 2*(ROW(D106)-ROW($B$23)),COLUMN(D106)-2)+OFFSET(daily_original_wrong!$B$23, 1+2*(ROW(D106)-ROW($B$23)),COLUMN(D106)-2)</f>
        <v>1.86882E-3</v>
      </c>
      <c r="E106">
        <f ca="1">OFFSET(daily_original_wrong!$B$23, 2*(ROW(E106)-ROW($B$23)),COLUMN(E106)-2)+OFFSET(daily_original_wrong!$B$23, 1+2*(ROW(E106)-ROW($B$23)),COLUMN(E106)-2)</f>
        <v>1.015682E-3</v>
      </c>
      <c r="F106">
        <f ca="1">OFFSET(daily_original_wrong!$B$23, 2*(ROW(F106)-ROW($B$23)),COLUMN(F106)-2)+OFFSET(daily_original_wrong!$B$23, 1+2*(ROW(F106)-ROW($B$23)),COLUMN(F106)-2)</f>
        <v>1.2390820000000001E-3</v>
      </c>
      <c r="G106">
        <f ca="1">OFFSET(daily_original_wrong!$B$23, 2*(ROW(G106)-ROW($B$23)),COLUMN(G106)-2)+OFFSET(daily_original_wrong!$B$23, 1+2*(ROW(G106)-ROW($B$23)),COLUMN(G106)-2)</f>
        <v>2.144876E-3</v>
      </c>
      <c r="H106">
        <f ca="1">OFFSET(daily_original_wrong!$B$23, 2*(ROW(H106)-ROW($B$23)),COLUMN(H106)-2)+OFFSET(daily_original_wrong!$B$23, 1+2*(ROW(H106)-ROW($B$23)),COLUMN(H106)-2)</f>
        <v>1.163926E-3</v>
      </c>
      <c r="J106" t="str">
        <f t="shared" si="8"/>
        <v>[</v>
      </c>
      <c r="K106" t="str">
        <f t="shared" ca="1" si="9"/>
        <v>[0.00133136],</v>
      </c>
      <c r="L106" t="str">
        <f t="shared" ca="1" si="13"/>
        <v>[0.00266272],</v>
      </c>
      <c r="M106" t="str">
        <f t="shared" ca="1" si="13"/>
        <v>[0.00186882],</v>
      </c>
      <c r="N106" t="str">
        <f t="shared" ca="1" si="13"/>
        <v>[0.001015682],</v>
      </c>
      <c r="O106" t="str">
        <f t="shared" ca="1" si="13"/>
        <v>[0.001239082],</v>
      </c>
      <c r="P106" t="str">
        <f t="shared" ca="1" si="13"/>
        <v>[0.002144876],</v>
      </c>
      <c r="Q106" t="str">
        <f t="shared" ca="1" si="10"/>
        <v>[0.001163926]</v>
      </c>
      <c r="R106" t="str">
        <f t="shared" si="11"/>
        <v>]</v>
      </c>
      <c r="S106" t="str">
        <f t="shared" ca="1" si="12"/>
        <v>[[0.00133136],[0.00266272],[0.00186882],[0.001015682],[0.001239082],[0.002144876],[0.001163926]]</v>
      </c>
    </row>
    <row r="107" spans="1:19" x14ac:dyDescent="0.2">
      <c r="A107" s="1" t="d">
        <v>2025-11-29</v>
      </c>
      <c r="B107">
        <f ca="1">OFFSET(daily_original_wrong!$B$23, 2*(ROW(B107)-ROW($B$23)),COLUMN(B107)-2)+OFFSET(daily_original_wrong!$B$23, 1+2*(ROW(B107)-ROW($B$23)),COLUMN(B107)-2)</f>
        <v>2.8438479999999999E-3</v>
      </c>
      <c r="C107">
        <f ca="1">OFFSET(daily_original_wrong!$B$23, 2*(ROW(C107)-ROW($B$23)),COLUMN(C107)-2)+OFFSET(daily_original_wrong!$B$23, 1+2*(ROW(C107)-ROW($B$23)),COLUMN(C107)-2)</f>
        <v>2.8438479999999999E-3</v>
      </c>
      <c r="D107">
        <f ca="1">OFFSET(daily_original_wrong!$B$23, 2*(ROW(D107)-ROW($B$23)),COLUMN(D107)-2)+OFFSET(daily_original_wrong!$B$23, 1+2*(ROW(D107)-ROW($B$23)),COLUMN(D107)-2)</f>
        <v>1.7951340000000001E-3</v>
      </c>
      <c r="E107">
        <f ca="1">OFFSET(daily_original_wrong!$B$23, 2*(ROW(E107)-ROW($B$23)),COLUMN(E107)-2)+OFFSET(daily_original_wrong!$B$23, 1+2*(ROW(E107)-ROW($B$23)),COLUMN(E107)-2)</f>
        <v>9.8452999999999995E-4</v>
      </c>
      <c r="F107">
        <f ca="1">OFFSET(daily_original_wrong!$B$23, 2*(ROW(F107)-ROW($B$23)),COLUMN(F107)-2)+OFFSET(daily_original_wrong!$B$23, 1+2*(ROW(F107)-ROW($B$23)),COLUMN(F107)-2)</f>
        <v>1.0893140000000001E-3</v>
      </c>
      <c r="G107">
        <f ca="1">OFFSET(daily_original_wrong!$B$23, 2*(ROW(G107)-ROW($B$23)),COLUMN(G107)-2)+OFFSET(daily_original_wrong!$B$23, 1+2*(ROW(G107)-ROW($B$23)),COLUMN(G107)-2)</f>
        <v>2.1921100000000002E-3</v>
      </c>
      <c r="H107">
        <f ca="1">OFFSET(daily_original_wrong!$B$23, 2*(ROW(H107)-ROW($B$23)),COLUMN(H107)-2)+OFFSET(daily_original_wrong!$B$23, 1+2*(ROW(H107)-ROW($B$23)),COLUMN(H107)-2)</f>
        <v>8.8625399999999995E-4</v>
      </c>
      <c r="J107" t="str">
        <f t="shared" si="8"/>
        <v>[</v>
      </c>
      <c r="K107" t="str">
        <f t="shared" ca="1" si="9"/>
        <v>[0.001421924],</v>
      </c>
      <c r="L107" t="str">
        <f t="shared" ca="1" si="13"/>
        <v>[0.002843848],</v>
      </c>
      <c r="M107" t="str">
        <f t="shared" ca="1" si="13"/>
        <v>[0.001795134],</v>
      </c>
      <c r="N107" t="str">
        <f t="shared" ca="1" si="13"/>
        <v>[0.00098453],</v>
      </c>
      <c r="O107" t="str">
        <f t="shared" ca="1" si="13"/>
        <v>[0.001089314],</v>
      </c>
      <c r="P107" t="str">
        <f t="shared" ca="1" si="13"/>
        <v>[0.00219211],</v>
      </c>
      <c r="Q107" t="str">
        <f t="shared" ca="1" si="10"/>
        <v>[0.000886254]</v>
      </c>
      <c r="R107" t="str">
        <f t="shared" si="11"/>
        <v>]</v>
      </c>
      <c r="S107" t="str">
        <f t="shared" ca="1" si="12"/>
        <v>[[0.001421924],[0.002843848],[0.001795134],[0.00098453],[0.001089314],[0.00219211],[0.000886254]]</v>
      </c>
    </row>
    <row r="108" spans="1:19" x14ac:dyDescent="0.2">
      <c r="A108" s="1" t="d">
        <v>2025-11-30</v>
      </c>
      <c r="B108">
        <f ca="1">OFFSET(daily_original_wrong!$B$23, 2*(ROW(B108)-ROW($B$23)),COLUMN(B108)-2)+OFFSET(daily_original_wrong!$B$23, 1+2*(ROW(B108)-ROW($B$23)),COLUMN(B108)-2)</f>
        <v>2.8438479999999999E-3</v>
      </c>
      <c r="C108">
        <f ca="1">OFFSET(daily_original_wrong!$B$23, 2*(ROW(C108)-ROW($B$23)),COLUMN(C108)-2)+OFFSET(daily_original_wrong!$B$23, 1+2*(ROW(C108)-ROW($B$23)),COLUMN(C108)-2)</f>
        <v>2.8438479999999999E-3</v>
      </c>
      <c r="D108">
        <f ca="1">OFFSET(daily_original_wrong!$B$23, 2*(ROW(D108)-ROW($B$23)),COLUMN(D108)-2)+OFFSET(daily_original_wrong!$B$23, 1+2*(ROW(D108)-ROW($B$23)),COLUMN(D108)-2)</f>
        <v>1.7951340000000001E-3</v>
      </c>
      <c r="E108">
        <f ca="1">OFFSET(daily_original_wrong!$B$23, 2*(ROW(E108)-ROW($B$23)),COLUMN(E108)-2)+OFFSET(daily_original_wrong!$B$23, 1+2*(ROW(E108)-ROW($B$23)),COLUMN(E108)-2)</f>
        <v>9.8452999999999995E-4</v>
      </c>
      <c r="F108">
        <f ca="1">OFFSET(daily_original_wrong!$B$23, 2*(ROW(F108)-ROW($B$23)),COLUMN(F108)-2)+OFFSET(daily_original_wrong!$B$23, 1+2*(ROW(F108)-ROW($B$23)),COLUMN(F108)-2)</f>
        <v>1.0893140000000001E-3</v>
      </c>
      <c r="G108">
        <f ca="1">OFFSET(daily_original_wrong!$B$23, 2*(ROW(G108)-ROW($B$23)),COLUMN(G108)-2)+OFFSET(daily_original_wrong!$B$23, 1+2*(ROW(G108)-ROW($B$23)),COLUMN(G108)-2)</f>
        <v>2.1921100000000002E-3</v>
      </c>
      <c r="H108">
        <f ca="1">OFFSET(daily_original_wrong!$B$23, 2*(ROW(H108)-ROW($B$23)),COLUMN(H108)-2)+OFFSET(daily_original_wrong!$B$23, 1+2*(ROW(H108)-ROW($B$23)),COLUMN(H108)-2)</f>
        <v>8.8625399999999995E-4</v>
      </c>
      <c r="J108" t="str">
        <f t="shared" si="8"/>
        <v>[</v>
      </c>
      <c r="K108" t="str">
        <f t="shared" ca="1" si="9"/>
        <v>[0.001421924],</v>
      </c>
      <c r="L108" t="str">
        <f t="shared" ca="1" si="13"/>
        <v>[0.002843848],</v>
      </c>
      <c r="M108" t="str">
        <f t="shared" ca="1" si="13"/>
        <v>[0.001795134],</v>
      </c>
      <c r="N108" t="str">
        <f t="shared" ca="1" si="13"/>
        <v>[0.00098453],</v>
      </c>
      <c r="O108" t="str">
        <f t="shared" ca="1" si="13"/>
        <v>[0.001089314],</v>
      </c>
      <c r="P108" t="str">
        <f t="shared" ca="1" si="13"/>
        <v>[0.00219211],</v>
      </c>
      <c r="Q108" t="str">
        <f t="shared" ca="1" si="10"/>
        <v>[0.000886254]</v>
      </c>
      <c r="R108" t="str">
        <f t="shared" si="11"/>
        <v>]</v>
      </c>
      <c r="S108" t="str">
        <f t="shared" ca="1" si="12"/>
        <v>[[0.001421924],[0.002843848],[0.001795134],[0.00098453],[0.001089314],[0.00219211],[0.000886254]]</v>
      </c>
    </row>
    <row r="109" spans="1:19" x14ac:dyDescent="0.2">
      <c r="A109" s="1" t="d">
        <v>2025-12-01</v>
      </c>
      <c r="B109">
        <f ca="1">OFFSET(daily_original_wrong!$B$23, 2*(ROW(B109)-ROW($B$23)),COLUMN(B109)-2)+OFFSET(daily_original_wrong!$B$23, 1+2*(ROW(B109)-ROW($B$23)),COLUMN(B109)-2)</f>
        <v>2.8438479999999999E-3</v>
      </c>
      <c r="C109">
        <f ca="1">OFFSET(daily_original_wrong!$B$23, 2*(ROW(C109)-ROW($B$23)),COLUMN(C109)-2)+OFFSET(daily_original_wrong!$B$23, 1+2*(ROW(C109)-ROW($B$23)),COLUMN(C109)-2)</f>
        <v>2.8438479999999999E-3</v>
      </c>
      <c r="D109">
        <f ca="1">OFFSET(daily_original_wrong!$B$23, 2*(ROW(D109)-ROW($B$23)),COLUMN(D109)-2)+OFFSET(daily_original_wrong!$B$23, 1+2*(ROW(D109)-ROW($B$23)),COLUMN(D109)-2)</f>
        <v>1.7951340000000001E-3</v>
      </c>
      <c r="E109">
        <f ca="1">OFFSET(daily_original_wrong!$B$23, 2*(ROW(E109)-ROW($B$23)),COLUMN(E109)-2)+OFFSET(daily_original_wrong!$B$23, 1+2*(ROW(E109)-ROW($B$23)),COLUMN(E109)-2)</f>
        <v>9.8452999999999995E-4</v>
      </c>
      <c r="F109">
        <f ca="1">OFFSET(daily_original_wrong!$B$23, 2*(ROW(F109)-ROW($B$23)),COLUMN(F109)-2)+OFFSET(daily_original_wrong!$B$23, 1+2*(ROW(F109)-ROW($B$23)),COLUMN(F109)-2)</f>
        <v>1.0893140000000001E-3</v>
      </c>
      <c r="G109">
        <f ca="1">OFFSET(daily_original_wrong!$B$23, 2*(ROW(G109)-ROW($B$23)),COLUMN(G109)-2)+OFFSET(daily_original_wrong!$B$23, 1+2*(ROW(G109)-ROW($B$23)),COLUMN(G109)-2)</f>
        <v>2.1921100000000002E-3</v>
      </c>
      <c r="H109">
        <f ca="1">OFFSET(daily_original_wrong!$B$23, 2*(ROW(H109)-ROW($B$23)),COLUMN(H109)-2)+OFFSET(daily_original_wrong!$B$23, 1+2*(ROW(H109)-ROW($B$23)),COLUMN(H109)-2)</f>
        <v>8.8625399999999995E-4</v>
      </c>
      <c r="J109" t="str">
        <f t="shared" si="8"/>
        <v>[</v>
      </c>
      <c r="K109" t="str">
        <f t="shared" ca="1" si="9"/>
        <v>[0.001421924],</v>
      </c>
      <c r="L109" t="str">
        <f t="shared" ca="1" si="13"/>
        <v>[0.002843848],</v>
      </c>
      <c r="M109" t="str">
        <f t="shared" ca="1" si="13"/>
        <v>[0.001795134],</v>
      </c>
      <c r="N109" t="str">
        <f t="shared" ca="1" si="13"/>
        <v>[0.00098453],</v>
      </c>
      <c r="O109" t="str">
        <f t="shared" ca="1" si="13"/>
        <v>[0.001089314],</v>
      </c>
      <c r="P109" t="str">
        <f t="shared" ca="1" si="13"/>
        <v>[0.00219211],</v>
      </c>
      <c r="Q109" t="str">
        <f t="shared" ca="1" si="10"/>
        <v>[0.000886254]</v>
      </c>
      <c r="R109" t="str">
        <f t="shared" si="11"/>
        <v>]</v>
      </c>
      <c r="S109" t="str">
        <f t="shared" ca="1" si="12"/>
        <v>[[0.001421924],[0.002843848],[0.001795134],[0.00098453],[0.001089314],[0.00219211],[0.000886254]]</v>
      </c>
    </row>
    <row r="110" spans="1:19" x14ac:dyDescent="0.2">
      <c r="A110" s="1" t="d">
        <v>2025-12-02</v>
      </c>
      <c r="B110">
        <f ca="1">OFFSET(daily_original_wrong!$B$23, 2*(ROW(B110)-ROW($B$23)),COLUMN(B110)-2)+OFFSET(daily_original_wrong!$B$23, 1+2*(ROW(B110)-ROW($B$23)),COLUMN(B110)-2)</f>
        <v>4.071458E-3</v>
      </c>
      <c r="C110">
        <f ca="1">OFFSET(daily_original_wrong!$B$23, 2*(ROW(C110)-ROW($B$23)),COLUMN(C110)-2)+OFFSET(daily_original_wrong!$B$23, 1+2*(ROW(C110)-ROW($B$23)),COLUMN(C110)-2)</f>
        <v>4.071458E-3</v>
      </c>
      <c r="D110">
        <f ca="1">OFFSET(daily_original_wrong!$B$23, 2*(ROW(D110)-ROW($B$23)),COLUMN(D110)-2)+OFFSET(daily_original_wrong!$B$23, 1+2*(ROW(D110)-ROW($B$23)),COLUMN(D110)-2)</f>
        <v>2.4746880000000001E-3</v>
      </c>
      <c r="E110">
        <f ca="1">OFFSET(daily_original_wrong!$B$23, 2*(ROW(E110)-ROW($B$23)),COLUMN(E110)-2)+OFFSET(daily_original_wrong!$B$23, 1+2*(ROW(E110)-ROW($B$23)),COLUMN(E110)-2)</f>
        <v>1.3910070000000001E-3</v>
      </c>
      <c r="F110">
        <f ca="1">OFFSET(daily_original_wrong!$B$23, 2*(ROW(F110)-ROW($B$23)),COLUMN(F110)-2)+OFFSET(daily_original_wrong!$B$23, 1+2*(ROW(F110)-ROW($B$23)),COLUMN(F110)-2)</f>
        <v>1.5173540000000001E-3</v>
      </c>
      <c r="G110">
        <f ca="1">OFFSET(daily_original_wrong!$B$23, 2*(ROW(G110)-ROW($B$23)),COLUMN(G110)-2)+OFFSET(daily_original_wrong!$B$23, 1+2*(ROW(G110)-ROW($B$23)),COLUMN(G110)-2)</f>
        <v>3.036385E-3</v>
      </c>
      <c r="H110">
        <f ca="1">OFFSET(daily_original_wrong!$B$23, 2*(ROW(H110)-ROW($B$23)),COLUMN(H110)-2)+OFFSET(daily_original_wrong!$B$23, 1+2*(ROW(H110)-ROW($B$23)),COLUMN(H110)-2)</f>
        <v>1.2475680000000001E-3</v>
      </c>
      <c r="J110" t="str">
        <f t="shared" si="8"/>
        <v>[</v>
      </c>
      <c r="K110" t="str">
        <f t="shared" ca="1" si="9"/>
        <v>[0.002035729],</v>
      </c>
      <c r="L110" t="str">
        <f t="shared" ca="1" si="13"/>
        <v>[0.004071458],</v>
      </c>
      <c r="M110" t="str">
        <f t="shared" ca="1" si="13"/>
        <v>[0.002474688],</v>
      </c>
      <c r="N110" t="str">
        <f t="shared" ca="1" si="13"/>
        <v>[0.001391007],</v>
      </c>
      <c r="O110" t="str">
        <f t="shared" ca="1" si="13"/>
        <v>[0.001517354],</v>
      </c>
      <c r="P110" t="str">
        <f t="shared" ca="1" si="13"/>
        <v>[0.003036385],</v>
      </c>
      <c r="Q110" t="str">
        <f t="shared" ca="1" si="10"/>
        <v>[0.001247568]</v>
      </c>
      <c r="R110" t="str">
        <f t="shared" si="11"/>
        <v>]</v>
      </c>
      <c r="S110" t="str">
        <f t="shared" ca="1" si="12"/>
        <v>[[0.002035729],[0.004071458],[0.002474688],[0.001391007],[0.001517354],[0.003036385],[0.001247568]]</v>
      </c>
    </row>
    <row r="111" spans="1:19" x14ac:dyDescent="0.2">
      <c r="A111" s="1" t="d">
        <v>2025-12-03</v>
      </c>
      <c r="B111">
        <f ca="1">OFFSET(daily_original_wrong!$B$23, 2*(ROW(B111)-ROW($B$23)),COLUMN(B111)-2)+OFFSET(daily_original_wrong!$B$23, 1+2*(ROW(B111)-ROW($B$23)),COLUMN(B111)-2)</f>
        <v>5.2990679999999997E-3</v>
      </c>
      <c r="C111">
        <f ca="1">OFFSET(daily_original_wrong!$B$23, 2*(ROW(C111)-ROW($B$23)),COLUMN(C111)-2)+OFFSET(daily_original_wrong!$B$23, 1+2*(ROW(C111)-ROW($B$23)),COLUMN(C111)-2)</f>
        <v>5.2990679999999997E-3</v>
      </c>
      <c r="D111">
        <f ca="1">OFFSET(daily_original_wrong!$B$23, 2*(ROW(D111)-ROW($B$23)),COLUMN(D111)-2)+OFFSET(daily_original_wrong!$B$23, 1+2*(ROW(D111)-ROW($B$23)),COLUMN(D111)-2)</f>
        <v>3.1542419999999998E-3</v>
      </c>
      <c r="E111">
        <f ca="1">OFFSET(daily_original_wrong!$B$23, 2*(ROW(E111)-ROW($B$23)),COLUMN(E111)-2)+OFFSET(daily_original_wrong!$B$23, 1+2*(ROW(E111)-ROW($B$23)),COLUMN(E111)-2)</f>
        <v>1.797484E-3</v>
      </c>
      <c r="F111">
        <f ca="1">OFFSET(daily_original_wrong!$B$23, 2*(ROW(F111)-ROW($B$23)),COLUMN(F111)-2)+OFFSET(daily_original_wrong!$B$23, 1+2*(ROW(F111)-ROW($B$23)),COLUMN(F111)-2)</f>
        <v>1.945394E-3</v>
      </c>
      <c r="G111">
        <f ca="1">OFFSET(daily_original_wrong!$B$23, 2*(ROW(G111)-ROW($B$23)),COLUMN(G111)-2)+OFFSET(daily_original_wrong!$B$23, 1+2*(ROW(G111)-ROW($B$23)),COLUMN(G111)-2)</f>
        <v>3.8806600000000002E-3</v>
      </c>
      <c r="H111">
        <f ca="1">OFFSET(daily_original_wrong!$B$23, 2*(ROW(H111)-ROW($B$23)),COLUMN(H111)-2)+OFFSET(daily_original_wrong!$B$23, 1+2*(ROW(H111)-ROW($B$23)),COLUMN(H111)-2)</f>
        <v>1.6088820000000001E-3</v>
      </c>
      <c r="J111" t="str">
        <f t="shared" si="8"/>
        <v>[</v>
      </c>
      <c r="K111" t="str">
        <f t="shared" ca="1" si="9"/>
        <v>[0.002649534],</v>
      </c>
      <c r="L111" t="str">
        <f t="shared" ca="1" si="13"/>
        <v>[0.005299068],</v>
      </c>
      <c r="M111" t="str">
        <f t="shared" ca="1" si="13"/>
        <v>[0.003154242],</v>
      </c>
      <c r="N111" t="str">
        <f t="shared" ca="1" si="13"/>
        <v>[0.001797484],</v>
      </c>
      <c r="O111" t="str">
        <f t="shared" ca="1" si="13"/>
        <v>[0.001945394],</v>
      </c>
      <c r="P111" t="str">
        <f t="shared" ca="1" si="13"/>
        <v>[0.00388066],</v>
      </c>
      <c r="Q111" t="str">
        <f t="shared" ca="1" si="10"/>
        <v>[0.001608882]</v>
      </c>
      <c r="R111" t="str">
        <f t="shared" si="11"/>
        <v>]</v>
      </c>
      <c r="S111" t="str">
        <f t="shared" ca="1" si="12"/>
        <v>[[0.002649534],[0.005299068],[0.003154242],[0.001797484],[0.001945394],[0.00388066],[0.001608882]]</v>
      </c>
    </row>
    <row r="112" spans="1:19" x14ac:dyDescent="0.2">
      <c r="A112" s="1" t="d">
        <v>2025-12-04</v>
      </c>
      <c r="B112">
        <f ca="1">OFFSET(daily_original_wrong!$B$23, 2*(ROW(B112)-ROW($B$23)),COLUMN(B112)-2)+OFFSET(daily_original_wrong!$B$23, 1+2*(ROW(B112)-ROW($B$23)),COLUMN(B112)-2)</f>
        <v>5.2990679999999997E-3</v>
      </c>
      <c r="C112">
        <f ca="1">OFFSET(daily_original_wrong!$B$23, 2*(ROW(C112)-ROW($B$23)),COLUMN(C112)-2)+OFFSET(daily_original_wrong!$B$23, 1+2*(ROW(C112)-ROW($B$23)),COLUMN(C112)-2)</f>
        <v>5.2990679999999997E-3</v>
      </c>
      <c r="D112">
        <f ca="1">OFFSET(daily_original_wrong!$B$23, 2*(ROW(D112)-ROW($B$23)),COLUMN(D112)-2)+OFFSET(daily_original_wrong!$B$23, 1+2*(ROW(D112)-ROW($B$23)),COLUMN(D112)-2)</f>
        <v>3.1542419999999998E-3</v>
      </c>
      <c r="E112">
        <f ca="1">OFFSET(daily_original_wrong!$B$23, 2*(ROW(E112)-ROW($B$23)),COLUMN(E112)-2)+OFFSET(daily_original_wrong!$B$23, 1+2*(ROW(E112)-ROW($B$23)),COLUMN(E112)-2)</f>
        <v>1.797484E-3</v>
      </c>
      <c r="F112">
        <f ca="1">OFFSET(daily_original_wrong!$B$23, 2*(ROW(F112)-ROW($B$23)),COLUMN(F112)-2)+OFFSET(daily_original_wrong!$B$23, 1+2*(ROW(F112)-ROW($B$23)),COLUMN(F112)-2)</f>
        <v>1.945394E-3</v>
      </c>
      <c r="G112">
        <f ca="1">OFFSET(daily_original_wrong!$B$23, 2*(ROW(G112)-ROW($B$23)),COLUMN(G112)-2)+OFFSET(daily_original_wrong!$B$23, 1+2*(ROW(G112)-ROW($B$23)),COLUMN(G112)-2)</f>
        <v>3.8806600000000002E-3</v>
      </c>
      <c r="H112">
        <f ca="1">OFFSET(daily_original_wrong!$B$23, 2*(ROW(H112)-ROW($B$23)),COLUMN(H112)-2)+OFFSET(daily_original_wrong!$B$23, 1+2*(ROW(H112)-ROW($B$23)),COLUMN(H112)-2)</f>
        <v>1.6088820000000001E-3</v>
      </c>
      <c r="J112" t="str">
        <f t="shared" si="8"/>
        <v>[</v>
      </c>
      <c r="K112" t="str">
        <f t="shared" ca="1" si="9"/>
        <v>[0.002649534],</v>
      </c>
      <c r="L112" t="str">
        <f t="shared" ca="1" si="13"/>
        <v>[0.005299068],</v>
      </c>
      <c r="M112" t="str">
        <f t="shared" ca="1" si="13"/>
        <v>[0.003154242],</v>
      </c>
      <c r="N112" t="str">
        <f t="shared" ca="1" si="13"/>
        <v>[0.001797484],</v>
      </c>
      <c r="O112" t="str">
        <f t="shared" ca="1" si="13"/>
        <v>[0.001945394],</v>
      </c>
      <c r="P112" t="str">
        <f t="shared" ca="1" si="13"/>
        <v>[0.00388066],</v>
      </c>
      <c r="Q112" t="str">
        <f t="shared" ca="1" si="10"/>
        <v>[0.001608882]</v>
      </c>
      <c r="R112" t="str">
        <f t="shared" si="11"/>
        <v>]</v>
      </c>
      <c r="S112" t="str">
        <f t="shared" ca="1" si="12"/>
        <v>[[0.002649534],[0.005299068],[0.003154242],[0.001797484],[0.001945394],[0.00388066],[0.001608882]]</v>
      </c>
    </row>
    <row r="113" spans="1:19" x14ac:dyDescent="0.2">
      <c r="A113" s="1" t="d">
        <v>2025-12-05</v>
      </c>
      <c r="B113">
        <f ca="1">OFFSET(daily_original_wrong!$B$23, 2*(ROW(B113)-ROW($B$23)),COLUMN(B113)-2)+OFFSET(daily_original_wrong!$B$23, 1+2*(ROW(B113)-ROW($B$23)),COLUMN(B113)-2)</f>
        <v>5.2990679999999997E-3</v>
      </c>
      <c r="C113">
        <f ca="1">OFFSET(daily_original_wrong!$B$23, 2*(ROW(C113)-ROW($B$23)),COLUMN(C113)-2)+OFFSET(daily_original_wrong!$B$23, 1+2*(ROW(C113)-ROW($B$23)),COLUMN(C113)-2)</f>
        <v>5.2990679999999997E-3</v>
      </c>
      <c r="D113">
        <f ca="1">OFFSET(daily_original_wrong!$B$23, 2*(ROW(D113)-ROW($B$23)),COLUMN(D113)-2)+OFFSET(daily_original_wrong!$B$23, 1+2*(ROW(D113)-ROW($B$23)),COLUMN(D113)-2)</f>
        <v>3.1542419999999998E-3</v>
      </c>
      <c r="E113">
        <f ca="1">OFFSET(daily_original_wrong!$B$23, 2*(ROW(E113)-ROW($B$23)),COLUMN(E113)-2)+OFFSET(daily_original_wrong!$B$23, 1+2*(ROW(E113)-ROW($B$23)),COLUMN(E113)-2)</f>
        <v>1.797484E-3</v>
      </c>
      <c r="F113">
        <f ca="1">OFFSET(daily_original_wrong!$B$23, 2*(ROW(F113)-ROW($B$23)),COLUMN(F113)-2)+OFFSET(daily_original_wrong!$B$23, 1+2*(ROW(F113)-ROW($B$23)),COLUMN(F113)-2)</f>
        <v>1.945394E-3</v>
      </c>
      <c r="G113">
        <f ca="1">OFFSET(daily_original_wrong!$B$23, 2*(ROW(G113)-ROW($B$23)),COLUMN(G113)-2)+OFFSET(daily_original_wrong!$B$23, 1+2*(ROW(G113)-ROW($B$23)),COLUMN(G113)-2)</f>
        <v>3.8806600000000002E-3</v>
      </c>
      <c r="H113">
        <f ca="1">OFFSET(daily_original_wrong!$B$23, 2*(ROW(H113)-ROW($B$23)),COLUMN(H113)-2)+OFFSET(daily_original_wrong!$B$23, 1+2*(ROW(H113)-ROW($B$23)),COLUMN(H113)-2)</f>
        <v>1.6088820000000001E-3</v>
      </c>
      <c r="J113" t="str">
        <f t="shared" si="8"/>
        <v>[</v>
      </c>
      <c r="K113" t="str">
        <f t="shared" ca="1" si="9"/>
        <v>[0.002649534],</v>
      </c>
      <c r="L113" t="str">
        <f t="shared" ca="1" si="13"/>
        <v>[0.005299068],</v>
      </c>
      <c r="M113" t="str">
        <f t="shared" ca="1" si="13"/>
        <v>[0.003154242],</v>
      </c>
      <c r="N113" t="str">
        <f t="shared" ca="1" si="13"/>
        <v>[0.001797484],</v>
      </c>
      <c r="O113" t="str">
        <f t="shared" ca="1" si="13"/>
        <v>[0.001945394],</v>
      </c>
      <c r="P113" t="str">
        <f t="shared" ca="1" si="13"/>
        <v>[0.00388066],</v>
      </c>
      <c r="Q113" t="str">
        <f t="shared" ca="1" si="10"/>
        <v>[0.001608882]</v>
      </c>
      <c r="R113" t="str">
        <f t="shared" si="11"/>
        <v>]</v>
      </c>
      <c r="S113" t="str">
        <f t="shared" ca="1" si="12"/>
        <v>[[0.002649534],[0.005299068],[0.003154242],[0.001797484],[0.001945394],[0.00388066],[0.001608882]]</v>
      </c>
    </row>
    <row r="114" spans="1:19" x14ac:dyDescent="0.2">
      <c r="A114" s="1" t="d">
        <v>2025-12-06</v>
      </c>
      <c r="B114">
        <f ca="1">OFFSET(daily_original_wrong!$B$23, 2*(ROW(B114)-ROW($B$23)),COLUMN(B114)-2)+OFFSET(daily_original_wrong!$B$23, 1+2*(ROW(B114)-ROW($B$23)),COLUMN(B114)-2)</f>
        <v>2.0545820000000001E-3</v>
      </c>
      <c r="C114">
        <f ca="1">OFFSET(daily_original_wrong!$B$23, 2*(ROW(C114)-ROW($B$23)),COLUMN(C114)-2)+OFFSET(daily_original_wrong!$B$23, 1+2*(ROW(C114)-ROW($B$23)),COLUMN(C114)-2)</f>
        <v>2.0545820000000001E-3</v>
      </c>
      <c r="D114">
        <f ca="1">OFFSET(daily_original_wrong!$B$23, 2*(ROW(D114)-ROW($B$23)),COLUMN(D114)-2)+OFFSET(daily_original_wrong!$B$23, 1+2*(ROW(D114)-ROW($B$23)),COLUMN(D114)-2)</f>
        <v>1.086446E-3</v>
      </c>
      <c r="E114">
        <f ca="1">OFFSET(daily_original_wrong!$B$23, 2*(ROW(E114)-ROW($B$23)),COLUMN(E114)-2)+OFFSET(daily_original_wrong!$B$23, 1+2*(ROW(E114)-ROW($B$23)),COLUMN(E114)-2)</f>
        <v>7.0663599999999996E-4</v>
      </c>
      <c r="F114">
        <f ca="1">OFFSET(daily_original_wrong!$B$23, 2*(ROW(F114)-ROW($B$23)),COLUMN(F114)-2)+OFFSET(daily_original_wrong!$B$23, 1+2*(ROW(F114)-ROW($B$23)),COLUMN(F114)-2)</f>
        <v>7.4995200000000002E-4</v>
      </c>
      <c r="G114">
        <f ca="1">OFFSET(daily_original_wrong!$B$23, 2*(ROW(G114)-ROW($B$23)),COLUMN(G114)-2)+OFFSET(daily_original_wrong!$B$23, 1+2*(ROW(G114)-ROW($B$23)),COLUMN(G114)-2)</f>
        <v>1.280914E-3</v>
      </c>
      <c r="H114">
        <f ca="1">OFFSET(daily_original_wrong!$B$23, 2*(ROW(H114)-ROW($B$23)),COLUMN(H114)-2)+OFFSET(daily_original_wrong!$B$23, 1+2*(ROW(H114)-ROW($B$23)),COLUMN(H114)-2)</f>
        <v>7.3165399999999998E-4</v>
      </c>
      <c r="J114" t="str">
        <f t="shared" si="8"/>
        <v>[</v>
      </c>
      <c r="K114" t="str">
        <f t="shared" ca="1" si="9"/>
        <v>[0.001027291],</v>
      </c>
      <c r="L114" t="str">
        <f t="shared" ca="1" si="13"/>
        <v>[0.002054582],</v>
      </c>
      <c r="M114" t="str">
        <f t="shared" ca="1" si="13"/>
        <v>[0.001086446],</v>
      </c>
      <c r="N114" t="str">
        <f t="shared" ca="1" si="13"/>
        <v>[0.000706636],</v>
      </c>
      <c r="O114" t="str">
        <f t="shared" ca="1" si="13"/>
        <v>[0.000749952],</v>
      </c>
      <c r="P114" t="str">
        <f t="shared" ca="1" si="13"/>
        <v>[0.001280914],</v>
      </c>
      <c r="Q114" t="str">
        <f t="shared" ca="1" si="10"/>
        <v>[0.000731654]</v>
      </c>
      <c r="R114" t="str">
        <f t="shared" si="11"/>
        <v>]</v>
      </c>
      <c r="S114" t="str">
        <f t="shared" ca="1" si="12"/>
        <v>[[0.001027291],[0.002054582],[0.001086446],[0.000706636],[0.000749952],[0.001280914],[0.000731654]]</v>
      </c>
    </row>
    <row r="115" spans="1:19" x14ac:dyDescent="0.2">
      <c r="A115" s="1" t="d">
        <v>2025-12-07</v>
      </c>
      <c r="B115">
        <f ca="1">OFFSET(daily_original_wrong!$B$23, 2*(ROW(B115)-ROW($B$23)),COLUMN(B115)-2)+OFFSET(daily_original_wrong!$B$23, 1+2*(ROW(B115)-ROW($B$23)),COLUMN(B115)-2)</f>
        <v>2.0545820000000001E-3</v>
      </c>
      <c r="C115">
        <f ca="1">OFFSET(daily_original_wrong!$B$23, 2*(ROW(C115)-ROW($B$23)),COLUMN(C115)-2)+OFFSET(daily_original_wrong!$B$23, 1+2*(ROW(C115)-ROW($B$23)),COLUMN(C115)-2)</f>
        <v>2.0545820000000001E-3</v>
      </c>
      <c r="D115">
        <f ca="1">OFFSET(daily_original_wrong!$B$23, 2*(ROW(D115)-ROW($B$23)),COLUMN(D115)-2)+OFFSET(daily_original_wrong!$B$23, 1+2*(ROW(D115)-ROW($B$23)),COLUMN(D115)-2)</f>
        <v>1.086446E-3</v>
      </c>
      <c r="E115">
        <f ca="1">OFFSET(daily_original_wrong!$B$23, 2*(ROW(E115)-ROW($B$23)),COLUMN(E115)-2)+OFFSET(daily_original_wrong!$B$23, 1+2*(ROW(E115)-ROW($B$23)),COLUMN(E115)-2)</f>
        <v>7.0663599999999996E-4</v>
      </c>
      <c r="F115">
        <f ca="1">OFFSET(daily_original_wrong!$B$23, 2*(ROW(F115)-ROW($B$23)),COLUMN(F115)-2)+OFFSET(daily_original_wrong!$B$23, 1+2*(ROW(F115)-ROW($B$23)),COLUMN(F115)-2)</f>
        <v>7.4995200000000002E-4</v>
      </c>
      <c r="G115">
        <f ca="1">OFFSET(daily_original_wrong!$B$23, 2*(ROW(G115)-ROW($B$23)),COLUMN(G115)-2)+OFFSET(daily_original_wrong!$B$23, 1+2*(ROW(G115)-ROW($B$23)),COLUMN(G115)-2)</f>
        <v>1.280914E-3</v>
      </c>
      <c r="H115">
        <f ca="1">OFFSET(daily_original_wrong!$B$23, 2*(ROW(H115)-ROW($B$23)),COLUMN(H115)-2)+OFFSET(daily_original_wrong!$B$23, 1+2*(ROW(H115)-ROW($B$23)),COLUMN(H115)-2)</f>
        <v>7.3165399999999998E-4</v>
      </c>
      <c r="J115" t="str">
        <f t="shared" si="8"/>
        <v>[</v>
      </c>
      <c r="K115" t="str">
        <f t="shared" ca="1" si="9"/>
        <v>[0.001027291],</v>
      </c>
      <c r="L115" t="str">
        <f t="shared" ca="1" si="13"/>
        <v>[0.002054582],</v>
      </c>
      <c r="M115" t="str">
        <f t="shared" ca="1" si="13"/>
        <v>[0.001086446],</v>
      </c>
      <c r="N115" t="str">
        <f t="shared" ca="1" si="13"/>
        <v>[0.000706636],</v>
      </c>
      <c r="O115" t="str">
        <f t="shared" ca="1" si="13"/>
        <v>[0.000749952],</v>
      </c>
      <c r="P115" t="str">
        <f t="shared" ca="1" si="13"/>
        <v>[0.001280914],</v>
      </c>
      <c r="Q115" t="str">
        <f t="shared" ca="1" si="10"/>
        <v>[0.000731654]</v>
      </c>
      <c r="R115" t="str">
        <f t="shared" si="11"/>
        <v>]</v>
      </c>
      <c r="S115" t="str">
        <f t="shared" ca="1" si="12"/>
        <v>[[0.001027291],[0.002054582],[0.001086446],[0.000706636],[0.000749952],[0.001280914],[0.000731654]]</v>
      </c>
    </row>
    <row r="116" spans="1:19" x14ac:dyDescent="0.2">
      <c r="A116" s="1" t="d">
        <v>2025-12-08</v>
      </c>
      <c r="B116">
        <f ca="1">OFFSET(daily_original_wrong!$B$23, 2*(ROW(B116)-ROW($B$23)),COLUMN(B116)-2)+OFFSET(daily_original_wrong!$B$23, 1+2*(ROW(B116)-ROW($B$23)),COLUMN(B116)-2)</f>
        <v>2.0545820000000001E-3</v>
      </c>
      <c r="C116">
        <f ca="1">OFFSET(daily_original_wrong!$B$23, 2*(ROW(C116)-ROW($B$23)),COLUMN(C116)-2)+OFFSET(daily_original_wrong!$B$23, 1+2*(ROW(C116)-ROW($B$23)),COLUMN(C116)-2)</f>
        <v>2.0545820000000001E-3</v>
      </c>
      <c r="D116">
        <f ca="1">OFFSET(daily_original_wrong!$B$23, 2*(ROW(D116)-ROW($B$23)),COLUMN(D116)-2)+OFFSET(daily_original_wrong!$B$23, 1+2*(ROW(D116)-ROW($B$23)),COLUMN(D116)-2)</f>
        <v>1.086446E-3</v>
      </c>
      <c r="E116">
        <f ca="1">OFFSET(daily_original_wrong!$B$23, 2*(ROW(E116)-ROW($B$23)),COLUMN(E116)-2)+OFFSET(daily_original_wrong!$B$23, 1+2*(ROW(E116)-ROW($B$23)),COLUMN(E116)-2)</f>
        <v>7.0663599999999996E-4</v>
      </c>
      <c r="F116">
        <f ca="1">OFFSET(daily_original_wrong!$B$23, 2*(ROW(F116)-ROW($B$23)),COLUMN(F116)-2)+OFFSET(daily_original_wrong!$B$23, 1+2*(ROW(F116)-ROW($B$23)),COLUMN(F116)-2)</f>
        <v>7.4995200000000002E-4</v>
      </c>
      <c r="G116">
        <f ca="1">OFFSET(daily_original_wrong!$B$23, 2*(ROW(G116)-ROW($B$23)),COLUMN(G116)-2)+OFFSET(daily_original_wrong!$B$23, 1+2*(ROW(G116)-ROW($B$23)),COLUMN(G116)-2)</f>
        <v>1.280914E-3</v>
      </c>
      <c r="H116">
        <f ca="1">OFFSET(daily_original_wrong!$B$23, 2*(ROW(H116)-ROW($B$23)),COLUMN(H116)-2)+OFFSET(daily_original_wrong!$B$23, 1+2*(ROW(H116)-ROW($B$23)),COLUMN(H116)-2)</f>
        <v>7.3165399999999998E-4</v>
      </c>
      <c r="J116" t="str">
        <f t="shared" si="8"/>
        <v>[</v>
      </c>
      <c r="K116" t="str">
        <f t="shared" ca="1" si="9"/>
        <v>[0.001027291],</v>
      </c>
      <c r="L116" t="str">
        <f t="shared" ca="1" si="13"/>
        <v>[0.002054582],</v>
      </c>
      <c r="M116" t="str">
        <f t="shared" ca="1" si="13"/>
        <v>[0.001086446],</v>
      </c>
      <c r="N116" t="str">
        <f t="shared" ca="1" si="13"/>
        <v>[0.000706636],</v>
      </c>
      <c r="O116" t="str">
        <f t="shared" ca="1" si="13"/>
        <v>[0.000749952],</v>
      </c>
      <c r="P116" t="str">
        <f t="shared" ca="1" si="13"/>
        <v>[0.001280914],</v>
      </c>
      <c r="Q116" t="str">
        <f t="shared" ca="1" si="10"/>
        <v>[0.000731654]</v>
      </c>
      <c r="R116" t="str">
        <f t="shared" si="11"/>
        <v>]</v>
      </c>
      <c r="S116" t="str">
        <f t="shared" ca="1" si="12"/>
        <v>[[0.001027291],[0.002054582],[0.001086446],[0.000706636],[0.000749952],[0.001280914],[0.000731654]]</v>
      </c>
    </row>
    <row r="117" spans="1:19" x14ac:dyDescent="0.2">
      <c r="A117" s="1" t="d">
        <v>2025-12-09</v>
      </c>
      <c r="B117">
        <f ca="1">OFFSET(daily_original_wrong!$B$23, 2*(ROW(B117)-ROW($B$23)),COLUMN(B117)-2)+OFFSET(daily_original_wrong!$B$23, 1+2*(ROW(B117)-ROW($B$23)),COLUMN(B117)-2)</f>
        <v>1.7569700000000001E-3</v>
      </c>
      <c r="C117">
        <f ca="1">OFFSET(daily_original_wrong!$B$23, 2*(ROW(C117)-ROW($B$23)),COLUMN(C117)-2)+OFFSET(daily_original_wrong!$B$23, 1+2*(ROW(C117)-ROW($B$23)),COLUMN(C117)-2)</f>
        <v>1.7569700000000001E-3</v>
      </c>
      <c r="D117">
        <f ca="1">OFFSET(daily_original_wrong!$B$23, 2*(ROW(D117)-ROW($B$23)),COLUMN(D117)-2)+OFFSET(daily_original_wrong!$B$23, 1+2*(ROW(D117)-ROW($B$23)),COLUMN(D117)-2)</f>
        <v>8.8018999999999999E-4</v>
      </c>
      <c r="E117">
        <f ca="1">OFFSET(daily_original_wrong!$B$23, 2*(ROW(E117)-ROW($B$23)),COLUMN(E117)-2)+OFFSET(daily_original_wrong!$B$23, 1+2*(ROW(E117)-ROW($B$23)),COLUMN(E117)-2)</f>
        <v>6.2286299999999998E-4</v>
      </c>
      <c r="F117">
        <f ca="1">OFFSET(daily_original_wrong!$B$23, 2*(ROW(F117)-ROW($B$23)),COLUMN(F117)-2)+OFFSET(daily_original_wrong!$B$23, 1+2*(ROW(F117)-ROW($B$23)),COLUMN(F117)-2)</f>
        <v>6.6197900000000004E-4</v>
      </c>
      <c r="G117">
        <f ca="1">OFFSET(daily_original_wrong!$B$23, 2*(ROW(G117)-ROW($B$23)),COLUMN(G117)-2)+OFFSET(daily_original_wrong!$B$23, 1+2*(ROW(G117)-ROW($B$23)),COLUMN(G117)-2)</f>
        <v>9.8611100000000002E-4</v>
      </c>
      <c r="H117">
        <f ca="1">OFFSET(daily_original_wrong!$B$23, 2*(ROW(H117)-ROW($B$23)),COLUMN(H117)-2)+OFFSET(daily_original_wrong!$B$23, 1+2*(ROW(H117)-ROW($B$23)),COLUMN(H117)-2)</f>
        <v>7.25685E-4</v>
      </c>
      <c r="J117" t="str">
        <f t="shared" si="8"/>
        <v>[</v>
      </c>
      <c r="K117" t="str">
        <f t="shared" ca="1" si="9"/>
        <v>[0.000878485],</v>
      </c>
      <c r="L117" t="str">
        <f t="shared" ca="1" si="13"/>
        <v>[0.00175697],</v>
      </c>
      <c r="M117" t="str">
        <f t="shared" ca="1" si="13"/>
        <v>[0.00088019],</v>
      </c>
      <c r="N117" t="str">
        <f t="shared" ca="1" si="13"/>
        <v>[0.000622863],</v>
      </c>
      <c r="O117" t="str">
        <f t="shared" ca="1" si="13"/>
        <v>[0.000661979],</v>
      </c>
      <c r="P117" t="str">
        <f t="shared" ca="1" si="13"/>
        <v>[0.000986111],</v>
      </c>
      <c r="Q117" t="str">
        <f t="shared" ca="1" si="10"/>
        <v>[0.000725685]</v>
      </c>
      <c r="R117" t="str">
        <f t="shared" si="11"/>
        <v>]</v>
      </c>
      <c r="S117" t="str">
        <f t="shared" ca="1" si="12"/>
        <v>[[0.000878485],[0.00175697],[0.00088019],[0.000622863],[0.000661979],[0.000986111],[0.000725685]]</v>
      </c>
    </row>
    <row r="118" spans="1:19" x14ac:dyDescent="0.2">
      <c r="A118" s="1" t="d">
        <v>2025-12-10</v>
      </c>
      <c r="B118">
        <f ca="1">OFFSET(daily_original_wrong!$B$23, 2*(ROW(B118)-ROW($B$23)),COLUMN(B118)-2)+OFFSET(daily_original_wrong!$B$23, 1+2*(ROW(B118)-ROW($B$23)),COLUMN(B118)-2)</f>
        <v>1.459358E-3</v>
      </c>
      <c r="C118">
        <f ca="1">OFFSET(daily_original_wrong!$B$23, 2*(ROW(C118)-ROW($B$23)),COLUMN(C118)-2)+OFFSET(daily_original_wrong!$B$23, 1+2*(ROW(C118)-ROW($B$23)),COLUMN(C118)-2)</f>
        <v>1.459358E-3</v>
      </c>
      <c r="D118">
        <f ca="1">OFFSET(daily_original_wrong!$B$23, 2*(ROW(D118)-ROW($B$23)),COLUMN(D118)-2)+OFFSET(daily_original_wrong!$B$23, 1+2*(ROW(D118)-ROW($B$23)),COLUMN(D118)-2)</f>
        <v>6.7393399999999995E-4</v>
      </c>
      <c r="E118">
        <f ca="1">OFFSET(daily_original_wrong!$B$23, 2*(ROW(E118)-ROW($B$23)),COLUMN(E118)-2)+OFFSET(daily_original_wrong!$B$23, 1+2*(ROW(E118)-ROW($B$23)),COLUMN(E118)-2)</f>
        <v>5.3908999999999999E-4</v>
      </c>
      <c r="F118">
        <f ca="1">OFFSET(daily_original_wrong!$B$23, 2*(ROW(F118)-ROW($B$23)),COLUMN(F118)-2)+OFFSET(daily_original_wrong!$B$23, 1+2*(ROW(F118)-ROW($B$23)),COLUMN(F118)-2)</f>
        <v>5.7400599999999995E-4</v>
      </c>
      <c r="G118">
        <f ca="1">OFFSET(daily_original_wrong!$B$23, 2*(ROW(G118)-ROW($B$23)),COLUMN(G118)-2)+OFFSET(daily_original_wrong!$B$23, 1+2*(ROW(G118)-ROW($B$23)),COLUMN(G118)-2)</f>
        <v>6.9130799999999996E-4</v>
      </c>
      <c r="H118">
        <f ca="1">OFFSET(daily_original_wrong!$B$23, 2*(ROW(H118)-ROW($B$23)),COLUMN(H118)-2)+OFFSET(daily_original_wrong!$B$23, 1+2*(ROW(H118)-ROW($B$23)),COLUMN(H118)-2)</f>
        <v>7.1971600000000002E-4</v>
      </c>
      <c r="J118" t="str">
        <f t="shared" si="8"/>
        <v>[</v>
      </c>
      <c r="K118" t="str">
        <f t="shared" ca="1" si="9"/>
        <v>[0.000729679],</v>
      </c>
      <c r="L118" t="str">
        <f t="shared" ca="1" si="13"/>
        <v>[0.001459358],</v>
      </c>
      <c r="M118" t="str">
        <f t="shared" ca="1" si="13"/>
        <v>[0.000673934],</v>
      </c>
      <c r="N118" t="str">
        <f t="shared" ca="1" si="13"/>
        <v>[0.00053909],</v>
      </c>
      <c r="O118" t="str">
        <f t="shared" ca="1" si="13"/>
        <v>[0.000574006],</v>
      </c>
      <c r="P118" t="str">
        <f t="shared" ca="1" si="13"/>
        <v>[0.000691308],</v>
      </c>
      <c r="Q118" t="str">
        <f t="shared" ca="1" si="10"/>
        <v>[0.000719716]</v>
      </c>
      <c r="R118" t="str">
        <f t="shared" si="11"/>
        <v>]</v>
      </c>
      <c r="S118" t="str">
        <f t="shared" ca="1" si="12"/>
        <v>[[0.000729679],[0.001459358],[0.000673934],[0.00053909],[0.000574006],[0.000691308],[0.000719716]]</v>
      </c>
    </row>
    <row r="119" spans="1:19" x14ac:dyDescent="0.2">
      <c r="A119" s="1" t="d">
        <v>2025-12-11</v>
      </c>
      <c r="B119">
        <f ca="1">OFFSET(daily_original_wrong!$B$23, 2*(ROW(B119)-ROW($B$23)),COLUMN(B119)-2)+OFFSET(daily_original_wrong!$B$23, 1+2*(ROW(B119)-ROW($B$23)),COLUMN(B119)-2)</f>
        <v>1.459358E-3</v>
      </c>
      <c r="C119">
        <f ca="1">OFFSET(daily_original_wrong!$B$23, 2*(ROW(C119)-ROW($B$23)),COLUMN(C119)-2)+OFFSET(daily_original_wrong!$B$23, 1+2*(ROW(C119)-ROW($B$23)),COLUMN(C119)-2)</f>
        <v>1.459358E-3</v>
      </c>
      <c r="D119">
        <f ca="1">OFFSET(daily_original_wrong!$B$23, 2*(ROW(D119)-ROW($B$23)),COLUMN(D119)-2)+OFFSET(daily_original_wrong!$B$23, 1+2*(ROW(D119)-ROW($B$23)),COLUMN(D119)-2)</f>
        <v>6.7393399999999995E-4</v>
      </c>
      <c r="E119">
        <f ca="1">OFFSET(daily_original_wrong!$B$23, 2*(ROW(E119)-ROW($B$23)),COLUMN(E119)-2)+OFFSET(daily_original_wrong!$B$23, 1+2*(ROW(E119)-ROW($B$23)),COLUMN(E119)-2)</f>
        <v>5.3908999999999999E-4</v>
      </c>
      <c r="F119">
        <f ca="1">OFFSET(daily_original_wrong!$B$23, 2*(ROW(F119)-ROW($B$23)),COLUMN(F119)-2)+OFFSET(daily_original_wrong!$B$23, 1+2*(ROW(F119)-ROW($B$23)),COLUMN(F119)-2)</f>
        <v>5.7400599999999995E-4</v>
      </c>
      <c r="G119">
        <f ca="1">OFFSET(daily_original_wrong!$B$23, 2*(ROW(G119)-ROW($B$23)),COLUMN(G119)-2)+OFFSET(daily_original_wrong!$B$23, 1+2*(ROW(G119)-ROW($B$23)),COLUMN(G119)-2)</f>
        <v>6.9130799999999996E-4</v>
      </c>
      <c r="H119">
        <f ca="1">OFFSET(daily_original_wrong!$B$23, 2*(ROW(H119)-ROW($B$23)),COLUMN(H119)-2)+OFFSET(daily_original_wrong!$B$23, 1+2*(ROW(H119)-ROW($B$23)),COLUMN(H119)-2)</f>
        <v>7.1971600000000002E-4</v>
      </c>
      <c r="J119" t="str">
        <f t="shared" si="8"/>
        <v>[</v>
      </c>
      <c r="K119" t="str">
        <f t="shared" ca="1" si="9"/>
        <v>[0.000729679],</v>
      </c>
      <c r="L119" t="str">
        <f t="shared" ca="1" si="13"/>
        <v>[0.001459358],</v>
      </c>
      <c r="M119" t="str">
        <f t="shared" ca="1" si="13"/>
        <v>[0.000673934],</v>
      </c>
      <c r="N119" t="str">
        <f t="shared" ca="1" si="13"/>
        <v>[0.00053909],</v>
      </c>
      <c r="O119" t="str">
        <f t="shared" ca="1" si="13"/>
        <v>[0.000574006],</v>
      </c>
      <c r="P119" t="str">
        <f t="shared" ca="1" si="13"/>
        <v>[0.000691308],</v>
      </c>
      <c r="Q119" t="str">
        <f t="shared" ca="1" si="10"/>
        <v>[0.000719716]</v>
      </c>
      <c r="R119" t="str">
        <f t="shared" si="11"/>
        <v>]</v>
      </c>
      <c r="S119" t="str">
        <f t="shared" ca="1" si="12"/>
        <v>[[0.000729679],[0.001459358],[0.000673934],[0.00053909],[0.000574006],[0.000691308],[0.000719716]]</v>
      </c>
    </row>
    <row r="120" spans="1:19" x14ac:dyDescent="0.2">
      <c r="A120" s="1" t="d">
        <v>2025-12-12</v>
      </c>
      <c r="B120">
        <f ca="1">OFFSET(daily_original_wrong!$B$23, 2*(ROW(B120)-ROW($B$23)),COLUMN(B120)-2)+OFFSET(daily_original_wrong!$B$23, 1+2*(ROW(B120)-ROW($B$23)),COLUMN(B120)-2)</f>
        <v>1.459358E-3</v>
      </c>
      <c r="C120">
        <f ca="1">OFFSET(daily_original_wrong!$B$23, 2*(ROW(C120)-ROW($B$23)),COLUMN(C120)-2)+OFFSET(daily_original_wrong!$B$23, 1+2*(ROW(C120)-ROW($B$23)),COLUMN(C120)-2)</f>
        <v>1.459358E-3</v>
      </c>
      <c r="D120">
        <f ca="1">OFFSET(daily_original_wrong!$B$23, 2*(ROW(D120)-ROW($B$23)),COLUMN(D120)-2)+OFFSET(daily_original_wrong!$B$23, 1+2*(ROW(D120)-ROW($B$23)),COLUMN(D120)-2)</f>
        <v>6.7393399999999995E-4</v>
      </c>
      <c r="E120">
        <f ca="1">OFFSET(daily_original_wrong!$B$23, 2*(ROW(E120)-ROW($B$23)),COLUMN(E120)-2)+OFFSET(daily_original_wrong!$B$23, 1+2*(ROW(E120)-ROW($B$23)),COLUMN(E120)-2)</f>
        <v>5.3908999999999999E-4</v>
      </c>
      <c r="F120">
        <f ca="1">OFFSET(daily_original_wrong!$B$23, 2*(ROW(F120)-ROW($B$23)),COLUMN(F120)-2)+OFFSET(daily_original_wrong!$B$23, 1+2*(ROW(F120)-ROW($B$23)),COLUMN(F120)-2)</f>
        <v>5.7400599999999995E-4</v>
      </c>
      <c r="G120">
        <f ca="1">OFFSET(daily_original_wrong!$B$23, 2*(ROW(G120)-ROW($B$23)),COLUMN(G120)-2)+OFFSET(daily_original_wrong!$B$23, 1+2*(ROW(G120)-ROW($B$23)),COLUMN(G120)-2)</f>
        <v>6.9130799999999996E-4</v>
      </c>
      <c r="H120">
        <f ca="1">OFFSET(daily_original_wrong!$B$23, 2*(ROW(H120)-ROW($B$23)),COLUMN(H120)-2)+OFFSET(daily_original_wrong!$B$23, 1+2*(ROW(H120)-ROW($B$23)),COLUMN(H120)-2)</f>
        <v>7.1971600000000002E-4</v>
      </c>
      <c r="J120" t="str">
        <f t="shared" si="8"/>
        <v>[</v>
      </c>
      <c r="K120" t="str">
        <f t="shared" ca="1" si="9"/>
        <v>[0.000729679],</v>
      </c>
      <c r="L120" t="str">
        <f t="shared" ca="1" si="13"/>
        <v>[0.001459358],</v>
      </c>
      <c r="M120" t="str">
        <f t="shared" ca="1" si="13"/>
        <v>[0.000673934],</v>
      </c>
      <c r="N120" t="str">
        <f t="shared" ca="1" si="13"/>
        <v>[0.00053909],</v>
      </c>
      <c r="O120" t="str">
        <f t="shared" ca="1" si="13"/>
        <v>[0.000574006],</v>
      </c>
      <c r="P120" t="str">
        <f t="shared" ca="1" si="13"/>
        <v>[0.000691308],</v>
      </c>
      <c r="Q120" t="str">
        <f t="shared" ca="1" si="10"/>
        <v>[0.000719716]</v>
      </c>
      <c r="R120" t="str">
        <f t="shared" si="11"/>
        <v>]</v>
      </c>
      <c r="S120" t="str">
        <f t="shared" ca="1" si="12"/>
        <v>[[0.000729679],[0.001459358],[0.000673934],[0.00053909],[0.000574006],[0.000691308],[0.000719716]]</v>
      </c>
    </row>
    <row r="121" spans="1:19" x14ac:dyDescent="0.2">
      <c r="A121" s="1" t="d">
        <v>2025-12-13</v>
      </c>
      <c r="B121">
        <f ca="1">OFFSET(daily_original_wrong!$B$23, 2*(ROW(B121)-ROW($B$23)),COLUMN(B121)-2)+OFFSET(daily_original_wrong!$B$23, 1+2*(ROW(B121)-ROW($B$23)),COLUMN(B121)-2)</f>
        <v>9.5626999999999995E-4</v>
      </c>
      <c r="C121">
        <f ca="1">OFFSET(daily_original_wrong!$B$23, 2*(ROW(C121)-ROW($B$23)),COLUMN(C121)-2)+OFFSET(daily_original_wrong!$B$23, 1+2*(ROW(C121)-ROW($B$23)),COLUMN(C121)-2)</f>
        <v>9.5626999999999995E-4</v>
      </c>
      <c r="D121">
        <f ca="1">OFFSET(daily_original_wrong!$B$23, 2*(ROW(D121)-ROW($B$23)),COLUMN(D121)-2)+OFFSET(daily_original_wrong!$B$23, 1+2*(ROW(D121)-ROW($B$23)),COLUMN(D121)-2)</f>
        <v>3.7878599999999999E-4</v>
      </c>
      <c r="E121">
        <f ca="1">OFFSET(daily_original_wrong!$B$23, 2*(ROW(E121)-ROW($B$23)),COLUMN(E121)-2)+OFFSET(daily_original_wrong!$B$23, 1+2*(ROW(E121)-ROW($B$23)),COLUMN(E121)-2)</f>
        <v>4.0470000000000002E-4</v>
      </c>
      <c r="F121">
        <f ca="1">OFFSET(daily_original_wrong!$B$23, 2*(ROW(F121)-ROW($B$23)),COLUMN(F121)-2)+OFFSET(daily_original_wrong!$B$23, 1+2*(ROW(F121)-ROW($B$23)),COLUMN(F121)-2)</f>
        <v>4.48052E-4</v>
      </c>
      <c r="G121">
        <f ca="1">OFFSET(daily_original_wrong!$B$23, 2*(ROW(G121)-ROW($B$23)),COLUMN(G121)-2)+OFFSET(daily_original_wrong!$B$23, 1+2*(ROW(G121)-ROW($B$23)),COLUMN(G121)-2)</f>
        <v>2.7643200000000001E-4</v>
      </c>
      <c r="H121">
        <f ca="1">OFFSET(daily_original_wrong!$B$23, 2*(ROW(H121)-ROW($B$23)),COLUMN(H121)-2)+OFFSET(daily_original_wrong!$B$23, 1+2*(ROW(H121)-ROW($B$23)),COLUMN(H121)-2)</f>
        <v>7.3259599999999996E-4</v>
      </c>
      <c r="J121" t="str">
        <f t="shared" si="8"/>
        <v>[</v>
      </c>
      <c r="K121" t="str">
        <f t="shared" ca="1" si="9"/>
        <v>[0.000478135],</v>
      </c>
      <c r="L121" t="str">
        <f t="shared" ca="1" si="13"/>
        <v>[0.00095627],</v>
      </c>
      <c r="M121" t="str">
        <f t="shared" ca="1" si="13"/>
        <v>[0.000378786],</v>
      </c>
      <c r="N121" t="str">
        <f t="shared" ca="1" si="13"/>
        <v>[0.0004047],</v>
      </c>
      <c r="O121" t="str">
        <f t="shared" ca="1" si="13"/>
        <v>[0.000448052],</v>
      </c>
      <c r="P121" t="str">
        <f t="shared" ca="1" si="13"/>
        <v>[0.000276432],</v>
      </c>
      <c r="Q121" t="str">
        <f t="shared" ca="1" si="10"/>
        <v>[0.000732596]</v>
      </c>
      <c r="R121" t="str">
        <f t="shared" si="11"/>
        <v>]</v>
      </c>
      <c r="S121" t="str">
        <f t="shared" ca="1" si="12"/>
        <v>[[0.000478135],[0.00095627],[0.000378786],[0.0004047],[0.000448052],[0.000276432],[0.000732596]]</v>
      </c>
    </row>
    <row r="122" spans="1:19" x14ac:dyDescent="0.2">
      <c r="A122" s="1" t="d">
        <v>2025-12-14</v>
      </c>
      <c r="B122">
        <f ca="1">OFFSET(daily_original_wrong!$B$23, 2*(ROW(B122)-ROW($B$23)),COLUMN(B122)-2)+OFFSET(daily_original_wrong!$B$23, 1+2*(ROW(B122)-ROW($B$23)),COLUMN(B122)-2)</f>
        <v>9.5626999999999995E-4</v>
      </c>
      <c r="C122">
        <f ca="1">OFFSET(daily_original_wrong!$B$23, 2*(ROW(C122)-ROW($B$23)),COLUMN(C122)-2)+OFFSET(daily_original_wrong!$B$23, 1+2*(ROW(C122)-ROW($B$23)),COLUMN(C122)-2)</f>
        <v>9.5626999999999995E-4</v>
      </c>
      <c r="D122">
        <f ca="1">OFFSET(daily_original_wrong!$B$23, 2*(ROW(D122)-ROW($B$23)),COLUMN(D122)-2)+OFFSET(daily_original_wrong!$B$23, 1+2*(ROW(D122)-ROW($B$23)),COLUMN(D122)-2)</f>
        <v>3.7878599999999999E-4</v>
      </c>
      <c r="E122">
        <f ca="1">OFFSET(daily_original_wrong!$B$23, 2*(ROW(E122)-ROW($B$23)),COLUMN(E122)-2)+OFFSET(daily_original_wrong!$B$23, 1+2*(ROW(E122)-ROW($B$23)),COLUMN(E122)-2)</f>
        <v>4.0470000000000002E-4</v>
      </c>
      <c r="F122">
        <f ca="1">OFFSET(daily_original_wrong!$B$23, 2*(ROW(F122)-ROW($B$23)),COLUMN(F122)-2)+OFFSET(daily_original_wrong!$B$23, 1+2*(ROW(F122)-ROW($B$23)),COLUMN(F122)-2)</f>
        <v>4.48052E-4</v>
      </c>
      <c r="G122">
        <f ca="1">OFFSET(daily_original_wrong!$B$23, 2*(ROW(G122)-ROW($B$23)),COLUMN(G122)-2)+OFFSET(daily_original_wrong!$B$23, 1+2*(ROW(G122)-ROW($B$23)),COLUMN(G122)-2)</f>
        <v>2.7643200000000001E-4</v>
      </c>
      <c r="H122">
        <f ca="1">OFFSET(daily_original_wrong!$B$23, 2*(ROW(H122)-ROW($B$23)),COLUMN(H122)-2)+OFFSET(daily_original_wrong!$B$23, 1+2*(ROW(H122)-ROW($B$23)),COLUMN(H122)-2)</f>
        <v>7.3259599999999996E-4</v>
      </c>
      <c r="J122" t="str">
        <f t="shared" si="8"/>
        <v>[</v>
      </c>
      <c r="K122" t="str">
        <f t="shared" ca="1" si="9"/>
        <v>[0.000478135],</v>
      </c>
      <c r="L122" t="str">
        <f t="shared" ca="1" si="13"/>
        <v>[0.00095627],</v>
      </c>
      <c r="M122" t="str">
        <f t="shared" ca="1" si="13"/>
        <v>[0.000378786],</v>
      </c>
      <c r="N122" t="str">
        <f t="shared" ca="1" si="13"/>
        <v>[0.0004047],</v>
      </c>
      <c r="O122" t="str">
        <f t="shared" ca="1" si="13"/>
        <v>[0.000448052],</v>
      </c>
      <c r="P122" t="str">
        <f t="shared" ca="1" si="13"/>
        <v>[0.000276432],</v>
      </c>
      <c r="Q122" t="str">
        <f t="shared" ca="1" si="10"/>
        <v>[0.000732596]</v>
      </c>
      <c r="R122" t="str">
        <f t="shared" si="11"/>
        <v>]</v>
      </c>
      <c r="S122" t="str">
        <f t="shared" ca="1" si="12"/>
        <v>[[0.000478135],[0.00095627],[0.000378786],[0.0004047],[0.000448052],[0.000276432],[0.000732596]]</v>
      </c>
    </row>
    <row r="123" spans="1:19" x14ac:dyDescent="0.2">
      <c r="A123" s="1" t="d">
        <v>2025-12-15</v>
      </c>
      <c r="B123">
        <f ca="1">OFFSET(daily_original_wrong!$B$23, 2*(ROW(B123)-ROW($B$23)),COLUMN(B123)-2)+OFFSET(daily_original_wrong!$B$23, 1+2*(ROW(B123)-ROW($B$23)),COLUMN(B123)-2)</f>
        <v>9.5626999999999995E-4</v>
      </c>
      <c r="C123">
        <f ca="1">OFFSET(daily_original_wrong!$B$23, 2*(ROW(C123)-ROW($B$23)),COLUMN(C123)-2)+OFFSET(daily_original_wrong!$B$23, 1+2*(ROW(C123)-ROW($B$23)),COLUMN(C123)-2)</f>
        <v>9.5626999999999995E-4</v>
      </c>
      <c r="D123">
        <f ca="1">OFFSET(daily_original_wrong!$B$23, 2*(ROW(D123)-ROW($B$23)),COLUMN(D123)-2)+OFFSET(daily_original_wrong!$B$23, 1+2*(ROW(D123)-ROW($B$23)),COLUMN(D123)-2)</f>
        <v>3.7878599999999999E-4</v>
      </c>
      <c r="E123">
        <f ca="1">OFFSET(daily_original_wrong!$B$23, 2*(ROW(E123)-ROW($B$23)),COLUMN(E123)-2)+OFFSET(daily_original_wrong!$B$23, 1+2*(ROW(E123)-ROW($B$23)),COLUMN(E123)-2)</f>
        <v>4.0470000000000002E-4</v>
      </c>
      <c r="F123">
        <f ca="1">OFFSET(daily_original_wrong!$B$23, 2*(ROW(F123)-ROW($B$23)),COLUMN(F123)-2)+OFFSET(daily_original_wrong!$B$23, 1+2*(ROW(F123)-ROW($B$23)),COLUMN(F123)-2)</f>
        <v>4.48052E-4</v>
      </c>
      <c r="G123">
        <f ca="1">OFFSET(daily_original_wrong!$B$23, 2*(ROW(G123)-ROW($B$23)),COLUMN(G123)-2)+OFFSET(daily_original_wrong!$B$23, 1+2*(ROW(G123)-ROW($B$23)),COLUMN(G123)-2)</f>
        <v>2.7643200000000001E-4</v>
      </c>
      <c r="H123">
        <f ca="1">OFFSET(daily_original_wrong!$B$23, 2*(ROW(H123)-ROW($B$23)),COLUMN(H123)-2)+OFFSET(daily_original_wrong!$B$23, 1+2*(ROW(H123)-ROW($B$23)),COLUMN(H123)-2)</f>
        <v>7.3259599999999996E-4</v>
      </c>
      <c r="J123" t="str">
        <f t="shared" si="8"/>
        <v>[</v>
      </c>
      <c r="K123" t="str">
        <f t="shared" ca="1" si="9"/>
        <v>[0.000478135],</v>
      </c>
      <c r="L123" t="str">
        <f t="shared" ca="1" si="13"/>
        <v>[0.00095627],</v>
      </c>
      <c r="M123" t="str">
        <f t="shared" ca="1" si="13"/>
        <v>[0.000378786],</v>
      </c>
      <c r="N123" t="str">
        <f t="shared" ca="1" si="13"/>
        <v>[0.0004047],</v>
      </c>
      <c r="O123" t="str">
        <f t="shared" ca="1" si="13"/>
        <v>[0.000448052],</v>
      </c>
      <c r="P123" t="str">
        <f t="shared" ca="1" si="13"/>
        <v>[0.000276432],</v>
      </c>
      <c r="Q123" t="str">
        <f t="shared" ca="1" si="10"/>
        <v>[0.000732596]</v>
      </c>
      <c r="R123" t="str">
        <f t="shared" si="11"/>
        <v>]</v>
      </c>
      <c r="S123" t="str">
        <f t="shared" ca="1" si="12"/>
        <v>[[0.000478135],[0.00095627],[0.000378786],[0.0004047],[0.000448052],[0.000276432],[0.000732596]]</v>
      </c>
    </row>
    <row r="124" spans="1:19" x14ac:dyDescent="0.2">
      <c r="A124" s="1" t="d">
        <v>2025-12-16</v>
      </c>
      <c r="B124">
        <f ca="1">OFFSET(daily_original_wrong!$B$23, 2*(ROW(B124)-ROW($B$23)),COLUMN(B124)-2)+OFFSET(daily_original_wrong!$B$23, 1+2*(ROW(B124)-ROW($B$23)),COLUMN(B124)-2)</f>
        <v>8.9557199999999997E-4</v>
      </c>
      <c r="C124">
        <f ca="1">OFFSET(daily_original_wrong!$B$23, 2*(ROW(C124)-ROW($B$23)),COLUMN(C124)-2)+OFFSET(daily_original_wrong!$B$23, 1+2*(ROW(C124)-ROW($B$23)),COLUMN(C124)-2)</f>
        <v>8.9557199999999997E-4</v>
      </c>
      <c r="D124">
        <f ca="1">OFFSET(daily_original_wrong!$B$23, 2*(ROW(D124)-ROW($B$23)),COLUMN(D124)-2)+OFFSET(daily_original_wrong!$B$23, 1+2*(ROW(D124)-ROW($B$23)),COLUMN(D124)-2)</f>
        <v>4.0534499999999999E-4</v>
      </c>
      <c r="E124">
        <f ca="1">OFFSET(daily_original_wrong!$B$23, 2*(ROW(E124)-ROW($B$23)),COLUMN(E124)-2)+OFFSET(daily_original_wrong!$B$23, 1+2*(ROW(E124)-ROW($B$23)),COLUMN(E124)-2)</f>
        <v>4.1976999999999997E-4</v>
      </c>
      <c r="F124">
        <f ca="1">OFFSET(daily_original_wrong!$B$23, 2*(ROW(F124)-ROW($B$23)),COLUMN(F124)-2)+OFFSET(daily_original_wrong!$B$23, 1+2*(ROW(F124)-ROW($B$23)),COLUMN(F124)-2)</f>
        <v>5.2028800000000004E-4</v>
      </c>
      <c r="G124">
        <f ca="1">OFFSET(daily_original_wrong!$B$23, 2*(ROW(G124)-ROW($B$23)),COLUMN(G124)-2)+OFFSET(daily_original_wrong!$B$23, 1+2*(ROW(G124)-ROW($B$23)),COLUMN(G124)-2)</f>
        <v>3.2751700000000004E-4</v>
      </c>
      <c r="H124">
        <f ca="1">OFFSET(daily_original_wrong!$B$23, 2*(ROW(H124)-ROW($B$23)),COLUMN(H124)-2)+OFFSET(daily_original_wrong!$B$23, 1+2*(ROW(H124)-ROW($B$23)),COLUMN(H124)-2)</f>
        <v>8.8256899999999993E-4</v>
      </c>
      <c r="J124" t="str">
        <f t="shared" si="8"/>
        <v>[</v>
      </c>
      <c r="K124" t="str">
        <f t="shared" ca="1" si="9"/>
        <v>[0.000447786],</v>
      </c>
      <c r="L124" t="str">
        <f t="shared" ca="1" si="13"/>
        <v>[0.000895572],</v>
      </c>
      <c r="M124" t="str">
        <f t="shared" ca="1" si="13"/>
        <v>[0.000405345],</v>
      </c>
      <c r="N124" t="str">
        <f t="shared" ca="1" si="13"/>
        <v>[0.00041977],</v>
      </c>
      <c r="O124" t="str">
        <f t="shared" ca="1" si="13"/>
        <v>[0.000520288],</v>
      </c>
      <c r="P124" t="str">
        <f t="shared" ca="1" si="13"/>
        <v>[0.000327517],</v>
      </c>
      <c r="Q124" t="str">
        <f t="shared" ca="1" si="10"/>
        <v>[0.000882569]</v>
      </c>
      <c r="R124" t="str">
        <f t="shared" si="11"/>
        <v>]</v>
      </c>
      <c r="S124" t="str">
        <f t="shared" ca="1" si="12"/>
        <v>[[0.000447786],[0.000895572],[0.000405345],[0.00041977],[0.000520288],[0.000327517],[0.000882569]]</v>
      </c>
    </row>
    <row r="125" spans="1:19" x14ac:dyDescent="0.2">
      <c r="A125" s="1" t="d">
        <v>2025-12-17</v>
      </c>
      <c r="B125">
        <f ca="1">OFFSET(daily_original_wrong!$B$23, 2*(ROW(B125)-ROW($B$23)),COLUMN(B125)-2)+OFFSET(daily_original_wrong!$B$23, 1+2*(ROW(B125)-ROW($B$23)),COLUMN(B125)-2)</f>
        <v>8.3487399999999999E-4</v>
      </c>
      <c r="C125">
        <f ca="1">OFFSET(daily_original_wrong!$B$23, 2*(ROW(C125)-ROW($B$23)),COLUMN(C125)-2)+OFFSET(daily_original_wrong!$B$23, 1+2*(ROW(C125)-ROW($B$23)),COLUMN(C125)-2)</f>
        <v>8.3487399999999999E-4</v>
      </c>
      <c r="D125">
        <f ca="1">OFFSET(daily_original_wrong!$B$23, 2*(ROW(D125)-ROW($B$23)),COLUMN(D125)-2)+OFFSET(daily_original_wrong!$B$23, 1+2*(ROW(D125)-ROW($B$23)),COLUMN(D125)-2)</f>
        <v>4.3190399999999999E-4</v>
      </c>
      <c r="E125">
        <f ca="1">OFFSET(daily_original_wrong!$B$23, 2*(ROW(E125)-ROW($B$23)),COLUMN(E125)-2)+OFFSET(daily_original_wrong!$B$23, 1+2*(ROW(E125)-ROW($B$23)),COLUMN(E125)-2)</f>
        <v>4.3483999999999998E-4</v>
      </c>
      <c r="F125">
        <f ca="1">OFFSET(daily_original_wrong!$B$23, 2*(ROW(F125)-ROW($B$23)),COLUMN(F125)-2)+OFFSET(daily_original_wrong!$B$23, 1+2*(ROW(F125)-ROW($B$23)),COLUMN(F125)-2)</f>
        <v>5.9252399999999998E-4</v>
      </c>
      <c r="G125">
        <f ca="1">OFFSET(daily_original_wrong!$B$23, 2*(ROW(G125)-ROW($B$23)),COLUMN(G125)-2)+OFFSET(daily_original_wrong!$B$23, 1+2*(ROW(G125)-ROW($B$23)),COLUMN(G125)-2)</f>
        <v>3.7860200000000002E-4</v>
      </c>
      <c r="H125">
        <f ca="1">OFFSET(daily_original_wrong!$B$23, 2*(ROW(H125)-ROW($B$23)),COLUMN(H125)-2)+OFFSET(daily_original_wrong!$B$23, 1+2*(ROW(H125)-ROW($B$23)),COLUMN(H125)-2)</f>
        <v>1.032542E-3</v>
      </c>
      <c r="J125" t="str">
        <f t="shared" si="8"/>
        <v>[</v>
      </c>
      <c r="K125" t="str">
        <f t="shared" ca="1" si="9"/>
        <v>[0.000417437],</v>
      </c>
      <c r="L125" t="str">
        <f t="shared" ca="1" si="13"/>
        <v>[0.000834874],</v>
      </c>
      <c r="M125" t="str">
        <f t="shared" ca="1" si="13"/>
        <v>[0.000431904],</v>
      </c>
      <c r="N125" t="str">
        <f t="shared" ca="1" si="13"/>
        <v>[0.00043484],</v>
      </c>
      <c r="O125" t="str">
        <f t="shared" ca="1" si="13"/>
        <v>[0.000592524],</v>
      </c>
      <c r="P125" t="str">
        <f t="shared" ca="1" si="13"/>
        <v>[0.000378602],</v>
      </c>
      <c r="Q125" t="str">
        <f t="shared" ca="1" si="10"/>
        <v>[0.001032542]</v>
      </c>
      <c r="R125" t="str">
        <f t="shared" si="11"/>
        <v>]</v>
      </c>
      <c r="S125" t="str">
        <f t="shared" ca="1" si="12"/>
        <v>[[0.000417437],[0.000834874],[0.000431904],[0.00043484],[0.000592524],[0.000378602],[0.001032542]]</v>
      </c>
    </row>
    <row r="126" spans="1:19" x14ac:dyDescent="0.2">
      <c r="A126" s="1" t="d">
        <v>2025-12-18</v>
      </c>
      <c r="B126">
        <f ca="1">OFFSET(daily_original_wrong!$B$23, 2*(ROW(B126)-ROW($B$23)),COLUMN(B126)-2)+OFFSET(daily_original_wrong!$B$23, 1+2*(ROW(B126)-ROW($B$23)),COLUMN(B126)-2)</f>
        <v>8.3487399999999999E-4</v>
      </c>
      <c r="C126">
        <f ca="1">OFFSET(daily_original_wrong!$B$23, 2*(ROW(C126)-ROW($B$23)),COLUMN(C126)-2)+OFFSET(daily_original_wrong!$B$23, 1+2*(ROW(C126)-ROW($B$23)),COLUMN(C126)-2)</f>
        <v>8.3487399999999999E-4</v>
      </c>
      <c r="D126">
        <f ca="1">OFFSET(daily_original_wrong!$B$23, 2*(ROW(D126)-ROW($B$23)),COLUMN(D126)-2)+OFFSET(daily_original_wrong!$B$23, 1+2*(ROW(D126)-ROW($B$23)),COLUMN(D126)-2)</f>
        <v>4.3190399999999999E-4</v>
      </c>
      <c r="E126">
        <f ca="1">OFFSET(daily_original_wrong!$B$23, 2*(ROW(E126)-ROW($B$23)),COLUMN(E126)-2)+OFFSET(daily_original_wrong!$B$23, 1+2*(ROW(E126)-ROW($B$23)),COLUMN(E126)-2)</f>
        <v>4.3483999999999998E-4</v>
      </c>
      <c r="F126">
        <f ca="1">OFFSET(daily_original_wrong!$B$23, 2*(ROW(F126)-ROW($B$23)),COLUMN(F126)-2)+OFFSET(daily_original_wrong!$B$23, 1+2*(ROW(F126)-ROW($B$23)),COLUMN(F126)-2)</f>
        <v>5.9252399999999998E-4</v>
      </c>
      <c r="G126">
        <f ca="1">OFFSET(daily_original_wrong!$B$23, 2*(ROW(G126)-ROW($B$23)),COLUMN(G126)-2)+OFFSET(daily_original_wrong!$B$23, 1+2*(ROW(G126)-ROW($B$23)),COLUMN(G126)-2)</f>
        <v>3.7860200000000002E-4</v>
      </c>
      <c r="H126">
        <f ca="1">OFFSET(daily_original_wrong!$B$23, 2*(ROW(H126)-ROW($B$23)),COLUMN(H126)-2)+OFFSET(daily_original_wrong!$B$23, 1+2*(ROW(H126)-ROW($B$23)),COLUMN(H126)-2)</f>
        <v>1.032542E-3</v>
      </c>
      <c r="J126" t="str">
        <f t="shared" si="8"/>
        <v>[</v>
      </c>
      <c r="K126" t="str">
        <f t="shared" ca="1" si="9"/>
        <v>[0.000417437],</v>
      </c>
      <c r="L126" t="str">
        <f t="shared" ca="1" si="13"/>
        <v>[0.000834874],</v>
      </c>
      <c r="M126" t="str">
        <f t="shared" ca="1" si="13"/>
        <v>[0.000431904],</v>
      </c>
      <c r="N126" t="str">
        <f t="shared" ca="1" si="13"/>
        <v>[0.00043484],</v>
      </c>
      <c r="O126" t="str">
        <f t="shared" ca="1" si="13"/>
        <v>[0.000592524],</v>
      </c>
      <c r="P126" t="str">
        <f t="shared" ca="1" si="13"/>
        <v>[0.000378602],</v>
      </c>
      <c r="Q126" t="str">
        <f t="shared" ca="1" si="10"/>
        <v>[0.001032542]</v>
      </c>
      <c r="R126" t="str">
        <f t="shared" si="11"/>
        <v>]</v>
      </c>
      <c r="S126" t="str">
        <f t="shared" ca="1" si="12"/>
        <v>[[0.000417437],[0.000834874],[0.000431904],[0.00043484],[0.000592524],[0.000378602],[0.001032542]]</v>
      </c>
    </row>
    <row r="127" spans="1:19" x14ac:dyDescent="0.2">
      <c r="A127" s="1" t="d">
        <v>2025-12-19</v>
      </c>
      <c r="B127">
        <f ca="1">OFFSET(daily_original_wrong!$B$23, 2*(ROW(B127)-ROW($B$23)),COLUMN(B127)-2)+OFFSET(daily_original_wrong!$B$23, 1+2*(ROW(B127)-ROW($B$23)),COLUMN(B127)-2)</f>
        <v>8.3487399999999999E-4</v>
      </c>
      <c r="C127">
        <f ca="1">OFFSET(daily_original_wrong!$B$23, 2*(ROW(C127)-ROW($B$23)),COLUMN(C127)-2)+OFFSET(daily_original_wrong!$B$23, 1+2*(ROW(C127)-ROW($B$23)),COLUMN(C127)-2)</f>
        <v>8.3487399999999999E-4</v>
      </c>
      <c r="D127">
        <f ca="1">OFFSET(daily_original_wrong!$B$23, 2*(ROW(D127)-ROW($B$23)),COLUMN(D127)-2)+OFFSET(daily_original_wrong!$B$23, 1+2*(ROW(D127)-ROW($B$23)),COLUMN(D127)-2)</f>
        <v>4.3190399999999999E-4</v>
      </c>
      <c r="E127">
        <f ca="1">OFFSET(daily_original_wrong!$B$23, 2*(ROW(E127)-ROW($B$23)),COLUMN(E127)-2)+OFFSET(daily_original_wrong!$B$23, 1+2*(ROW(E127)-ROW($B$23)),COLUMN(E127)-2)</f>
        <v>4.3483999999999998E-4</v>
      </c>
      <c r="F127">
        <f ca="1">OFFSET(daily_original_wrong!$B$23, 2*(ROW(F127)-ROW($B$23)),COLUMN(F127)-2)+OFFSET(daily_original_wrong!$B$23, 1+2*(ROW(F127)-ROW($B$23)),COLUMN(F127)-2)</f>
        <v>5.9252399999999998E-4</v>
      </c>
      <c r="G127">
        <f ca="1">OFFSET(daily_original_wrong!$B$23, 2*(ROW(G127)-ROW($B$23)),COLUMN(G127)-2)+OFFSET(daily_original_wrong!$B$23, 1+2*(ROW(G127)-ROW($B$23)),COLUMN(G127)-2)</f>
        <v>3.7860200000000002E-4</v>
      </c>
      <c r="H127">
        <f ca="1">OFFSET(daily_original_wrong!$B$23, 2*(ROW(H127)-ROW($B$23)),COLUMN(H127)-2)+OFFSET(daily_original_wrong!$B$23, 1+2*(ROW(H127)-ROW($B$23)),COLUMN(H127)-2)</f>
        <v>1.032542E-3</v>
      </c>
      <c r="J127" t="str">
        <f t="shared" si="8"/>
        <v>[</v>
      </c>
      <c r="K127" t="str">
        <f t="shared" ca="1" si="9"/>
        <v>[0.000417437],</v>
      </c>
      <c r="L127" t="str">
        <f t="shared" ca="1" si="13"/>
        <v>[0.000834874],</v>
      </c>
      <c r="M127" t="str">
        <f t="shared" ca="1" si="13"/>
        <v>[0.000431904],</v>
      </c>
      <c r="N127" t="str">
        <f t="shared" ca="1" si="13"/>
        <v>[0.00043484],</v>
      </c>
      <c r="O127" t="str">
        <f t="shared" ca="1" si="13"/>
        <v>[0.000592524],</v>
      </c>
      <c r="P127" t="str">
        <f t="shared" ca="1" si="13"/>
        <v>[0.000378602],</v>
      </c>
      <c r="Q127" t="str">
        <f t="shared" ca="1" si="10"/>
        <v>[0.001032542]</v>
      </c>
      <c r="R127" t="str">
        <f t="shared" si="11"/>
        <v>]</v>
      </c>
      <c r="S127" t="str">
        <f t="shared" ca="1" si="12"/>
        <v>[[0.000417437],[0.000834874],[0.000431904],[0.00043484],[0.000592524],[0.000378602],[0.001032542]]</v>
      </c>
    </row>
    <row r="128" spans="1:19" x14ac:dyDescent="0.2">
      <c r="A128" s="1" t="d">
        <v>2025-12-20</v>
      </c>
      <c r="B128">
        <f ca="1">OFFSET(daily_original_wrong!$B$23, 2*(ROW(B128)-ROW($B$23)),COLUMN(B128)-2)+OFFSET(daily_original_wrong!$B$23, 1+2*(ROW(B128)-ROW($B$23)),COLUMN(B128)-2)</f>
        <v>1.065674E-3</v>
      </c>
      <c r="C128">
        <f ca="1">OFFSET(daily_original_wrong!$B$23, 2*(ROW(C128)-ROW($B$23)),COLUMN(C128)-2)+OFFSET(daily_original_wrong!$B$23, 1+2*(ROW(C128)-ROW($B$23)),COLUMN(C128)-2)</f>
        <v>1.065674E-3</v>
      </c>
      <c r="D128">
        <f ca="1">OFFSET(daily_original_wrong!$B$23, 2*(ROW(D128)-ROW($B$23)),COLUMN(D128)-2)+OFFSET(daily_original_wrong!$B$23, 1+2*(ROW(D128)-ROW($B$23)),COLUMN(D128)-2)</f>
        <v>6.6420200000000002E-4</v>
      </c>
      <c r="E128">
        <f ca="1">OFFSET(daily_original_wrong!$B$23, 2*(ROW(E128)-ROW($B$23)),COLUMN(E128)-2)+OFFSET(daily_original_wrong!$B$23, 1+2*(ROW(E128)-ROW($B$23)),COLUMN(E128)-2)</f>
        <v>6.5644200000000003E-4</v>
      </c>
      <c r="F128">
        <f ca="1">OFFSET(daily_original_wrong!$B$23, 2*(ROW(F128)-ROW($B$23)),COLUMN(F128)-2)+OFFSET(daily_original_wrong!$B$23, 1+2*(ROW(F128)-ROW($B$23)),COLUMN(F128)-2)</f>
        <v>1.0199899999999999E-3</v>
      </c>
      <c r="G128">
        <f ca="1">OFFSET(daily_original_wrong!$B$23, 2*(ROW(G128)-ROW($B$23)),COLUMN(G128)-2)+OFFSET(daily_original_wrong!$B$23, 1+2*(ROW(G128)-ROW($B$23)),COLUMN(G128)-2)</f>
        <v>6.6480800000000002E-4</v>
      </c>
      <c r="H128">
        <f ca="1">OFFSET(daily_original_wrong!$B$23, 2*(ROW(H128)-ROW($B$23)),COLUMN(H128)-2)+OFFSET(daily_original_wrong!$B$23, 1+2*(ROW(H128)-ROW($B$23)),COLUMN(H128)-2)</f>
        <v>1.8657260000000001E-3</v>
      </c>
      <c r="J128" t="str">
        <f t="shared" si="8"/>
        <v>[</v>
      </c>
      <c r="K128" t="str">
        <f t="shared" ca="1" si="9"/>
        <v>[0.000532837],</v>
      </c>
      <c r="L128" t="str">
        <f t="shared" ca="1" si="13"/>
        <v>[0.001065674],</v>
      </c>
      <c r="M128" t="str">
        <f t="shared" ca="1" si="13"/>
        <v>[0.000664202],</v>
      </c>
      <c r="N128" t="str">
        <f t="shared" ca="1" si="13"/>
        <v>[0.000656442],</v>
      </c>
      <c r="O128" t="str">
        <f t="shared" ca="1" si="13"/>
        <v>[0.00101999],</v>
      </c>
      <c r="P128" t="str">
        <f t="shared" ca="1" si="13"/>
        <v>[0.000664808],</v>
      </c>
      <c r="Q128" t="str">
        <f t="shared" ca="1" si="10"/>
        <v>[0.001865726]</v>
      </c>
      <c r="R128" t="str">
        <f t="shared" si="11"/>
        <v>]</v>
      </c>
      <c r="S128" t="str">
        <f t="shared" ca="1" si="12"/>
        <v>[[0.000532837],[0.001065674],[0.000664202],[0.000656442],[0.00101999],[0.000664808],[0.001865726]]</v>
      </c>
    </row>
    <row r="129" spans="1:19" x14ac:dyDescent="0.2">
      <c r="A129" s="1" t="d">
        <v>2025-12-21</v>
      </c>
      <c r="B129">
        <f ca="1">OFFSET(daily_original_wrong!$B$23, 2*(ROW(B129)-ROW($B$23)),COLUMN(B129)-2)+OFFSET(daily_original_wrong!$B$23, 1+2*(ROW(B129)-ROW($B$23)),COLUMN(B129)-2)</f>
        <v>1.065674E-3</v>
      </c>
      <c r="C129">
        <f ca="1">OFFSET(daily_original_wrong!$B$23, 2*(ROW(C129)-ROW($B$23)),COLUMN(C129)-2)+OFFSET(daily_original_wrong!$B$23, 1+2*(ROW(C129)-ROW($B$23)),COLUMN(C129)-2)</f>
        <v>1.065674E-3</v>
      </c>
      <c r="D129">
        <f ca="1">OFFSET(daily_original_wrong!$B$23, 2*(ROW(D129)-ROW($B$23)),COLUMN(D129)-2)+OFFSET(daily_original_wrong!$B$23, 1+2*(ROW(D129)-ROW($B$23)),COLUMN(D129)-2)</f>
        <v>6.6420200000000002E-4</v>
      </c>
      <c r="E129">
        <f ca="1">OFFSET(daily_original_wrong!$B$23, 2*(ROW(E129)-ROW($B$23)),COLUMN(E129)-2)+OFFSET(daily_original_wrong!$B$23, 1+2*(ROW(E129)-ROW($B$23)),COLUMN(E129)-2)</f>
        <v>6.5644200000000003E-4</v>
      </c>
      <c r="F129">
        <f ca="1">OFFSET(daily_original_wrong!$B$23, 2*(ROW(F129)-ROW($B$23)),COLUMN(F129)-2)+OFFSET(daily_original_wrong!$B$23, 1+2*(ROW(F129)-ROW($B$23)),COLUMN(F129)-2)</f>
        <v>1.0199899999999999E-3</v>
      </c>
      <c r="G129">
        <f ca="1">OFFSET(daily_original_wrong!$B$23, 2*(ROW(G129)-ROW($B$23)),COLUMN(G129)-2)+OFFSET(daily_original_wrong!$B$23, 1+2*(ROW(G129)-ROW($B$23)),COLUMN(G129)-2)</f>
        <v>6.6480800000000002E-4</v>
      </c>
      <c r="H129">
        <f ca="1">OFFSET(daily_original_wrong!$B$23, 2*(ROW(H129)-ROW($B$23)),COLUMN(H129)-2)+OFFSET(daily_original_wrong!$B$23, 1+2*(ROW(H129)-ROW($B$23)),COLUMN(H129)-2)</f>
        <v>1.8657260000000001E-3</v>
      </c>
      <c r="J129" t="str">
        <f t="shared" si="8"/>
        <v>[</v>
      </c>
      <c r="K129" t="str">
        <f t="shared" ca="1" si="9"/>
        <v>[0.000532837],</v>
      </c>
      <c r="L129" t="str">
        <f t="shared" ca="1" si="13"/>
        <v>[0.001065674],</v>
      </c>
      <c r="M129" t="str">
        <f t="shared" ca="1" si="13"/>
        <v>[0.000664202],</v>
      </c>
      <c r="N129" t="str">
        <f t="shared" ca="1" si="13"/>
        <v>[0.000656442],</v>
      </c>
      <c r="O129" t="str">
        <f t="shared" ca="1" si="13"/>
        <v>[0.00101999],</v>
      </c>
      <c r="P129" t="str">
        <f t="shared" ca="1" si="13"/>
        <v>[0.000664808],</v>
      </c>
      <c r="Q129" t="str">
        <f t="shared" ca="1" si="10"/>
        <v>[0.001865726]</v>
      </c>
      <c r="R129" t="str">
        <f t="shared" si="11"/>
        <v>]</v>
      </c>
      <c r="S129" t="str">
        <f t="shared" ca="1" si="12"/>
        <v>[[0.000532837],[0.001065674],[0.000664202],[0.000656442],[0.00101999],[0.000664808],[0.001865726]]</v>
      </c>
    </row>
    <row r="130" spans="1:19" x14ac:dyDescent="0.2">
      <c r="A130" s="1" t="d">
        <v>2025-12-22</v>
      </c>
      <c r="B130">
        <f ca="1">OFFSET(daily_original_wrong!$B$23, 2*(ROW(B130)-ROW($B$23)),COLUMN(B130)-2)+OFFSET(daily_original_wrong!$B$23, 1+2*(ROW(B130)-ROW($B$23)),COLUMN(B130)-2)</f>
        <v>1.065674E-3</v>
      </c>
      <c r="C130">
        <f ca="1">OFFSET(daily_original_wrong!$B$23, 2*(ROW(C130)-ROW($B$23)),COLUMN(C130)-2)+OFFSET(daily_original_wrong!$B$23, 1+2*(ROW(C130)-ROW($B$23)),COLUMN(C130)-2)</f>
        <v>1.065674E-3</v>
      </c>
      <c r="D130">
        <f ca="1">OFFSET(daily_original_wrong!$B$23, 2*(ROW(D130)-ROW($B$23)),COLUMN(D130)-2)+OFFSET(daily_original_wrong!$B$23, 1+2*(ROW(D130)-ROW($B$23)),COLUMN(D130)-2)</f>
        <v>6.6420200000000002E-4</v>
      </c>
      <c r="E130">
        <f ca="1">OFFSET(daily_original_wrong!$B$23, 2*(ROW(E130)-ROW($B$23)),COLUMN(E130)-2)+OFFSET(daily_original_wrong!$B$23, 1+2*(ROW(E130)-ROW($B$23)),COLUMN(E130)-2)</f>
        <v>6.5644200000000003E-4</v>
      </c>
      <c r="F130">
        <f ca="1">OFFSET(daily_original_wrong!$B$23, 2*(ROW(F130)-ROW($B$23)),COLUMN(F130)-2)+OFFSET(daily_original_wrong!$B$23, 1+2*(ROW(F130)-ROW($B$23)),COLUMN(F130)-2)</f>
        <v>1.0199899999999999E-3</v>
      </c>
      <c r="G130">
        <f ca="1">OFFSET(daily_original_wrong!$B$23, 2*(ROW(G130)-ROW($B$23)),COLUMN(G130)-2)+OFFSET(daily_original_wrong!$B$23, 1+2*(ROW(G130)-ROW($B$23)),COLUMN(G130)-2)</f>
        <v>6.6480800000000002E-4</v>
      </c>
      <c r="H130">
        <f ca="1">OFFSET(daily_original_wrong!$B$23, 2*(ROW(H130)-ROW($B$23)),COLUMN(H130)-2)+OFFSET(daily_original_wrong!$B$23, 1+2*(ROW(H130)-ROW($B$23)),COLUMN(H130)-2)</f>
        <v>1.8657260000000001E-3</v>
      </c>
      <c r="J130" t="str">
        <f t="shared" si="8"/>
        <v>[</v>
      </c>
      <c r="K130" t="str">
        <f t="shared" ca="1" si="9"/>
        <v>[0.000532837],</v>
      </c>
      <c r="L130" t="str">
        <f t="shared" ca="1" si="13"/>
        <v>[0.001065674],</v>
      </c>
      <c r="M130" t="str">
        <f t="shared" ca="1" si="13"/>
        <v>[0.000664202],</v>
      </c>
      <c r="N130" t="str">
        <f t="shared" ca="1" si="13"/>
        <v>[0.000656442],</v>
      </c>
      <c r="O130" t="str">
        <f t="shared" ca="1" si="13"/>
        <v>[0.00101999],</v>
      </c>
      <c r="P130" t="str">
        <f t="shared" ca="1" si="13"/>
        <v>[0.000664808],</v>
      </c>
      <c r="Q130" t="str">
        <f t="shared" ca="1" si="10"/>
        <v>[0.001865726]</v>
      </c>
      <c r="R130" t="str">
        <f t="shared" si="11"/>
        <v>]</v>
      </c>
      <c r="S130" t="str">
        <f t="shared" ca="1" si="12"/>
        <v>[[0.000532837],[0.001065674],[0.000664202],[0.000656442],[0.00101999],[0.000664808],[0.001865726]]</v>
      </c>
    </row>
    <row r="131" spans="1:19" x14ac:dyDescent="0.2">
      <c r="A131" s="1" t="d">
        <v>2025-12-23</v>
      </c>
      <c r="B131">
        <f ca="1">OFFSET(daily_original_wrong!$B$23, 2*(ROW(B131)-ROW($B$23)),COLUMN(B131)-2)+OFFSET(daily_original_wrong!$B$23, 1+2*(ROW(B131)-ROW($B$23)),COLUMN(B131)-2)</f>
        <v>6.2984480000000001E-4</v>
      </c>
      <c r="C131">
        <f ca="1">OFFSET(daily_original_wrong!$B$23, 2*(ROW(C131)-ROW($B$23)),COLUMN(C131)-2)+OFFSET(daily_original_wrong!$B$23, 1+2*(ROW(C131)-ROW($B$23)),COLUMN(C131)-2)</f>
        <v>6.2984480000000001E-4</v>
      </c>
      <c r="D131">
        <f ca="1">OFFSET(daily_original_wrong!$B$23, 2*(ROW(D131)-ROW($B$23)),COLUMN(D131)-2)+OFFSET(daily_original_wrong!$B$23, 1+2*(ROW(D131)-ROW($B$23)),COLUMN(D131)-2)</f>
        <v>5.2409400000000001E-4</v>
      </c>
      <c r="E131">
        <f ca="1">OFFSET(daily_original_wrong!$B$23, 2*(ROW(E131)-ROW($B$23)),COLUMN(E131)-2)+OFFSET(daily_original_wrong!$B$23, 1+2*(ROW(E131)-ROW($B$23)),COLUMN(E131)-2)</f>
        <v>4.5747500000000005E-4</v>
      </c>
      <c r="F131">
        <f ca="1">OFFSET(daily_original_wrong!$B$23, 2*(ROW(F131)-ROW($B$23)),COLUMN(F131)-2)+OFFSET(daily_original_wrong!$B$23, 1+2*(ROW(F131)-ROW($B$23)),COLUMN(F131)-2)</f>
        <v>8.547959999999999E-4</v>
      </c>
      <c r="G131">
        <f ca="1">OFFSET(daily_original_wrong!$B$23, 2*(ROW(G131)-ROW($B$23)),COLUMN(G131)-2)+OFFSET(daily_original_wrong!$B$23, 1+2*(ROW(G131)-ROW($B$23)),COLUMN(G131)-2)</f>
        <v>6.9662900000000004E-4</v>
      </c>
      <c r="H131">
        <f ca="1">OFFSET(daily_original_wrong!$B$23, 2*(ROW(H131)-ROW($B$23)),COLUMN(H131)-2)+OFFSET(daily_original_wrong!$B$23, 1+2*(ROW(H131)-ROW($B$23)),COLUMN(H131)-2)</f>
        <v>1.5291219999999999E-3</v>
      </c>
      <c r="J131" t="str">
        <f t="shared" ref="J131:J194" si="14">"["</f>
        <v>[</v>
      </c>
      <c r="K131" t="str">
        <f t="shared" ref="K131:K194" ca="1" si="15">"["&amp;B131/2&amp;"],"</f>
        <v>[0.0003149224],</v>
      </c>
      <c r="L131" t="str">
        <f t="shared" ca="1" si="13"/>
        <v>[0.0006298448],</v>
      </c>
      <c r="M131" t="str">
        <f t="shared" ca="1" si="13"/>
        <v>[0.000524094],</v>
      </c>
      <c r="N131" t="str">
        <f t="shared" ca="1" si="13"/>
        <v>[0.000457475],</v>
      </c>
      <c r="O131" t="str">
        <f t="shared" ca="1" si="13"/>
        <v>[0.000854796],</v>
      </c>
      <c r="P131" t="str">
        <f t="shared" ca="1" si="13"/>
        <v>[0.000696629],</v>
      </c>
      <c r="Q131" t="str">
        <f t="shared" ref="Q131:Q194" ca="1" si="16">"["&amp;H131&amp;"]"</f>
        <v>[0.001529122]</v>
      </c>
      <c r="R131" t="str">
        <f t="shared" ref="R131:R194" si="17">"]"</f>
        <v>]</v>
      </c>
      <c r="S131" t="str">
        <f t="shared" ref="S131:S194" ca="1" si="18">J131&amp;K131&amp;L131&amp;M131&amp;N131&amp;O131&amp;P131&amp;Q131&amp;R131</f>
        <v>[[0.0003149224],[0.0006298448],[0.000524094],[0.000457475],[0.000854796],[0.000696629],[0.001529122]]</v>
      </c>
    </row>
    <row r="132" spans="1:19" x14ac:dyDescent="0.2">
      <c r="A132" s="1" t="d">
        <v>2025-12-24</v>
      </c>
      <c r="B132">
        <f ca="1">OFFSET(daily_original_wrong!$B$23, 2*(ROW(B132)-ROW($B$23)),COLUMN(B132)-2)+OFFSET(daily_original_wrong!$B$23, 1+2*(ROW(B132)-ROW($B$23)),COLUMN(B132)-2)</f>
        <v>1.9401560000000001E-4</v>
      </c>
      <c r="C132">
        <f ca="1">OFFSET(daily_original_wrong!$B$23, 2*(ROW(C132)-ROW($B$23)),COLUMN(C132)-2)+OFFSET(daily_original_wrong!$B$23, 1+2*(ROW(C132)-ROW($B$23)),COLUMN(C132)-2)</f>
        <v>1.9401560000000001E-4</v>
      </c>
      <c r="D132">
        <f ca="1">OFFSET(daily_original_wrong!$B$23, 2*(ROW(D132)-ROW($B$23)),COLUMN(D132)-2)+OFFSET(daily_original_wrong!$B$23, 1+2*(ROW(D132)-ROW($B$23)),COLUMN(D132)-2)</f>
        <v>3.8398600000000001E-4</v>
      </c>
      <c r="E132">
        <f ca="1">OFFSET(daily_original_wrong!$B$23, 2*(ROW(E132)-ROW($B$23)),COLUMN(E132)-2)+OFFSET(daily_original_wrong!$B$23, 1+2*(ROW(E132)-ROW($B$23)),COLUMN(E132)-2)</f>
        <v>2.5850800000000001E-4</v>
      </c>
      <c r="F132">
        <f ca="1">OFFSET(daily_original_wrong!$B$23, 2*(ROW(F132)-ROW($B$23)),COLUMN(F132)-2)+OFFSET(daily_original_wrong!$B$23, 1+2*(ROW(F132)-ROW($B$23)),COLUMN(F132)-2)</f>
        <v>6.8960199999999999E-4</v>
      </c>
      <c r="G132">
        <f ca="1">OFFSET(daily_original_wrong!$B$23, 2*(ROW(G132)-ROW($B$23)),COLUMN(G132)-2)+OFFSET(daily_original_wrong!$B$23, 1+2*(ROW(G132)-ROW($B$23)),COLUMN(G132)-2)</f>
        <v>7.2844999999999995E-4</v>
      </c>
      <c r="H132">
        <f ca="1">OFFSET(daily_original_wrong!$B$23, 2*(ROW(H132)-ROW($B$23)),COLUMN(H132)-2)+OFFSET(daily_original_wrong!$B$23, 1+2*(ROW(H132)-ROW($B$23)),COLUMN(H132)-2)</f>
        <v>1.1925180000000001E-3</v>
      </c>
      <c r="J132" t="str">
        <f t="shared" si="14"/>
        <v>[</v>
      </c>
      <c r="K132" t="str">
        <f t="shared" ca="1" si="15"/>
        <v>[0.0000970078],</v>
      </c>
      <c r="L132" t="str">
        <f t="shared" ca="1" si="13"/>
        <v>[0.0001940156],</v>
      </c>
      <c r="M132" t="str">
        <f t="shared" ca="1" si="13"/>
        <v>[0.000383986],</v>
      </c>
      <c r="N132" t="str">
        <f t="shared" ca="1" si="13"/>
        <v>[0.000258508],</v>
      </c>
      <c r="O132" t="str">
        <f t="shared" ca="1" si="13"/>
        <v>[0.000689602],</v>
      </c>
      <c r="P132" t="str">
        <f t="shared" ca="1" si="13"/>
        <v>[0.00072845],</v>
      </c>
      <c r="Q132" t="str">
        <f t="shared" ca="1" si="16"/>
        <v>[0.001192518]</v>
      </c>
      <c r="R132" t="str">
        <f t="shared" si="17"/>
        <v>]</v>
      </c>
      <c r="S132" t="str">
        <f t="shared" ca="1" si="18"/>
        <v>[[0.0000970078],[0.0001940156],[0.000383986],[0.000258508],[0.000689602],[0.00072845],[0.001192518]]</v>
      </c>
    </row>
    <row r="133" spans="1:19" x14ac:dyDescent="0.2">
      <c r="A133" s="1" t="d">
        <v>2025-12-25</v>
      </c>
      <c r="B133">
        <f ca="1">OFFSET(daily_original_wrong!$B$23, 2*(ROW(B133)-ROW($B$23)),COLUMN(B133)-2)+OFFSET(daily_original_wrong!$B$23, 1+2*(ROW(B133)-ROW($B$23)),COLUMN(B133)-2)</f>
        <v>1.9401560000000001E-4</v>
      </c>
      <c r="C133">
        <f ca="1">OFFSET(daily_original_wrong!$B$23, 2*(ROW(C133)-ROW($B$23)),COLUMN(C133)-2)+OFFSET(daily_original_wrong!$B$23, 1+2*(ROW(C133)-ROW($B$23)),COLUMN(C133)-2)</f>
        <v>1.9401560000000001E-4</v>
      </c>
      <c r="D133">
        <f ca="1">OFFSET(daily_original_wrong!$B$23, 2*(ROW(D133)-ROW($B$23)),COLUMN(D133)-2)+OFFSET(daily_original_wrong!$B$23, 1+2*(ROW(D133)-ROW($B$23)),COLUMN(D133)-2)</f>
        <v>3.8398600000000001E-4</v>
      </c>
      <c r="E133">
        <f ca="1">OFFSET(daily_original_wrong!$B$23, 2*(ROW(E133)-ROW($B$23)),COLUMN(E133)-2)+OFFSET(daily_original_wrong!$B$23, 1+2*(ROW(E133)-ROW($B$23)),COLUMN(E133)-2)</f>
        <v>2.5850800000000001E-4</v>
      </c>
      <c r="F133">
        <f ca="1">OFFSET(daily_original_wrong!$B$23, 2*(ROW(F133)-ROW($B$23)),COLUMN(F133)-2)+OFFSET(daily_original_wrong!$B$23, 1+2*(ROW(F133)-ROW($B$23)),COLUMN(F133)-2)</f>
        <v>6.8960199999999999E-4</v>
      </c>
      <c r="G133">
        <f ca="1">OFFSET(daily_original_wrong!$B$23, 2*(ROW(G133)-ROW($B$23)),COLUMN(G133)-2)+OFFSET(daily_original_wrong!$B$23, 1+2*(ROW(G133)-ROW($B$23)),COLUMN(G133)-2)</f>
        <v>7.2844999999999995E-4</v>
      </c>
      <c r="H133">
        <f ca="1">OFFSET(daily_original_wrong!$B$23, 2*(ROW(H133)-ROW($B$23)),COLUMN(H133)-2)+OFFSET(daily_original_wrong!$B$23, 1+2*(ROW(H133)-ROW($B$23)),COLUMN(H133)-2)</f>
        <v>1.1925180000000001E-3</v>
      </c>
      <c r="J133" t="str">
        <f t="shared" si="14"/>
        <v>[</v>
      </c>
      <c r="K133" t="str">
        <f t="shared" ca="1" si="15"/>
        <v>[0.0000970078],</v>
      </c>
      <c r="L133" t="str">
        <f t="shared" ca="1" si="13"/>
        <v>[0.0001940156],</v>
      </c>
      <c r="M133" t="str">
        <f t="shared" ca="1" si="13"/>
        <v>[0.000383986],</v>
      </c>
      <c r="N133" t="str">
        <f t="shared" ca="1" si="13"/>
        <v>[0.000258508],</v>
      </c>
      <c r="O133" t="str">
        <f t="shared" ca="1" si="13"/>
        <v>[0.000689602],</v>
      </c>
      <c r="P133" t="str">
        <f t="shared" ca="1" si="13"/>
        <v>[0.00072845],</v>
      </c>
      <c r="Q133" t="str">
        <f t="shared" ca="1" si="16"/>
        <v>[0.001192518]</v>
      </c>
      <c r="R133" t="str">
        <f t="shared" si="17"/>
        <v>]</v>
      </c>
      <c r="S133" t="str">
        <f t="shared" ca="1" si="18"/>
        <v>[[0.0000970078],[0.0001940156],[0.000383986],[0.000258508],[0.000689602],[0.00072845],[0.001192518]]</v>
      </c>
    </row>
    <row r="134" spans="1:19" x14ac:dyDescent="0.2">
      <c r="A134" s="1" t="d">
        <v>2025-12-26</v>
      </c>
      <c r="B134">
        <f ca="1">OFFSET(daily_original_wrong!$B$23, 2*(ROW(B134)-ROW($B$23)),COLUMN(B134)-2)+OFFSET(daily_original_wrong!$B$23, 1+2*(ROW(B134)-ROW($B$23)),COLUMN(B134)-2)</f>
        <v>1.9401560000000001E-4</v>
      </c>
      <c r="C134">
        <f ca="1">OFFSET(daily_original_wrong!$B$23, 2*(ROW(C134)-ROW($B$23)),COLUMN(C134)-2)+OFFSET(daily_original_wrong!$B$23, 1+2*(ROW(C134)-ROW($B$23)),COLUMN(C134)-2)</f>
        <v>1.9401560000000001E-4</v>
      </c>
      <c r="D134">
        <f ca="1">OFFSET(daily_original_wrong!$B$23, 2*(ROW(D134)-ROW($B$23)),COLUMN(D134)-2)+OFFSET(daily_original_wrong!$B$23, 1+2*(ROW(D134)-ROW($B$23)),COLUMN(D134)-2)</f>
        <v>3.8398600000000001E-4</v>
      </c>
      <c r="E134">
        <f ca="1">OFFSET(daily_original_wrong!$B$23, 2*(ROW(E134)-ROW($B$23)),COLUMN(E134)-2)+OFFSET(daily_original_wrong!$B$23, 1+2*(ROW(E134)-ROW($B$23)),COLUMN(E134)-2)</f>
        <v>2.5850800000000001E-4</v>
      </c>
      <c r="F134">
        <f ca="1">OFFSET(daily_original_wrong!$B$23, 2*(ROW(F134)-ROW($B$23)),COLUMN(F134)-2)+OFFSET(daily_original_wrong!$B$23, 1+2*(ROW(F134)-ROW($B$23)),COLUMN(F134)-2)</f>
        <v>6.8960199999999999E-4</v>
      </c>
      <c r="G134">
        <f ca="1">OFFSET(daily_original_wrong!$B$23, 2*(ROW(G134)-ROW($B$23)),COLUMN(G134)-2)+OFFSET(daily_original_wrong!$B$23, 1+2*(ROW(G134)-ROW($B$23)),COLUMN(G134)-2)</f>
        <v>7.2844999999999995E-4</v>
      </c>
      <c r="H134">
        <f ca="1">OFFSET(daily_original_wrong!$B$23, 2*(ROW(H134)-ROW($B$23)),COLUMN(H134)-2)+OFFSET(daily_original_wrong!$B$23, 1+2*(ROW(H134)-ROW($B$23)),COLUMN(H134)-2)</f>
        <v>1.1925180000000001E-3</v>
      </c>
      <c r="J134" t="str">
        <f t="shared" si="14"/>
        <v>[</v>
      </c>
      <c r="K134" t="str">
        <f t="shared" ca="1" si="15"/>
        <v>[0.0000970078],</v>
      </c>
      <c r="L134" t="str">
        <f t="shared" ca="1" si="13"/>
        <v>[0.0001940156],</v>
      </c>
      <c r="M134" t="str">
        <f t="shared" ca="1" si="13"/>
        <v>[0.000383986],</v>
      </c>
      <c r="N134" t="str">
        <f t="shared" ca="1" si="13"/>
        <v>[0.000258508],</v>
      </c>
      <c r="O134" t="str">
        <f t="shared" ca="1" si="13"/>
        <v>[0.000689602],</v>
      </c>
      <c r="P134" t="str">
        <f t="shared" ca="1" si="13"/>
        <v>[0.00072845],</v>
      </c>
      <c r="Q134" t="str">
        <f t="shared" ca="1" si="16"/>
        <v>[0.001192518]</v>
      </c>
      <c r="R134" t="str">
        <f t="shared" si="17"/>
        <v>]</v>
      </c>
      <c r="S134" t="str">
        <f t="shared" ca="1" si="18"/>
        <v>[[0.0000970078],[0.0001940156],[0.000383986],[0.000258508],[0.000689602],[0.00072845],[0.001192518]]</v>
      </c>
    </row>
    <row r="135" spans="1:19" x14ac:dyDescent="0.2">
      <c r="A135" s="1" t="d">
        <v>2025-12-27</v>
      </c>
      <c r="B135">
        <f ca="1">OFFSET(daily_original_wrong!$B$23, 2*(ROW(B135)-ROW($B$23)),COLUMN(B135)-2)+OFFSET(daily_original_wrong!$B$23, 1+2*(ROW(B135)-ROW($B$23)),COLUMN(B135)-2)</f>
        <v>5.2087399999999999E-5</v>
      </c>
      <c r="C135">
        <f ca="1">OFFSET(daily_original_wrong!$B$23, 2*(ROW(C135)-ROW($B$23)),COLUMN(C135)-2)+OFFSET(daily_original_wrong!$B$23, 1+2*(ROW(C135)-ROW($B$23)),COLUMN(C135)-2)</f>
        <v>5.2087399999999999E-5</v>
      </c>
      <c r="D135">
        <f ca="1">OFFSET(daily_original_wrong!$B$23, 2*(ROW(D135)-ROW($B$23)),COLUMN(D135)-2)+OFFSET(daily_original_wrong!$B$23, 1+2*(ROW(D135)-ROW($B$23)),COLUMN(D135)-2)</f>
        <v>4.6677200000000001E-4</v>
      </c>
      <c r="E135">
        <f ca="1">OFFSET(daily_original_wrong!$B$23, 2*(ROW(E135)-ROW($B$23)),COLUMN(E135)-2)+OFFSET(daily_original_wrong!$B$23, 1+2*(ROW(E135)-ROW($B$23)),COLUMN(E135)-2)</f>
        <v>2.3587200000000001E-4</v>
      </c>
      <c r="F135">
        <f ca="1">OFFSET(daily_original_wrong!$B$23, 2*(ROW(F135)-ROW($B$23)),COLUMN(F135)-2)+OFFSET(daily_original_wrong!$B$23, 1+2*(ROW(F135)-ROW($B$23)),COLUMN(F135)-2)</f>
        <v>8.6108400000000002E-4</v>
      </c>
      <c r="G135">
        <f ca="1">OFFSET(daily_original_wrong!$B$23, 2*(ROW(G135)-ROW($B$23)),COLUMN(G135)-2)+OFFSET(daily_original_wrong!$B$23, 1+2*(ROW(G135)-ROW($B$23)),COLUMN(G135)-2)</f>
        <v>1.0941119999999999E-3</v>
      </c>
      <c r="H135">
        <f ca="1">OFFSET(daily_original_wrong!$B$23, 2*(ROW(H135)-ROW($B$23)),COLUMN(H135)-2)+OFFSET(daily_original_wrong!$B$23, 1+2*(ROW(H135)-ROW($B$23)),COLUMN(H135)-2)</f>
        <v>1.426238E-3</v>
      </c>
      <c r="J135" t="str">
        <f t="shared" si="14"/>
        <v>[</v>
      </c>
      <c r="K135" t="str">
        <f t="shared" ca="1" si="15"/>
        <v>[0.0000260437],</v>
      </c>
      <c r="L135" t="str">
        <f t="shared" ca="1" si="13"/>
        <v>[0.0000520874],</v>
      </c>
      <c r="M135" t="str">
        <f t="shared" ca="1" si="13"/>
        <v>[0.000466772],</v>
      </c>
      <c r="N135" t="str">
        <f t="shared" ca="1" si="13"/>
        <v>[0.000235872],</v>
      </c>
      <c r="O135" t="str">
        <f t="shared" ca="1" si="13"/>
        <v>[0.000861084],</v>
      </c>
      <c r="P135" t="str">
        <f t="shared" ca="1" si="13"/>
        <v>[0.001094112],</v>
      </c>
      <c r="Q135" t="str">
        <f t="shared" ca="1" si="16"/>
        <v>[0.001426238]</v>
      </c>
      <c r="R135" t="str">
        <f t="shared" si="17"/>
        <v>]</v>
      </c>
      <c r="S135" t="str">
        <f t="shared" ca="1" si="18"/>
        <v>[[0.0000260437],[0.0000520874],[0.000466772],[0.000235872],[0.000861084],[0.001094112],[0.001426238]]</v>
      </c>
    </row>
    <row r="136" spans="1:19" x14ac:dyDescent="0.2">
      <c r="A136" s="1" t="d">
        <v>2025-12-28</v>
      </c>
      <c r="B136">
        <f ca="1">OFFSET(daily_original_wrong!$B$23, 2*(ROW(B136)-ROW($B$23)),COLUMN(B136)-2)+OFFSET(daily_original_wrong!$B$23, 1+2*(ROW(B136)-ROW($B$23)),COLUMN(B136)-2)</f>
        <v>5.2087399999999999E-5</v>
      </c>
      <c r="C136">
        <f ca="1">OFFSET(daily_original_wrong!$B$23, 2*(ROW(C136)-ROW($B$23)),COLUMN(C136)-2)+OFFSET(daily_original_wrong!$B$23, 1+2*(ROW(C136)-ROW($B$23)),COLUMN(C136)-2)</f>
        <v>5.2087399999999999E-5</v>
      </c>
      <c r="D136">
        <f ca="1">OFFSET(daily_original_wrong!$B$23, 2*(ROW(D136)-ROW($B$23)),COLUMN(D136)-2)+OFFSET(daily_original_wrong!$B$23, 1+2*(ROW(D136)-ROW($B$23)),COLUMN(D136)-2)</f>
        <v>4.6677200000000001E-4</v>
      </c>
      <c r="E136">
        <f ca="1">OFFSET(daily_original_wrong!$B$23, 2*(ROW(E136)-ROW($B$23)),COLUMN(E136)-2)+OFFSET(daily_original_wrong!$B$23, 1+2*(ROW(E136)-ROW($B$23)),COLUMN(E136)-2)</f>
        <v>2.3587200000000001E-4</v>
      </c>
      <c r="F136">
        <f ca="1">OFFSET(daily_original_wrong!$B$23, 2*(ROW(F136)-ROW($B$23)),COLUMN(F136)-2)+OFFSET(daily_original_wrong!$B$23, 1+2*(ROW(F136)-ROW($B$23)),COLUMN(F136)-2)</f>
        <v>8.6108400000000002E-4</v>
      </c>
      <c r="G136">
        <f ca="1">OFFSET(daily_original_wrong!$B$23, 2*(ROW(G136)-ROW($B$23)),COLUMN(G136)-2)+OFFSET(daily_original_wrong!$B$23, 1+2*(ROW(G136)-ROW($B$23)),COLUMN(G136)-2)</f>
        <v>1.0941119999999999E-3</v>
      </c>
      <c r="H136">
        <f ca="1">OFFSET(daily_original_wrong!$B$23, 2*(ROW(H136)-ROW($B$23)),COLUMN(H136)-2)+OFFSET(daily_original_wrong!$B$23, 1+2*(ROW(H136)-ROW($B$23)),COLUMN(H136)-2)</f>
        <v>1.426238E-3</v>
      </c>
      <c r="J136" t="str">
        <f t="shared" si="14"/>
        <v>[</v>
      </c>
      <c r="K136" t="str">
        <f t="shared" ca="1" si="15"/>
        <v>[0.0000260437],</v>
      </c>
      <c r="L136" t="str">
        <f t="shared" ca="1" si="13"/>
        <v>[0.0000520874],</v>
      </c>
      <c r="M136" t="str">
        <f t="shared" ca="1" si="13"/>
        <v>[0.000466772],</v>
      </c>
      <c r="N136" t="str">
        <f t="shared" ca="1" si="13"/>
        <v>[0.000235872],</v>
      </c>
      <c r="O136" t="str">
        <f t="shared" ca="1" si="13"/>
        <v>[0.000861084],</v>
      </c>
      <c r="P136" t="str">
        <f t="shared" ca="1" si="13"/>
        <v>[0.001094112],</v>
      </c>
      <c r="Q136" t="str">
        <f t="shared" ca="1" si="16"/>
        <v>[0.001426238]</v>
      </c>
      <c r="R136" t="str">
        <f t="shared" si="17"/>
        <v>]</v>
      </c>
      <c r="S136" t="str">
        <f t="shared" ca="1" si="18"/>
        <v>[[0.0000260437],[0.0000520874],[0.000466772],[0.000235872],[0.000861084],[0.001094112],[0.001426238]]</v>
      </c>
    </row>
    <row r="137" spans="1:19" x14ac:dyDescent="0.2">
      <c r="A137" s="1" t="d">
        <v>2025-12-29</v>
      </c>
      <c r="B137">
        <f ca="1">OFFSET(daily_original_wrong!$B$23, 2*(ROW(B137)-ROW($B$23)),COLUMN(B137)-2)+OFFSET(daily_original_wrong!$B$23, 1+2*(ROW(B137)-ROW($B$23)),COLUMN(B137)-2)</f>
        <v>5.2087399999999999E-5</v>
      </c>
      <c r="C137">
        <f ca="1">OFFSET(daily_original_wrong!$B$23, 2*(ROW(C137)-ROW($B$23)),COLUMN(C137)-2)+OFFSET(daily_original_wrong!$B$23, 1+2*(ROW(C137)-ROW($B$23)),COLUMN(C137)-2)</f>
        <v>5.2087399999999999E-5</v>
      </c>
      <c r="D137">
        <f ca="1">OFFSET(daily_original_wrong!$B$23, 2*(ROW(D137)-ROW($B$23)),COLUMN(D137)-2)+OFFSET(daily_original_wrong!$B$23, 1+2*(ROW(D137)-ROW($B$23)),COLUMN(D137)-2)</f>
        <v>4.6677200000000001E-4</v>
      </c>
      <c r="E137">
        <f ca="1">OFFSET(daily_original_wrong!$B$23, 2*(ROW(E137)-ROW($B$23)),COLUMN(E137)-2)+OFFSET(daily_original_wrong!$B$23, 1+2*(ROW(E137)-ROW($B$23)),COLUMN(E137)-2)</f>
        <v>2.3587200000000001E-4</v>
      </c>
      <c r="F137">
        <f ca="1">OFFSET(daily_original_wrong!$B$23, 2*(ROW(F137)-ROW($B$23)),COLUMN(F137)-2)+OFFSET(daily_original_wrong!$B$23, 1+2*(ROW(F137)-ROW($B$23)),COLUMN(F137)-2)</f>
        <v>8.6108400000000002E-4</v>
      </c>
      <c r="G137">
        <f ca="1">OFFSET(daily_original_wrong!$B$23, 2*(ROW(G137)-ROW($B$23)),COLUMN(G137)-2)+OFFSET(daily_original_wrong!$B$23, 1+2*(ROW(G137)-ROW($B$23)),COLUMN(G137)-2)</f>
        <v>1.0941119999999999E-3</v>
      </c>
      <c r="H137">
        <f ca="1">OFFSET(daily_original_wrong!$B$23, 2*(ROW(H137)-ROW($B$23)),COLUMN(H137)-2)+OFFSET(daily_original_wrong!$B$23, 1+2*(ROW(H137)-ROW($B$23)),COLUMN(H137)-2)</f>
        <v>1.426238E-3</v>
      </c>
      <c r="J137" t="str">
        <f t="shared" si="14"/>
        <v>[</v>
      </c>
      <c r="K137" t="str">
        <f t="shared" ca="1" si="15"/>
        <v>[0.0000260437],</v>
      </c>
      <c r="L137" t="str">
        <f t="shared" ca="1" si="13"/>
        <v>[0.0000520874],</v>
      </c>
      <c r="M137" t="str">
        <f t="shared" ca="1" si="13"/>
        <v>[0.000466772],</v>
      </c>
      <c r="N137" t="str">
        <f t="shared" ca="1" si="13"/>
        <v>[0.000235872],</v>
      </c>
      <c r="O137" t="str">
        <f t="shared" ca="1" si="13"/>
        <v>[0.000861084],</v>
      </c>
      <c r="P137" t="str">
        <f t="shared" ca="1" si="13"/>
        <v>[0.001094112],</v>
      </c>
      <c r="Q137" t="str">
        <f t="shared" ca="1" si="16"/>
        <v>[0.001426238]</v>
      </c>
      <c r="R137" t="str">
        <f t="shared" si="17"/>
        <v>]</v>
      </c>
      <c r="S137" t="str">
        <f t="shared" ca="1" si="18"/>
        <v>[[0.0000260437],[0.0000520874],[0.000466772],[0.000235872],[0.000861084],[0.001094112],[0.001426238]]</v>
      </c>
    </row>
    <row r="138" spans="1:19" x14ac:dyDescent="0.2">
      <c r="A138" s="1" t="d">
        <v>2025-12-30</v>
      </c>
      <c r="B138">
        <f ca="1">OFFSET(daily_original_wrong!$B$23, 2*(ROW(B138)-ROW($B$23)),COLUMN(B138)-2)+OFFSET(daily_original_wrong!$B$23, 1+2*(ROW(B138)-ROW($B$23)),COLUMN(B138)-2)</f>
        <v>2.6043699999999999E-5</v>
      </c>
      <c r="C138">
        <f ca="1">OFFSET(daily_original_wrong!$B$23, 2*(ROW(C138)-ROW($B$23)),COLUMN(C138)-2)+OFFSET(daily_original_wrong!$B$23, 1+2*(ROW(C138)-ROW($B$23)),COLUMN(C138)-2)</f>
        <v>2.6043699999999999E-5</v>
      </c>
      <c r="D138">
        <f ca="1">OFFSET(daily_original_wrong!$B$23, 2*(ROW(D138)-ROW($B$23)),COLUMN(D138)-2)+OFFSET(daily_original_wrong!$B$23, 1+2*(ROW(D138)-ROW($B$23)),COLUMN(D138)-2)</f>
        <v>4.7188999999999998E-4</v>
      </c>
      <c r="E138">
        <f ca="1">OFFSET(daily_original_wrong!$B$23, 2*(ROW(E138)-ROW($B$23)),COLUMN(E138)-2)+OFFSET(daily_original_wrong!$B$23, 1+2*(ROW(E138)-ROW($B$23)),COLUMN(E138)-2)</f>
        <v>2.1421050000000001E-4</v>
      </c>
      <c r="F138">
        <f ca="1">OFFSET(daily_original_wrong!$B$23, 2*(ROW(F138)-ROW($B$23)),COLUMN(F138)-2)+OFFSET(daily_original_wrong!$B$23, 1+2*(ROW(F138)-ROW($B$23)),COLUMN(F138)-2)</f>
        <v>8.3900899999999994E-4</v>
      </c>
      <c r="G138">
        <f ca="1">OFFSET(daily_original_wrong!$B$23, 2*(ROW(G138)-ROW($B$23)),COLUMN(G138)-2)+OFFSET(daily_original_wrong!$B$23, 1+2*(ROW(G138)-ROW($B$23)),COLUMN(G138)-2)</f>
        <v>1.1242700000000001E-3</v>
      </c>
      <c r="H138">
        <f ca="1">OFFSET(daily_original_wrong!$B$23, 2*(ROW(H138)-ROW($B$23)),COLUMN(H138)-2)+OFFSET(daily_original_wrong!$B$23, 1+2*(ROW(H138)-ROW($B$23)),COLUMN(H138)-2)</f>
        <v>1.376541E-3</v>
      </c>
      <c r="J138" t="str">
        <f t="shared" si="14"/>
        <v>[</v>
      </c>
      <c r="K138" t="str">
        <f t="shared" ca="1" si="15"/>
        <v>[0.00001302185],</v>
      </c>
      <c r="L138" t="str">
        <f t="shared" ca="1" si="13"/>
        <v>[0.0000260437],</v>
      </c>
      <c r="M138" t="str">
        <f t="shared" ca="1" si="13"/>
        <v>[0.00047189],</v>
      </c>
      <c r="N138" t="str">
        <f t="shared" ca="1" si="13"/>
        <v>[0.0002142105],</v>
      </c>
      <c r="O138" t="str">
        <f t="shared" ca="1" si="13"/>
        <v>[0.000839009],</v>
      </c>
      <c r="P138" t="str">
        <f t="shared" ca="1" si="13"/>
        <v>[0.00112427],</v>
      </c>
      <c r="Q138" t="str">
        <f t="shared" ca="1" si="16"/>
        <v>[0.001376541]</v>
      </c>
      <c r="R138" t="str">
        <f t="shared" si="17"/>
        <v>]</v>
      </c>
      <c r="S138" t="str">
        <f t="shared" ca="1" si="18"/>
        <v>[[0.00001302185],[0.0000260437],[0.00047189],[0.0002142105],[0.000839009],[0.00112427],[0.001376541]]</v>
      </c>
    </row>
    <row r="139" spans="1:19" x14ac:dyDescent="0.2">
      <c r="A139" s="1" t="d">
        <v>2025-12-31</v>
      </c>
      <c r="B139">
        <f ca="1">OFFSET(daily_original_wrong!$B$23, 2*(ROW(B139)-ROW($B$23)),COLUMN(B139)-2)+OFFSET(daily_original_wrong!$B$23, 1+2*(ROW(B139)-ROW($B$23)),COLUMN(B139)-2)</f>
        <v>0</v>
      </c>
      <c r="C139">
        <f ca="1">OFFSET(daily_original_wrong!$B$23, 2*(ROW(C139)-ROW($B$23)),COLUMN(C139)-2)+OFFSET(daily_original_wrong!$B$23, 1+2*(ROW(C139)-ROW($B$23)),COLUMN(C139)-2)</f>
        <v>0</v>
      </c>
      <c r="D139">
        <f ca="1">OFFSET(daily_original_wrong!$B$23, 2*(ROW(D139)-ROW($B$23)),COLUMN(D139)-2)+OFFSET(daily_original_wrong!$B$23, 1+2*(ROW(D139)-ROW($B$23)),COLUMN(D139)-2)</f>
        <v>4.7700800000000001E-4</v>
      </c>
      <c r="E139">
        <f ca="1">OFFSET(daily_original_wrong!$B$23, 2*(ROW(E139)-ROW($B$23)),COLUMN(E139)-2)+OFFSET(daily_original_wrong!$B$23, 1+2*(ROW(E139)-ROW($B$23)),COLUMN(E139)-2)</f>
        <v>1.92549E-4</v>
      </c>
      <c r="F139">
        <f ca="1">OFFSET(daily_original_wrong!$B$23, 2*(ROW(F139)-ROW($B$23)),COLUMN(F139)-2)+OFFSET(daily_original_wrong!$B$23, 1+2*(ROW(F139)-ROW($B$23)),COLUMN(F139)-2)</f>
        <v>8.1693399999999995E-4</v>
      </c>
      <c r="G139">
        <f ca="1">OFFSET(daily_original_wrong!$B$23, 2*(ROW(G139)-ROW($B$23)),COLUMN(G139)-2)+OFFSET(daily_original_wrong!$B$23, 1+2*(ROW(G139)-ROW($B$23)),COLUMN(G139)-2)</f>
        <v>1.1544280000000001E-3</v>
      </c>
      <c r="H139">
        <f ca="1">OFFSET(daily_original_wrong!$B$23, 2*(ROW(H139)-ROW($B$23)),COLUMN(H139)-2)+OFFSET(daily_original_wrong!$B$23, 1+2*(ROW(H139)-ROW($B$23)),COLUMN(H139)-2)</f>
        <v>1.326844E-3</v>
      </c>
      <c r="J139" t="str">
        <f t="shared" si="14"/>
        <v>[</v>
      </c>
      <c r="K139" t="str">
        <f t="shared" ca="1" si="15"/>
        <v>[0],</v>
      </c>
      <c r="L139" t="str">
        <f t="shared" ca="1" si="13"/>
        <v>[0],</v>
      </c>
      <c r="M139" t="str">
        <f t="shared" ca="1" si="13"/>
        <v>[0.000477008],</v>
      </c>
      <c r="N139" t="str">
        <f t="shared" ca="1" si="13"/>
        <v>[0.000192549],</v>
      </c>
      <c r="O139" t="str">
        <f t="shared" ca="1" si="13"/>
        <v>[0.000816934],</v>
      </c>
      <c r="P139" t="str">
        <f t="shared" ca="1" si="13"/>
        <v>[0.001154428],</v>
      </c>
      <c r="Q139" t="str">
        <f t="shared" ca="1" si="16"/>
        <v>[0.001326844]</v>
      </c>
      <c r="R139" t="str">
        <f t="shared" si="17"/>
        <v>]</v>
      </c>
      <c r="S139" t="str">
        <f t="shared" ca="1" si="18"/>
        <v>[[0],[0],[0.000477008],[0.000192549],[0.000816934],[0.001154428],[0.001326844]]</v>
      </c>
    </row>
    <row r="140" spans="1:19" x14ac:dyDescent="0.2">
      <c r="A140" s="1" t="d">
        <v>2026-01-01</v>
      </c>
      <c r="B140">
        <f ca="1">OFFSET(daily_original_wrong!$B$23, 2*(ROW(B140)-ROW($B$23)),COLUMN(B140)-2)+OFFSET(daily_original_wrong!$B$23, 1+2*(ROW(B140)-ROW($B$23)),COLUMN(B140)-2)</f>
        <v>0</v>
      </c>
      <c r="C140">
        <f ca="1">OFFSET(daily_original_wrong!$B$23, 2*(ROW(C140)-ROW($B$23)),COLUMN(C140)-2)+OFFSET(daily_original_wrong!$B$23, 1+2*(ROW(C140)-ROW($B$23)),COLUMN(C140)-2)</f>
        <v>0</v>
      </c>
      <c r="D140">
        <f ca="1">OFFSET(daily_original_wrong!$B$23, 2*(ROW(D140)-ROW($B$23)),COLUMN(D140)-2)+OFFSET(daily_original_wrong!$B$23, 1+2*(ROW(D140)-ROW($B$23)),COLUMN(D140)-2)</f>
        <v>4.7700800000000001E-4</v>
      </c>
      <c r="E140">
        <f ca="1">OFFSET(daily_original_wrong!$B$23, 2*(ROW(E140)-ROW($B$23)),COLUMN(E140)-2)+OFFSET(daily_original_wrong!$B$23, 1+2*(ROW(E140)-ROW($B$23)),COLUMN(E140)-2)</f>
        <v>1.92549E-4</v>
      </c>
      <c r="F140">
        <f ca="1">OFFSET(daily_original_wrong!$B$23, 2*(ROW(F140)-ROW($B$23)),COLUMN(F140)-2)+OFFSET(daily_original_wrong!$B$23, 1+2*(ROW(F140)-ROW($B$23)),COLUMN(F140)-2)</f>
        <v>8.1693399999999995E-4</v>
      </c>
      <c r="G140">
        <f ca="1">OFFSET(daily_original_wrong!$B$23, 2*(ROW(G140)-ROW($B$23)),COLUMN(G140)-2)+OFFSET(daily_original_wrong!$B$23, 1+2*(ROW(G140)-ROW($B$23)),COLUMN(G140)-2)</f>
        <v>1.1544280000000001E-3</v>
      </c>
      <c r="H140">
        <f ca="1">OFFSET(daily_original_wrong!$B$23, 2*(ROW(H140)-ROW($B$23)),COLUMN(H140)-2)+OFFSET(daily_original_wrong!$B$23, 1+2*(ROW(H140)-ROW($B$23)),COLUMN(H140)-2)</f>
        <v>1.326844E-3</v>
      </c>
      <c r="J140" t="str">
        <f t="shared" si="14"/>
        <v>[</v>
      </c>
      <c r="K140" t="str">
        <f t="shared" ca="1" si="15"/>
        <v>[0],</v>
      </c>
      <c r="L140" t="str">
        <f t="shared" ca="1" si="13"/>
        <v>[0],</v>
      </c>
      <c r="M140" t="str">
        <f t="shared" ca="1" si="13"/>
        <v>[0.000477008],</v>
      </c>
      <c r="N140" t="str">
        <f t="shared" ca="1" si="13"/>
        <v>[0.000192549],</v>
      </c>
      <c r="O140" t="str">
        <f t="shared" ca="1" si="13"/>
        <v>[0.000816934],</v>
      </c>
      <c r="P140" t="str">
        <f t="shared" ca="1" si="13"/>
        <v>[0.001154428],</v>
      </c>
      <c r="Q140" t="str">
        <f t="shared" ca="1" si="16"/>
        <v>[0.001326844]</v>
      </c>
      <c r="R140" t="str">
        <f t="shared" si="17"/>
        <v>]</v>
      </c>
      <c r="S140" t="str">
        <f t="shared" ca="1" si="18"/>
        <v>[[0],[0],[0.000477008],[0.000192549],[0.000816934],[0.001154428],[0.001326844]]</v>
      </c>
    </row>
    <row r="141" spans="1:19" x14ac:dyDescent="0.2">
      <c r="A141" s="1" t="d">
        <v>2026-01-02</v>
      </c>
      <c r="B141">
        <f ca="1">OFFSET(daily_original_wrong!$B$23, 2*(ROW(B141)-ROW($B$23)),COLUMN(B141)-2)+OFFSET(daily_original_wrong!$B$23, 1+2*(ROW(B141)-ROW($B$23)),COLUMN(B141)-2)</f>
        <v>0</v>
      </c>
      <c r="C141">
        <f ca="1">OFFSET(daily_original_wrong!$B$23, 2*(ROW(C141)-ROW($B$23)),COLUMN(C141)-2)+OFFSET(daily_original_wrong!$B$23, 1+2*(ROW(C141)-ROW($B$23)),COLUMN(C141)-2)</f>
        <v>0</v>
      </c>
      <c r="D141">
        <f ca="1">OFFSET(daily_original_wrong!$B$23, 2*(ROW(D141)-ROW($B$23)),COLUMN(D141)-2)+OFFSET(daily_original_wrong!$B$23, 1+2*(ROW(D141)-ROW($B$23)),COLUMN(D141)-2)</f>
        <v>4.7700800000000001E-4</v>
      </c>
      <c r="E141">
        <f ca="1">OFFSET(daily_original_wrong!$B$23, 2*(ROW(E141)-ROW($B$23)),COLUMN(E141)-2)+OFFSET(daily_original_wrong!$B$23, 1+2*(ROW(E141)-ROW($B$23)),COLUMN(E141)-2)</f>
        <v>1.92549E-4</v>
      </c>
      <c r="F141">
        <f ca="1">OFFSET(daily_original_wrong!$B$23, 2*(ROW(F141)-ROW($B$23)),COLUMN(F141)-2)+OFFSET(daily_original_wrong!$B$23, 1+2*(ROW(F141)-ROW($B$23)),COLUMN(F141)-2)</f>
        <v>8.1693399999999995E-4</v>
      </c>
      <c r="G141">
        <f ca="1">OFFSET(daily_original_wrong!$B$23, 2*(ROW(G141)-ROW($B$23)),COLUMN(G141)-2)+OFFSET(daily_original_wrong!$B$23, 1+2*(ROW(G141)-ROW($B$23)),COLUMN(G141)-2)</f>
        <v>1.1544280000000001E-3</v>
      </c>
      <c r="H141">
        <f ca="1">OFFSET(daily_original_wrong!$B$23, 2*(ROW(H141)-ROW($B$23)),COLUMN(H141)-2)+OFFSET(daily_original_wrong!$B$23, 1+2*(ROW(H141)-ROW($B$23)),COLUMN(H141)-2)</f>
        <v>1.326844E-3</v>
      </c>
      <c r="J141" t="str">
        <f t="shared" si="14"/>
        <v>[</v>
      </c>
      <c r="K141" t="str">
        <f t="shared" ca="1" si="15"/>
        <v>[0],</v>
      </c>
      <c r="L141" t="str">
        <f t="shared" ca="1" si="13"/>
        <v>[0],</v>
      </c>
      <c r="M141" t="str">
        <f t="shared" ca="1" si="13"/>
        <v>[0.000477008],</v>
      </c>
      <c r="N141" t="str">
        <f t="shared" ca="1" si="13"/>
        <v>[0.000192549],</v>
      </c>
      <c r="O141" t="str">
        <f t="shared" ca="1" si="13"/>
        <v>[0.000816934],</v>
      </c>
      <c r="P141" t="str">
        <f t="shared" ca="1" si="13"/>
        <v>[0.001154428],</v>
      </c>
      <c r="Q141" t="str">
        <f t="shared" ca="1" si="16"/>
        <v>[0.001326844]</v>
      </c>
      <c r="R141" t="str">
        <f t="shared" si="17"/>
        <v>]</v>
      </c>
      <c r="S141" t="str">
        <f t="shared" ca="1" si="18"/>
        <v>[[0],[0],[0.000477008],[0.000192549],[0.000816934],[0.001154428],[0.001326844]]</v>
      </c>
    </row>
    <row r="142" spans="1:19" x14ac:dyDescent="0.2">
      <c r="A142" s="1" t="d">
        <v>2026-01-03</v>
      </c>
      <c r="B142">
        <f ca="1">OFFSET(daily_original_wrong!$B$23, 2*(ROW(B142)-ROW($B$23)),COLUMN(B142)-2)+OFFSET(daily_original_wrong!$B$23, 1+2*(ROW(B142)-ROW($B$23)),COLUMN(B142)-2)</f>
        <v>0</v>
      </c>
      <c r="C142">
        <f ca="1">OFFSET(daily_original_wrong!$B$23, 2*(ROW(C142)-ROW($B$23)),COLUMN(C142)-2)+OFFSET(daily_original_wrong!$B$23, 1+2*(ROW(C142)-ROW($B$23)),COLUMN(C142)-2)</f>
        <v>0</v>
      </c>
      <c r="D142">
        <f ca="1">OFFSET(daily_original_wrong!$B$23, 2*(ROW(D142)-ROW($B$23)),COLUMN(D142)-2)+OFFSET(daily_original_wrong!$B$23, 1+2*(ROW(D142)-ROW($B$23)),COLUMN(D142)-2)</f>
        <v>1.116672E-3</v>
      </c>
      <c r="E142">
        <f ca="1">OFFSET(daily_original_wrong!$B$23, 2*(ROW(E142)-ROW($B$23)),COLUMN(E142)-2)+OFFSET(daily_original_wrong!$B$23, 1+2*(ROW(E142)-ROW($B$23)),COLUMN(E142)-2)</f>
        <v>4.5272999999999998E-4</v>
      </c>
      <c r="F142">
        <f ca="1">OFFSET(daily_original_wrong!$B$23, 2*(ROW(F142)-ROW($B$23)),COLUMN(F142)-2)+OFFSET(daily_original_wrong!$B$23, 1+2*(ROW(F142)-ROW($B$23)),COLUMN(F142)-2)</f>
        <v>1.631834E-3</v>
      </c>
      <c r="G142">
        <f ca="1">OFFSET(daily_original_wrong!$B$23, 2*(ROW(G142)-ROW($B$23)),COLUMN(G142)-2)+OFFSET(daily_original_wrong!$B$23, 1+2*(ROW(G142)-ROW($B$23)),COLUMN(G142)-2)</f>
        <v>2.2171259999999998E-3</v>
      </c>
      <c r="H142">
        <f ca="1">OFFSET(daily_original_wrong!$B$23, 2*(ROW(H142)-ROW($B$23)),COLUMN(H142)-2)+OFFSET(daily_original_wrong!$B$23, 1+2*(ROW(H142)-ROW($B$23)),COLUMN(H142)-2)</f>
        <v>2.6762719999999999E-3</v>
      </c>
      <c r="J142" t="str">
        <f t="shared" si="14"/>
        <v>[</v>
      </c>
      <c r="K142" t="str">
        <f t="shared" ca="1" si="15"/>
        <v>[0],</v>
      </c>
      <c r="L142" t="str">
        <f t="shared" ca="1" si="13"/>
        <v>[0],</v>
      </c>
      <c r="M142" t="str">
        <f t="shared" ca="1" si="13"/>
        <v>[0.001116672],</v>
      </c>
      <c r="N142" t="str">
        <f t="shared" ca="1" si="13"/>
        <v>[0.00045273],</v>
      </c>
      <c r="O142" t="str">
        <f t="shared" ca="1" si="13"/>
        <v>[0.001631834],</v>
      </c>
      <c r="P142" t="str">
        <f t="shared" ca="1" si="13"/>
        <v>[0.002217126],</v>
      </c>
      <c r="Q142" t="str">
        <f t="shared" ca="1" si="16"/>
        <v>[0.002676272]</v>
      </c>
      <c r="R142" t="str">
        <f t="shared" si="17"/>
        <v>]</v>
      </c>
      <c r="S142" t="str">
        <f t="shared" ca="1" si="18"/>
        <v>[[0],[0],[0.001116672],[0.00045273],[0.001631834],[0.002217126],[0.002676272]]</v>
      </c>
    </row>
    <row r="143" spans="1:19" x14ac:dyDescent="0.2">
      <c r="A143" s="1" t="d">
        <v>2026-01-04</v>
      </c>
      <c r="B143">
        <f ca="1">OFFSET(daily_original_wrong!$B$23, 2*(ROW(B143)-ROW($B$23)),COLUMN(B143)-2)+OFFSET(daily_original_wrong!$B$23, 1+2*(ROW(B143)-ROW($B$23)),COLUMN(B143)-2)</f>
        <v>0</v>
      </c>
      <c r="C143">
        <f ca="1">OFFSET(daily_original_wrong!$B$23, 2*(ROW(C143)-ROW($B$23)),COLUMN(C143)-2)+OFFSET(daily_original_wrong!$B$23, 1+2*(ROW(C143)-ROW($B$23)),COLUMN(C143)-2)</f>
        <v>0</v>
      </c>
      <c r="D143">
        <f ca="1">OFFSET(daily_original_wrong!$B$23, 2*(ROW(D143)-ROW($B$23)),COLUMN(D143)-2)+OFFSET(daily_original_wrong!$B$23, 1+2*(ROW(D143)-ROW($B$23)),COLUMN(D143)-2)</f>
        <v>1.116672E-3</v>
      </c>
      <c r="E143">
        <f ca="1">OFFSET(daily_original_wrong!$B$23, 2*(ROW(E143)-ROW($B$23)),COLUMN(E143)-2)+OFFSET(daily_original_wrong!$B$23, 1+2*(ROW(E143)-ROW($B$23)),COLUMN(E143)-2)</f>
        <v>4.5272999999999998E-4</v>
      </c>
      <c r="F143">
        <f ca="1">OFFSET(daily_original_wrong!$B$23, 2*(ROW(F143)-ROW($B$23)),COLUMN(F143)-2)+OFFSET(daily_original_wrong!$B$23, 1+2*(ROW(F143)-ROW($B$23)),COLUMN(F143)-2)</f>
        <v>1.631834E-3</v>
      </c>
      <c r="G143">
        <f ca="1">OFFSET(daily_original_wrong!$B$23, 2*(ROW(G143)-ROW($B$23)),COLUMN(G143)-2)+OFFSET(daily_original_wrong!$B$23, 1+2*(ROW(G143)-ROW($B$23)),COLUMN(G143)-2)</f>
        <v>2.2171259999999998E-3</v>
      </c>
      <c r="H143">
        <f ca="1">OFFSET(daily_original_wrong!$B$23, 2*(ROW(H143)-ROW($B$23)),COLUMN(H143)-2)+OFFSET(daily_original_wrong!$B$23, 1+2*(ROW(H143)-ROW($B$23)),COLUMN(H143)-2)</f>
        <v>2.6762719999999999E-3</v>
      </c>
      <c r="J143" t="str">
        <f t="shared" si="14"/>
        <v>[</v>
      </c>
      <c r="K143" t="str">
        <f t="shared" ca="1" si="15"/>
        <v>[0],</v>
      </c>
      <c r="L143" t="str">
        <f t="shared" ca="1" si="13"/>
        <v>[0],</v>
      </c>
      <c r="M143" t="str">
        <f t="shared" ca="1" si="13"/>
        <v>[0.001116672],</v>
      </c>
      <c r="N143" t="str">
        <f t="shared" ca="1" si="13"/>
        <v>[0.00045273],</v>
      </c>
      <c r="O143" t="str">
        <f t="shared" ca="1" si="13"/>
        <v>[0.001631834],</v>
      </c>
      <c r="P143" t="str">
        <f t="shared" ca="1" si="13"/>
        <v>[0.002217126],</v>
      </c>
      <c r="Q143" t="str">
        <f t="shared" ca="1" si="16"/>
        <v>[0.002676272]</v>
      </c>
      <c r="R143" t="str">
        <f t="shared" si="17"/>
        <v>]</v>
      </c>
      <c r="S143" t="str">
        <f t="shared" ca="1" si="18"/>
        <v>[[0],[0],[0.001116672],[0.00045273],[0.001631834],[0.002217126],[0.002676272]]</v>
      </c>
    </row>
    <row r="144" spans="1:19" x14ac:dyDescent="0.2">
      <c r="A144" s="1" t="d">
        <v>2026-01-05</v>
      </c>
      <c r="B144">
        <f ca="1">OFFSET(daily_original_wrong!$B$23, 2*(ROW(B144)-ROW($B$23)),COLUMN(B144)-2)+OFFSET(daily_original_wrong!$B$23, 1+2*(ROW(B144)-ROW($B$23)),COLUMN(B144)-2)</f>
        <v>0</v>
      </c>
      <c r="C144">
        <f ca="1">OFFSET(daily_original_wrong!$B$23, 2*(ROW(C144)-ROW($B$23)),COLUMN(C144)-2)+OFFSET(daily_original_wrong!$B$23, 1+2*(ROW(C144)-ROW($B$23)),COLUMN(C144)-2)</f>
        <v>0</v>
      </c>
      <c r="D144">
        <f ca="1">OFFSET(daily_original_wrong!$B$23, 2*(ROW(D144)-ROW($B$23)),COLUMN(D144)-2)+OFFSET(daily_original_wrong!$B$23, 1+2*(ROW(D144)-ROW($B$23)),COLUMN(D144)-2)</f>
        <v>1.116672E-3</v>
      </c>
      <c r="E144">
        <f ca="1">OFFSET(daily_original_wrong!$B$23, 2*(ROW(E144)-ROW($B$23)),COLUMN(E144)-2)+OFFSET(daily_original_wrong!$B$23, 1+2*(ROW(E144)-ROW($B$23)),COLUMN(E144)-2)</f>
        <v>4.5272999999999998E-4</v>
      </c>
      <c r="F144">
        <f ca="1">OFFSET(daily_original_wrong!$B$23, 2*(ROW(F144)-ROW($B$23)),COLUMN(F144)-2)+OFFSET(daily_original_wrong!$B$23, 1+2*(ROW(F144)-ROW($B$23)),COLUMN(F144)-2)</f>
        <v>1.631834E-3</v>
      </c>
      <c r="G144">
        <f ca="1">OFFSET(daily_original_wrong!$B$23, 2*(ROW(G144)-ROW($B$23)),COLUMN(G144)-2)+OFFSET(daily_original_wrong!$B$23, 1+2*(ROW(G144)-ROW($B$23)),COLUMN(G144)-2)</f>
        <v>2.2171259999999998E-3</v>
      </c>
      <c r="H144">
        <f ca="1">OFFSET(daily_original_wrong!$B$23, 2*(ROW(H144)-ROW($B$23)),COLUMN(H144)-2)+OFFSET(daily_original_wrong!$B$23, 1+2*(ROW(H144)-ROW($B$23)),COLUMN(H144)-2)</f>
        <v>2.6762719999999999E-3</v>
      </c>
      <c r="J144" t="str">
        <f t="shared" si="14"/>
        <v>[</v>
      </c>
      <c r="K144" t="str">
        <f t="shared" ca="1" si="15"/>
        <v>[0],</v>
      </c>
      <c r="L144" t="str">
        <f t="shared" ca="1" si="13"/>
        <v>[0],</v>
      </c>
      <c r="M144" t="str">
        <f t="shared" ca="1" si="13"/>
        <v>[0.001116672],</v>
      </c>
      <c r="N144" t="str">
        <f t="shared" ca="1" si="13"/>
        <v>[0.00045273],</v>
      </c>
      <c r="O144" t="str">
        <f t="shared" ca="1" si="13"/>
        <v>[0.001631834],</v>
      </c>
      <c r="P144" t="str">
        <f t="shared" ca="1" si="13"/>
        <v>[0.002217126],</v>
      </c>
      <c r="Q144" t="str">
        <f t="shared" ca="1" si="16"/>
        <v>[0.002676272]</v>
      </c>
      <c r="R144" t="str">
        <f t="shared" si="17"/>
        <v>]</v>
      </c>
      <c r="S144" t="str">
        <f t="shared" ca="1" si="18"/>
        <v>[[0],[0],[0.001116672],[0.00045273],[0.001631834],[0.002217126],[0.002676272]]</v>
      </c>
    </row>
    <row r="145" spans="1:19" x14ac:dyDescent="0.2">
      <c r="A145" s="1" t="d">
        <v>2026-01-06</v>
      </c>
      <c r="B145">
        <f ca="1">OFFSET(daily_original_wrong!$B$23, 2*(ROW(B145)-ROW($B$23)),COLUMN(B145)-2)+OFFSET(daily_original_wrong!$B$23, 1+2*(ROW(B145)-ROW($B$23)),COLUMN(B145)-2)</f>
        <v>0</v>
      </c>
      <c r="C145">
        <f ca="1">OFFSET(daily_original_wrong!$B$23, 2*(ROW(C145)-ROW($B$23)),COLUMN(C145)-2)+OFFSET(daily_original_wrong!$B$23, 1+2*(ROW(C145)-ROW($B$23)),COLUMN(C145)-2)</f>
        <v>0</v>
      </c>
      <c r="D145">
        <f ca="1">OFFSET(daily_original_wrong!$B$23, 2*(ROW(D145)-ROW($B$23)),COLUMN(D145)-2)+OFFSET(daily_original_wrong!$B$23, 1+2*(ROW(D145)-ROW($B$23)),COLUMN(D145)-2)</f>
        <v>8.5130299999999998E-4</v>
      </c>
      <c r="E145">
        <f ca="1">OFFSET(daily_original_wrong!$B$23, 2*(ROW(E145)-ROW($B$23)),COLUMN(E145)-2)+OFFSET(daily_original_wrong!$B$23, 1+2*(ROW(E145)-ROW($B$23)),COLUMN(E145)-2)</f>
        <v>3.4908699999999999E-4</v>
      </c>
      <c r="F145">
        <f ca="1">OFFSET(daily_original_wrong!$B$23, 2*(ROW(F145)-ROW($B$23)),COLUMN(F145)-2)+OFFSET(daily_original_wrong!$B$23, 1+2*(ROW(F145)-ROW($B$23)),COLUMN(F145)-2)</f>
        <v>1.09571E-3</v>
      </c>
      <c r="G145">
        <f ca="1">OFFSET(daily_original_wrong!$B$23, 2*(ROW(G145)-ROW($B$23)),COLUMN(G145)-2)+OFFSET(daily_original_wrong!$B$23, 1+2*(ROW(G145)-ROW($B$23)),COLUMN(G145)-2)</f>
        <v>1.4367569999999999E-3</v>
      </c>
      <c r="H145">
        <f ca="1">OFFSET(daily_original_wrong!$B$23, 2*(ROW(H145)-ROW($B$23)),COLUMN(H145)-2)+OFFSET(daily_original_wrong!$B$23, 1+2*(ROW(H145)-ROW($B$23)),COLUMN(H145)-2)</f>
        <v>1.8125019999999999E-3</v>
      </c>
      <c r="J145" t="str">
        <f t="shared" si="14"/>
        <v>[</v>
      </c>
      <c r="K145" t="str">
        <f t="shared" ca="1" si="15"/>
        <v>[0],</v>
      </c>
      <c r="L145" t="str">
        <f t="shared" ca="1" si="13"/>
        <v>[0],</v>
      </c>
      <c r="M145" t="str">
        <f t="shared" ca="1" si="13"/>
        <v>[0.000851303],</v>
      </c>
      <c r="N145" t="str">
        <f t="shared" ca="1" si="13"/>
        <v>[0.000349087],</v>
      </c>
      <c r="O145" t="str">
        <f t="shared" ca="1" si="13"/>
        <v>[0.00109571],</v>
      </c>
      <c r="P145" t="str">
        <f t="shared" ca="1" si="13"/>
        <v>[0.001436757],</v>
      </c>
      <c r="Q145" t="str">
        <f t="shared" ca="1" si="16"/>
        <v>[0.001812502]</v>
      </c>
      <c r="R145" t="str">
        <f t="shared" si="17"/>
        <v>]</v>
      </c>
      <c r="S145" t="str">
        <f t="shared" ca="1" si="18"/>
        <v>[[0],[0],[0.000851303],[0.000349087],[0.00109571],[0.001436757],[0.001812502]]</v>
      </c>
    </row>
    <row r="146" spans="1:19" x14ac:dyDescent="0.2">
      <c r="A146" s="1" t="d">
        <v>2026-01-07</v>
      </c>
      <c r="B146">
        <f ca="1">OFFSET(daily_original_wrong!$B$23, 2*(ROW(B146)-ROW($B$23)),COLUMN(B146)-2)+OFFSET(daily_original_wrong!$B$23, 1+2*(ROW(B146)-ROW($B$23)),COLUMN(B146)-2)</f>
        <v>0</v>
      </c>
      <c r="C146">
        <f ca="1">OFFSET(daily_original_wrong!$B$23, 2*(ROW(C146)-ROW($B$23)),COLUMN(C146)-2)+OFFSET(daily_original_wrong!$B$23, 1+2*(ROW(C146)-ROW($B$23)),COLUMN(C146)-2)</f>
        <v>0</v>
      </c>
      <c r="D146">
        <f ca="1">OFFSET(daily_original_wrong!$B$23, 2*(ROW(D146)-ROW($B$23)),COLUMN(D146)-2)+OFFSET(daily_original_wrong!$B$23, 1+2*(ROW(D146)-ROW($B$23)),COLUMN(D146)-2)</f>
        <v>5.8593399999999998E-4</v>
      </c>
      <c r="E146">
        <f ca="1">OFFSET(daily_original_wrong!$B$23, 2*(ROW(E146)-ROW($B$23)),COLUMN(E146)-2)+OFFSET(daily_original_wrong!$B$23, 1+2*(ROW(E146)-ROW($B$23)),COLUMN(E146)-2)</f>
        <v>2.4544399999999999E-4</v>
      </c>
      <c r="F146">
        <f ca="1">OFFSET(daily_original_wrong!$B$23, 2*(ROW(F146)-ROW($B$23)),COLUMN(F146)-2)+OFFSET(daily_original_wrong!$B$23, 1+2*(ROW(F146)-ROW($B$23)),COLUMN(F146)-2)</f>
        <v>5.5958600000000005E-4</v>
      </c>
      <c r="G146">
        <f ca="1">OFFSET(daily_original_wrong!$B$23, 2*(ROW(G146)-ROW($B$23)),COLUMN(G146)-2)+OFFSET(daily_original_wrong!$B$23, 1+2*(ROW(G146)-ROW($B$23)),COLUMN(G146)-2)</f>
        <v>6.5638800000000005E-4</v>
      </c>
      <c r="H146">
        <f ca="1">OFFSET(daily_original_wrong!$B$23, 2*(ROW(H146)-ROW($B$23)),COLUMN(H146)-2)+OFFSET(daily_original_wrong!$B$23, 1+2*(ROW(H146)-ROW($B$23)),COLUMN(H146)-2)</f>
        <v>9.4873199999999998E-4</v>
      </c>
      <c r="J146" t="str">
        <f t="shared" si="14"/>
        <v>[</v>
      </c>
      <c r="K146" t="str">
        <f t="shared" ca="1" si="15"/>
        <v>[0],</v>
      </c>
      <c r="L146" t="str">
        <f t="shared" ca="1" si="13"/>
        <v>[0],</v>
      </c>
      <c r="M146" t="str">
        <f t="shared" ca="1" si="13"/>
        <v>[0.000585934],</v>
      </c>
      <c r="N146" t="str">
        <f t="shared" ca="1" si="13"/>
        <v>[0.000245444],</v>
      </c>
      <c r="O146" t="str">
        <f t="shared" ca="1" si="13"/>
        <v>[0.000559586],</v>
      </c>
      <c r="P146" t="str">
        <f t="shared" ca="1" si="13"/>
        <v>[0.000656388],</v>
      </c>
      <c r="Q146" t="str">
        <f t="shared" ca="1" si="16"/>
        <v>[0.000948732]</v>
      </c>
      <c r="R146" t="str">
        <f t="shared" si="17"/>
        <v>]</v>
      </c>
      <c r="S146" t="str">
        <f t="shared" ca="1" si="18"/>
        <v>[[0],[0],[0.000585934],[0.000245444],[0.000559586],[0.000656388],[0.000948732]]</v>
      </c>
    </row>
    <row r="147" spans="1:19" x14ac:dyDescent="0.2">
      <c r="A147" s="1" t="d">
        <v>2026-01-08</v>
      </c>
      <c r="B147">
        <f ca="1">OFFSET(daily_original_wrong!$B$23, 2*(ROW(B147)-ROW($B$23)),COLUMN(B147)-2)+OFFSET(daily_original_wrong!$B$23, 1+2*(ROW(B147)-ROW($B$23)),COLUMN(B147)-2)</f>
        <v>0</v>
      </c>
      <c r="C147">
        <f ca="1">OFFSET(daily_original_wrong!$B$23, 2*(ROW(C147)-ROW($B$23)),COLUMN(C147)-2)+OFFSET(daily_original_wrong!$B$23, 1+2*(ROW(C147)-ROW($B$23)),COLUMN(C147)-2)</f>
        <v>0</v>
      </c>
      <c r="D147">
        <f ca="1">OFFSET(daily_original_wrong!$B$23, 2*(ROW(D147)-ROW($B$23)),COLUMN(D147)-2)+OFFSET(daily_original_wrong!$B$23, 1+2*(ROW(D147)-ROW($B$23)),COLUMN(D147)-2)</f>
        <v>5.8593399999999998E-4</v>
      </c>
      <c r="E147">
        <f ca="1">OFFSET(daily_original_wrong!$B$23, 2*(ROW(E147)-ROW($B$23)),COLUMN(E147)-2)+OFFSET(daily_original_wrong!$B$23, 1+2*(ROW(E147)-ROW($B$23)),COLUMN(E147)-2)</f>
        <v>2.4544399999999999E-4</v>
      </c>
      <c r="F147">
        <f ca="1">OFFSET(daily_original_wrong!$B$23, 2*(ROW(F147)-ROW($B$23)),COLUMN(F147)-2)+OFFSET(daily_original_wrong!$B$23, 1+2*(ROW(F147)-ROW($B$23)),COLUMN(F147)-2)</f>
        <v>5.5958600000000005E-4</v>
      </c>
      <c r="G147">
        <f ca="1">OFFSET(daily_original_wrong!$B$23, 2*(ROW(G147)-ROW($B$23)),COLUMN(G147)-2)+OFFSET(daily_original_wrong!$B$23, 1+2*(ROW(G147)-ROW($B$23)),COLUMN(G147)-2)</f>
        <v>6.5638800000000005E-4</v>
      </c>
      <c r="H147">
        <f ca="1">OFFSET(daily_original_wrong!$B$23, 2*(ROW(H147)-ROW($B$23)),COLUMN(H147)-2)+OFFSET(daily_original_wrong!$B$23, 1+2*(ROW(H147)-ROW($B$23)),COLUMN(H147)-2)</f>
        <v>9.4873199999999998E-4</v>
      </c>
      <c r="J147" t="str">
        <f t="shared" si="14"/>
        <v>[</v>
      </c>
      <c r="K147" t="str">
        <f t="shared" ca="1" si="15"/>
        <v>[0],</v>
      </c>
      <c r="L147" t="str">
        <f t="shared" ca="1" si="13"/>
        <v>[0],</v>
      </c>
      <c r="M147" t="str">
        <f t="shared" ca="1" si="13"/>
        <v>[0.000585934],</v>
      </c>
      <c r="N147" t="str">
        <f t="shared" ca="1" si="13"/>
        <v>[0.000245444],</v>
      </c>
      <c r="O147" t="str">
        <f t="shared" ca="1" si="13"/>
        <v>[0.000559586],</v>
      </c>
      <c r="P147" t="str">
        <f t="shared" ca="1" si="13"/>
        <v>[0.000656388],</v>
      </c>
      <c r="Q147" t="str">
        <f t="shared" ca="1" si="16"/>
        <v>[0.000948732]</v>
      </c>
      <c r="R147" t="str">
        <f t="shared" si="17"/>
        <v>]</v>
      </c>
      <c r="S147" t="str">
        <f t="shared" ca="1" si="18"/>
        <v>[[0],[0],[0.000585934],[0.000245444],[0.000559586],[0.000656388],[0.000948732]]</v>
      </c>
    </row>
    <row r="148" spans="1:19" x14ac:dyDescent="0.2">
      <c r="A148" s="1" t="d">
        <v>2026-01-09</v>
      </c>
      <c r="B148">
        <f ca="1">OFFSET(daily_original_wrong!$B$23, 2*(ROW(B148)-ROW($B$23)),COLUMN(B148)-2)+OFFSET(daily_original_wrong!$B$23, 1+2*(ROW(B148)-ROW($B$23)),COLUMN(B148)-2)</f>
        <v>0</v>
      </c>
      <c r="C148">
        <f ca="1">OFFSET(daily_original_wrong!$B$23, 2*(ROW(C148)-ROW($B$23)),COLUMN(C148)-2)+OFFSET(daily_original_wrong!$B$23, 1+2*(ROW(C148)-ROW($B$23)),COLUMN(C148)-2)</f>
        <v>0</v>
      </c>
      <c r="D148">
        <f ca="1">OFFSET(daily_original_wrong!$B$23, 2*(ROW(D148)-ROW($B$23)),COLUMN(D148)-2)+OFFSET(daily_original_wrong!$B$23, 1+2*(ROW(D148)-ROW($B$23)),COLUMN(D148)-2)</f>
        <v>5.8593399999999998E-4</v>
      </c>
      <c r="E148">
        <f ca="1">OFFSET(daily_original_wrong!$B$23, 2*(ROW(E148)-ROW($B$23)),COLUMN(E148)-2)+OFFSET(daily_original_wrong!$B$23, 1+2*(ROW(E148)-ROW($B$23)),COLUMN(E148)-2)</f>
        <v>2.4544399999999999E-4</v>
      </c>
      <c r="F148">
        <f ca="1">OFFSET(daily_original_wrong!$B$23, 2*(ROW(F148)-ROW($B$23)),COLUMN(F148)-2)+OFFSET(daily_original_wrong!$B$23, 1+2*(ROW(F148)-ROW($B$23)),COLUMN(F148)-2)</f>
        <v>5.5958600000000005E-4</v>
      </c>
      <c r="G148">
        <f ca="1">OFFSET(daily_original_wrong!$B$23, 2*(ROW(G148)-ROW($B$23)),COLUMN(G148)-2)+OFFSET(daily_original_wrong!$B$23, 1+2*(ROW(G148)-ROW($B$23)),COLUMN(G148)-2)</f>
        <v>6.5638800000000005E-4</v>
      </c>
      <c r="H148">
        <f ca="1">OFFSET(daily_original_wrong!$B$23, 2*(ROW(H148)-ROW($B$23)),COLUMN(H148)-2)+OFFSET(daily_original_wrong!$B$23, 1+2*(ROW(H148)-ROW($B$23)),COLUMN(H148)-2)</f>
        <v>9.4873199999999998E-4</v>
      </c>
      <c r="J148" t="str">
        <f t="shared" si="14"/>
        <v>[</v>
      </c>
      <c r="K148" t="str">
        <f t="shared" ca="1" si="15"/>
        <v>[0],</v>
      </c>
      <c r="L148" t="str">
        <f t="shared" ca="1" si="13"/>
        <v>[0],</v>
      </c>
      <c r="M148" t="str">
        <f t="shared" ca="1" si="13"/>
        <v>[0.000585934],</v>
      </c>
      <c r="N148" t="str">
        <f t="shared" ca="1" si="13"/>
        <v>[0.000245444],</v>
      </c>
      <c r="O148" t="str">
        <f t="shared" ca="1" si="13"/>
        <v>[0.000559586],</v>
      </c>
      <c r="P148" t="str">
        <f t="shared" ca="1" si="13"/>
        <v>[0.000656388],</v>
      </c>
      <c r="Q148" t="str">
        <f t="shared" ca="1" si="16"/>
        <v>[0.000948732]</v>
      </c>
      <c r="R148" t="str">
        <f t="shared" si="17"/>
        <v>]</v>
      </c>
      <c r="S148" t="str">
        <f t="shared" ca="1" si="18"/>
        <v>[[0],[0],[0.000585934],[0.000245444],[0.000559586],[0.000656388],[0.000948732]]</v>
      </c>
    </row>
    <row r="149" spans="1:19" x14ac:dyDescent="0.2">
      <c r="A149" s="1" t="d">
        <v>2026-01-10</v>
      </c>
      <c r="B149">
        <f ca="1">OFFSET(daily_original_wrong!$B$23, 2*(ROW(B149)-ROW($B$23)),COLUMN(B149)-2)+OFFSET(daily_original_wrong!$B$23, 1+2*(ROW(B149)-ROW($B$23)),COLUMN(B149)-2)</f>
        <v>0</v>
      </c>
      <c r="C149">
        <f ca="1">OFFSET(daily_original_wrong!$B$23, 2*(ROW(C149)-ROW($B$23)),COLUMN(C149)-2)+OFFSET(daily_original_wrong!$B$23, 1+2*(ROW(C149)-ROW($B$23)),COLUMN(C149)-2)</f>
        <v>0</v>
      </c>
      <c r="D149">
        <f ca="1">OFFSET(daily_original_wrong!$B$23, 2*(ROW(D149)-ROW($B$23)),COLUMN(D149)-2)+OFFSET(daily_original_wrong!$B$23, 1+2*(ROW(D149)-ROW($B$23)),COLUMN(D149)-2)</f>
        <v>5.9843600000000004E-4</v>
      </c>
      <c r="E149">
        <f ca="1">OFFSET(daily_original_wrong!$B$23, 2*(ROW(E149)-ROW($B$23)),COLUMN(E149)-2)+OFFSET(daily_original_wrong!$B$23, 1+2*(ROW(E149)-ROW($B$23)),COLUMN(E149)-2)</f>
        <v>2.7048399999999998E-4</v>
      </c>
      <c r="F149">
        <f ca="1">OFFSET(daily_original_wrong!$B$23, 2*(ROW(F149)-ROW($B$23)),COLUMN(F149)-2)+OFFSET(daily_original_wrong!$B$23, 1+2*(ROW(F149)-ROW($B$23)),COLUMN(F149)-2)</f>
        <v>3.3342199999999999E-4</v>
      </c>
      <c r="G149">
        <f ca="1">OFFSET(daily_original_wrong!$B$23, 2*(ROW(G149)-ROW($B$23)),COLUMN(G149)-2)+OFFSET(daily_original_wrong!$B$23, 1+2*(ROW(G149)-ROW($B$23)),COLUMN(G149)-2)</f>
        <v>2.5378400000000001E-4</v>
      </c>
      <c r="H149">
        <f ca="1">OFFSET(daily_original_wrong!$B$23, 2*(ROW(H149)-ROW($B$23)),COLUMN(H149)-2)+OFFSET(daily_original_wrong!$B$23, 1+2*(ROW(H149)-ROW($B$23)),COLUMN(H149)-2)</f>
        <v>6.0255599999999997E-4</v>
      </c>
      <c r="J149" t="str">
        <f t="shared" si="14"/>
        <v>[</v>
      </c>
      <c r="K149" t="str">
        <f t="shared" ca="1" si="15"/>
        <v>[0],</v>
      </c>
      <c r="L149" t="str">
        <f t="shared" ca="1" si="13"/>
        <v>[0],</v>
      </c>
      <c r="M149" t="str">
        <f t="shared" ca="1" si="13"/>
        <v>[0.000598436],</v>
      </c>
      <c r="N149" t="str">
        <f t="shared" ca="1" si="13"/>
        <v>[0.000270484],</v>
      </c>
      <c r="O149" t="str">
        <f t="shared" ca="1" si="13"/>
        <v>[0.000333422],</v>
      </c>
      <c r="P149" t="str">
        <f t="shared" ca="1" si="13"/>
        <v>[0.000253784],</v>
      </c>
      <c r="Q149" t="str">
        <f t="shared" ca="1" si="16"/>
        <v>[0.000602556]</v>
      </c>
      <c r="R149" t="str">
        <f t="shared" si="17"/>
        <v>]</v>
      </c>
      <c r="S149" t="str">
        <f t="shared" ca="1" si="18"/>
        <v>[[0],[0],[0.000598436],[0.000270484],[0.000333422],[0.000253784],[0.000602556]]</v>
      </c>
    </row>
    <row r="150" spans="1:19" x14ac:dyDescent="0.2">
      <c r="A150" s="1" t="d">
        <v>2026-01-11</v>
      </c>
      <c r="B150">
        <f ca="1">OFFSET(daily_original_wrong!$B$23, 2*(ROW(B150)-ROW($B$23)),COLUMN(B150)-2)+OFFSET(daily_original_wrong!$B$23, 1+2*(ROW(B150)-ROW($B$23)),COLUMN(B150)-2)</f>
        <v>0</v>
      </c>
      <c r="C150">
        <f ca="1">OFFSET(daily_original_wrong!$B$23, 2*(ROW(C150)-ROW($B$23)),COLUMN(C150)-2)+OFFSET(daily_original_wrong!$B$23, 1+2*(ROW(C150)-ROW($B$23)),COLUMN(C150)-2)</f>
        <v>0</v>
      </c>
      <c r="D150">
        <f ca="1">OFFSET(daily_original_wrong!$B$23, 2*(ROW(D150)-ROW($B$23)),COLUMN(D150)-2)+OFFSET(daily_original_wrong!$B$23, 1+2*(ROW(D150)-ROW($B$23)),COLUMN(D150)-2)</f>
        <v>5.9843600000000004E-4</v>
      </c>
      <c r="E150">
        <f ca="1">OFFSET(daily_original_wrong!$B$23, 2*(ROW(E150)-ROW($B$23)),COLUMN(E150)-2)+OFFSET(daily_original_wrong!$B$23, 1+2*(ROW(E150)-ROW($B$23)),COLUMN(E150)-2)</f>
        <v>2.7048399999999998E-4</v>
      </c>
      <c r="F150">
        <f ca="1">OFFSET(daily_original_wrong!$B$23, 2*(ROW(F150)-ROW($B$23)),COLUMN(F150)-2)+OFFSET(daily_original_wrong!$B$23, 1+2*(ROW(F150)-ROW($B$23)),COLUMN(F150)-2)</f>
        <v>3.3342199999999999E-4</v>
      </c>
      <c r="G150">
        <f ca="1">OFFSET(daily_original_wrong!$B$23, 2*(ROW(G150)-ROW($B$23)),COLUMN(G150)-2)+OFFSET(daily_original_wrong!$B$23, 1+2*(ROW(G150)-ROW($B$23)),COLUMN(G150)-2)</f>
        <v>2.5378400000000001E-4</v>
      </c>
      <c r="H150">
        <f ca="1">OFFSET(daily_original_wrong!$B$23, 2*(ROW(H150)-ROW($B$23)),COLUMN(H150)-2)+OFFSET(daily_original_wrong!$B$23, 1+2*(ROW(H150)-ROW($B$23)),COLUMN(H150)-2)</f>
        <v>6.0255599999999997E-4</v>
      </c>
      <c r="J150" t="str">
        <f t="shared" si="14"/>
        <v>[</v>
      </c>
      <c r="K150" t="str">
        <f t="shared" ca="1" si="15"/>
        <v>[0],</v>
      </c>
      <c r="L150" t="str">
        <f t="shared" ca="1" si="13"/>
        <v>[0],</v>
      </c>
      <c r="M150" t="str">
        <f t="shared" ca="1" si="13"/>
        <v>[0.000598436],</v>
      </c>
      <c r="N150" t="str">
        <f t="shared" ca="1" si="13"/>
        <v>[0.000270484],</v>
      </c>
      <c r="O150" t="str">
        <f t="shared" ca="1" si="13"/>
        <v>[0.000333422],</v>
      </c>
      <c r="P150" t="str">
        <f t="shared" ca="1" si="13"/>
        <v>[0.000253784],</v>
      </c>
      <c r="Q150" t="str">
        <f t="shared" ca="1" si="16"/>
        <v>[0.000602556]</v>
      </c>
      <c r="R150" t="str">
        <f t="shared" si="17"/>
        <v>]</v>
      </c>
      <c r="S150" t="str">
        <f t="shared" ca="1" si="18"/>
        <v>[[0],[0],[0.000598436],[0.000270484],[0.000333422],[0.000253784],[0.000602556]]</v>
      </c>
    </row>
    <row r="151" spans="1:19" x14ac:dyDescent="0.2">
      <c r="A151" s="1" t="d">
        <v>2026-01-12</v>
      </c>
      <c r="B151">
        <f ca="1">OFFSET(daily_original_wrong!$B$23, 2*(ROW(B151)-ROW($B$23)),COLUMN(B151)-2)+OFFSET(daily_original_wrong!$B$23, 1+2*(ROW(B151)-ROW($B$23)),COLUMN(B151)-2)</f>
        <v>0</v>
      </c>
      <c r="C151">
        <f ca="1">OFFSET(daily_original_wrong!$B$23, 2*(ROW(C151)-ROW($B$23)),COLUMN(C151)-2)+OFFSET(daily_original_wrong!$B$23, 1+2*(ROW(C151)-ROW($B$23)),COLUMN(C151)-2)</f>
        <v>0</v>
      </c>
      <c r="D151">
        <f ca="1">OFFSET(daily_original_wrong!$B$23, 2*(ROW(D151)-ROW($B$23)),COLUMN(D151)-2)+OFFSET(daily_original_wrong!$B$23, 1+2*(ROW(D151)-ROW($B$23)),COLUMN(D151)-2)</f>
        <v>5.9843600000000004E-4</v>
      </c>
      <c r="E151">
        <f ca="1">OFFSET(daily_original_wrong!$B$23, 2*(ROW(E151)-ROW($B$23)),COLUMN(E151)-2)+OFFSET(daily_original_wrong!$B$23, 1+2*(ROW(E151)-ROW($B$23)),COLUMN(E151)-2)</f>
        <v>2.7048399999999998E-4</v>
      </c>
      <c r="F151">
        <f ca="1">OFFSET(daily_original_wrong!$B$23, 2*(ROW(F151)-ROW($B$23)),COLUMN(F151)-2)+OFFSET(daily_original_wrong!$B$23, 1+2*(ROW(F151)-ROW($B$23)),COLUMN(F151)-2)</f>
        <v>3.3342199999999999E-4</v>
      </c>
      <c r="G151">
        <f ca="1">OFFSET(daily_original_wrong!$B$23, 2*(ROW(G151)-ROW($B$23)),COLUMN(G151)-2)+OFFSET(daily_original_wrong!$B$23, 1+2*(ROW(G151)-ROW($B$23)),COLUMN(G151)-2)</f>
        <v>2.5378400000000001E-4</v>
      </c>
      <c r="H151">
        <f ca="1">OFFSET(daily_original_wrong!$B$23, 2*(ROW(H151)-ROW($B$23)),COLUMN(H151)-2)+OFFSET(daily_original_wrong!$B$23, 1+2*(ROW(H151)-ROW($B$23)),COLUMN(H151)-2)</f>
        <v>6.0255599999999997E-4</v>
      </c>
      <c r="J151" t="str">
        <f t="shared" si="14"/>
        <v>[</v>
      </c>
      <c r="K151" t="str">
        <f t="shared" ca="1" si="15"/>
        <v>[0],</v>
      </c>
      <c r="L151" t="str">
        <f t="shared" ca="1" si="13"/>
        <v>[0],</v>
      </c>
      <c r="M151" t="str">
        <f t="shared" ca="1" si="13"/>
        <v>[0.000598436],</v>
      </c>
      <c r="N151" t="str">
        <f t="shared" ca="1" si="13"/>
        <v>[0.000270484],</v>
      </c>
      <c r="O151" t="str">
        <f t="shared" ca="1" si="13"/>
        <v>[0.000333422],</v>
      </c>
      <c r="P151" t="str">
        <f t="shared" ca="1" si="13"/>
        <v>[0.000253784],</v>
      </c>
      <c r="Q151" t="str">
        <f t="shared" ca="1" si="16"/>
        <v>[0.000602556]</v>
      </c>
      <c r="R151" t="str">
        <f t="shared" si="17"/>
        <v>]</v>
      </c>
      <c r="S151" t="str">
        <f t="shared" ca="1" si="18"/>
        <v>[[0],[0],[0.000598436],[0.000270484],[0.000333422],[0.000253784],[0.000602556]]</v>
      </c>
    </row>
    <row r="152" spans="1:19" x14ac:dyDescent="0.2">
      <c r="A152" s="1" t="d">
        <v>2026-01-13</v>
      </c>
      <c r="B152">
        <f ca="1">OFFSET(daily_original_wrong!$B$23, 2*(ROW(B152)-ROW($B$23)),COLUMN(B152)-2)+OFFSET(daily_original_wrong!$B$23, 1+2*(ROW(B152)-ROW($B$23)),COLUMN(B152)-2)</f>
        <v>0</v>
      </c>
      <c r="C152">
        <f ca="1">OFFSET(daily_original_wrong!$B$23, 2*(ROW(C152)-ROW($B$23)),COLUMN(C152)-2)+OFFSET(daily_original_wrong!$B$23, 1+2*(ROW(C152)-ROW($B$23)),COLUMN(C152)-2)</f>
        <v>0</v>
      </c>
      <c r="D152">
        <f ca="1">OFFSET(daily_original_wrong!$B$23, 2*(ROW(D152)-ROW($B$23)),COLUMN(D152)-2)+OFFSET(daily_original_wrong!$B$23, 1+2*(ROW(D152)-ROW($B$23)),COLUMN(D152)-2)</f>
        <v>6.0546699999999994E-4</v>
      </c>
      <c r="E152">
        <f ca="1">OFFSET(daily_original_wrong!$B$23, 2*(ROW(E152)-ROW($B$23)),COLUMN(E152)-2)+OFFSET(daily_original_wrong!$B$23, 1+2*(ROW(E152)-ROW($B$23)),COLUMN(E152)-2)</f>
        <v>2.82904E-4</v>
      </c>
      <c r="F152">
        <f ca="1">OFFSET(daily_original_wrong!$B$23, 2*(ROW(F152)-ROW($B$23)),COLUMN(F152)-2)+OFFSET(daily_original_wrong!$B$23, 1+2*(ROW(F152)-ROW($B$23)),COLUMN(F152)-2)</f>
        <v>2.5520099999999998E-4</v>
      </c>
      <c r="G152">
        <f ca="1">OFFSET(daily_original_wrong!$B$23, 2*(ROW(G152)-ROW($B$23)),COLUMN(G152)-2)+OFFSET(daily_original_wrong!$B$23, 1+2*(ROW(G152)-ROW($B$23)),COLUMN(G152)-2)</f>
        <v>1.3429654000000001E-4</v>
      </c>
      <c r="H152">
        <f ca="1">OFFSET(daily_original_wrong!$B$23, 2*(ROW(H152)-ROW($B$23)),COLUMN(H152)-2)+OFFSET(daily_original_wrong!$B$23, 1+2*(ROW(H152)-ROW($B$23)),COLUMN(H152)-2)</f>
        <v>4.7800099999999998E-4</v>
      </c>
      <c r="J152" t="str">
        <f t="shared" si="14"/>
        <v>[</v>
      </c>
      <c r="K152" t="str">
        <f t="shared" ca="1" si="15"/>
        <v>[0],</v>
      </c>
      <c r="L152" t="str">
        <f t="shared" ca="1" si="13"/>
        <v>[0],</v>
      </c>
      <c r="M152" t="str">
        <f t="shared" ca="1" si="13"/>
        <v>[0.000605467],</v>
      </c>
      <c r="N152" t="str">
        <f t="shared" ca="1" si="13"/>
        <v>[0.000282904],</v>
      </c>
      <c r="O152" t="str">
        <f t="shared" ca="1" si="13"/>
        <v>[0.000255201],</v>
      </c>
      <c r="P152" t="str">
        <f t="shared" ca="1" si="13"/>
        <v>[0.00013429654],</v>
      </c>
      <c r="Q152" t="str">
        <f t="shared" ca="1" si="16"/>
        <v>[0.000478001]</v>
      </c>
      <c r="R152" t="str">
        <f t="shared" si="17"/>
        <v>]</v>
      </c>
      <c r="S152" t="str">
        <f t="shared" ca="1" si="18"/>
        <v>[[0],[0],[0.000605467],[0.000282904],[0.000255201],[0.00013429654],[0.000478001]]</v>
      </c>
    </row>
    <row r="153" spans="1:19" x14ac:dyDescent="0.2">
      <c r="A153" s="1" t="d">
        <v>2026-01-14</v>
      </c>
      <c r="B153">
        <f ca="1">OFFSET(daily_original_wrong!$B$23, 2*(ROW(B153)-ROW($B$23)),COLUMN(B153)-2)+OFFSET(daily_original_wrong!$B$23, 1+2*(ROW(B153)-ROW($B$23)),COLUMN(B153)-2)</f>
        <v>0</v>
      </c>
      <c r="C153">
        <f ca="1">OFFSET(daily_original_wrong!$B$23, 2*(ROW(C153)-ROW($B$23)),COLUMN(C153)-2)+OFFSET(daily_original_wrong!$B$23, 1+2*(ROW(C153)-ROW($B$23)),COLUMN(C153)-2)</f>
        <v>0</v>
      </c>
      <c r="D153">
        <f ca="1">OFFSET(daily_original_wrong!$B$23, 2*(ROW(D153)-ROW($B$23)),COLUMN(D153)-2)+OFFSET(daily_original_wrong!$B$23, 1+2*(ROW(D153)-ROW($B$23)),COLUMN(D153)-2)</f>
        <v>6.1249799999999995E-4</v>
      </c>
      <c r="E153">
        <f ca="1">OFFSET(daily_original_wrong!$B$23, 2*(ROW(E153)-ROW($B$23)),COLUMN(E153)-2)+OFFSET(daily_original_wrong!$B$23, 1+2*(ROW(E153)-ROW($B$23)),COLUMN(E153)-2)</f>
        <v>2.9532400000000002E-4</v>
      </c>
      <c r="F153">
        <f ca="1">OFFSET(daily_original_wrong!$B$23, 2*(ROW(F153)-ROW($B$23)),COLUMN(F153)-2)+OFFSET(daily_original_wrong!$B$23, 1+2*(ROW(F153)-ROW($B$23)),COLUMN(F153)-2)</f>
        <v>1.7698E-4</v>
      </c>
      <c r="G153">
        <f ca="1">OFFSET(daily_original_wrong!$B$23, 2*(ROW(G153)-ROW($B$23)),COLUMN(G153)-2)+OFFSET(daily_original_wrong!$B$23, 1+2*(ROW(G153)-ROW($B$23)),COLUMN(G153)-2)</f>
        <v>1.4809080000000001E-5</v>
      </c>
      <c r="H153">
        <f ca="1">OFFSET(daily_original_wrong!$B$23, 2*(ROW(H153)-ROW($B$23)),COLUMN(H153)-2)+OFFSET(daily_original_wrong!$B$23, 1+2*(ROW(H153)-ROW($B$23)),COLUMN(H153)-2)</f>
        <v>3.5344599999999999E-4</v>
      </c>
      <c r="J153" t="str">
        <f t="shared" si="14"/>
        <v>[</v>
      </c>
      <c r="K153" t="str">
        <f t="shared" ca="1" si="15"/>
        <v>[0],</v>
      </c>
      <c r="L153" t="str">
        <f t="shared" ca="1" si="13"/>
        <v>[0],</v>
      </c>
      <c r="M153" t="str">
        <f t="shared" ca="1" si="13"/>
        <v>[0.000612498],</v>
      </c>
      <c r="N153" t="str">
        <f t="shared" ca="1" si="13"/>
        <v>[0.000295324],</v>
      </c>
      <c r="O153" t="str">
        <f t="shared" ca="1" si="13"/>
        <v>[0.00017698],</v>
      </c>
      <c r="P153" t="str">
        <f t="shared" ca="1" si="13"/>
        <v>[0.00001480908],</v>
      </c>
      <c r="Q153" t="str">
        <f t="shared" ca="1" si="16"/>
        <v>[0.000353446]</v>
      </c>
      <c r="R153" t="str">
        <f t="shared" si="17"/>
        <v>]</v>
      </c>
      <c r="S153" t="str">
        <f t="shared" ca="1" si="18"/>
        <v>[[0],[0],[0.000612498],[0.000295324],[0.00017698],[0.00001480908],[0.000353446]]</v>
      </c>
    </row>
    <row r="154" spans="1:19" x14ac:dyDescent="0.2">
      <c r="A154" s="1" t="d">
        <v>2026-01-15</v>
      </c>
      <c r="B154">
        <f ca="1">OFFSET(daily_original_wrong!$B$23, 2*(ROW(B154)-ROW($B$23)),COLUMN(B154)-2)+OFFSET(daily_original_wrong!$B$23, 1+2*(ROW(B154)-ROW($B$23)),COLUMN(B154)-2)</f>
        <v>0</v>
      </c>
      <c r="C154">
        <f ca="1">OFFSET(daily_original_wrong!$B$23, 2*(ROW(C154)-ROW($B$23)),COLUMN(C154)-2)+OFFSET(daily_original_wrong!$B$23, 1+2*(ROW(C154)-ROW($B$23)),COLUMN(C154)-2)</f>
        <v>0</v>
      </c>
      <c r="D154">
        <f ca="1">OFFSET(daily_original_wrong!$B$23, 2*(ROW(D154)-ROW($B$23)),COLUMN(D154)-2)+OFFSET(daily_original_wrong!$B$23, 1+2*(ROW(D154)-ROW($B$23)),COLUMN(D154)-2)</f>
        <v>6.1249799999999995E-4</v>
      </c>
      <c r="E154">
        <f ca="1">OFFSET(daily_original_wrong!$B$23, 2*(ROW(E154)-ROW($B$23)),COLUMN(E154)-2)+OFFSET(daily_original_wrong!$B$23, 1+2*(ROW(E154)-ROW($B$23)),COLUMN(E154)-2)</f>
        <v>2.9532400000000002E-4</v>
      </c>
      <c r="F154">
        <f ca="1">OFFSET(daily_original_wrong!$B$23, 2*(ROW(F154)-ROW($B$23)),COLUMN(F154)-2)+OFFSET(daily_original_wrong!$B$23, 1+2*(ROW(F154)-ROW($B$23)),COLUMN(F154)-2)</f>
        <v>1.7698E-4</v>
      </c>
      <c r="G154">
        <f ca="1">OFFSET(daily_original_wrong!$B$23, 2*(ROW(G154)-ROW($B$23)),COLUMN(G154)-2)+OFFSET(daily_original_wrong!$B$23, 1+2*(ROW(G154)-ROW($B$23)),COLUMN(G154)-2)</f>
        <v>1.4809080000000001E-5</v>
      </c>
      <c r="H154">
        <f ca="1">OFFSET(daily_original_wrong!$B$23, 2*(ROW(H154)-ROW($B$23)),COLUMN(H154)-2)+OFFSET(daily_original_wrong!$B$23, 1+2*(ROW(H154)-ROW($B$23)),COLUMN(H154)-2)</f>
        <v>3.5344599999999999E-4</v>
      </c>
      <c r="J154" t="str">
        <f t="shared" si="14"/>
        <v>[</v>
      </c>
      <c r="K154" t="str">
        <f t="shared" ca="1" si="15"/>
        <v>[0],</v>
      </c>
      <c r="L154" t="str">
        <f t="shared" ca="1" si="13"/>
        <v>[0],</v>
      </c>
      <c r="M154" t="str">
        <f t="shared" ca="1" si="13"/>
        <v>[0.000612498],</v>
      </c>
      <c r="N154" t="str">
        <f t="shared" ca="1" si="13"/>
        <v>[0.000295324],</v>
      </c>
      <c r="O154" t="str">
        <f t="shared" ca="1" si="13"/>
        <v>[0.00017698],</v>
      </c>
      <c r="P154" t="str">
        <f t="shared" ca="1" si="13"/>
        <v>[0.00001480908],</v>
      </c>
      <c r="Q154" t="str">
        <f t="shared" ca="1" si="16"/>
        <v>[0.000353446]</v>
      </c>
      <c r="R154" t="str">
        <f t="shared" si="17"/>
        <v>]</v>
      </c>
      <c r="S154" t="str">
        <f t="shared" ca="1" si="18"/>
        <v>[[0],[0],[0.000612498],[0.000295324],[0.00017698],[0.00001480908],[0.000353446]]</v>
      </c>
    </row>
    <row r="155" spans="1:19" x14ac:dyDescent="0.2">
      <c r="A155" s="1" t="d">
        <v>2026-01-16</v>
      </c>
      <c r="B155">
        <f ca="1">OFFSET(daily_original_wrong!$B$23, 2*(ROW(B155)-ROW($B$23)),COLUMN(B155)-2)+OFFSET(daily_original_wrong!$B$23, 1+2*(ROW(B155)-ROW($B$23)),COLUMN(B155)-2)</f>
        <v>0</v>
      </c>
      <c r="C155">
        <f ca="1">OFFSET(daily_original_wrong!$B$23, 2*(ROW(C155)-ROW($B$23)),COLUMN(C155)-2)+OFFSET(daily_original_wrong!$B$23, 1+2*(ROW(C155)-ROW($B$23)),COLUMN(C155)-2)</f>
        <v>0</v>
      </c>
      <c r="D155">
        <f ca="1">OFFSET(daily_original_wrong!$B$23, 2*(ROW(D155)-ROW($B$23)),COLUMN(D155)-2)+OFFSET(daily_original_wrong!$B$23, 1+2*(ROW(D155)-ROW($B$23)),COLUMN(D155)-2)</f>
        <v>6.1249799999999995E-4</v>
      </c>
      <c r="E155">
        <f ca="1">OFFSET(daily_original_wrong!$B$23, 2*(ROW(E155)-ROW($B$23)),COLUMN(E155)-2)+OFFSET(daily_original_wrong!$B$23, 1+2*(ROW(E155)-ROW($B$23)),COLUMN(E155)-2)</f>
        <v>2.9532400000000002E-4</v>
      </c>
      <c r="F155">
        <f ca="1">OFFSET(daily_original_wrong!$B$23, 2*(ROW(F155)-ROW($B$23)),COLUMN(F155)-2)+OFFSET(daily_original_wrong!$B$23, 1+2*(ROW(F155)-ROW($B$23)),COLUMN(F155)-2)</f>
        <v>1.7698E-4</v>
      </c>
      <c r="G155">
        <f ca="1">OFFSET(daily_original_wrong!$B$23, 2*(ROW(G155)-ROW($B$23)),COLUMN(G155)-2)+OFFSET(daily_original_wrong!$B$23, 1+2*(ROW(G155)-ROW($B$23)),COLUMN(G155)-2)</f>
        <v>1.4809080000000001E-5</v>
      </c>
      <c r="H155">
        <f ca="1">OFFSET(daily_original_wrong!$B$23, 2*(ROW(H155)-ROW($B$23)),COLUMN(H155)-2)+OFFSET(daily_original_wrong!$B$23, 1+2*(ROW(H155)-ROW($B$23)),COLUMN(H155)-2)</f>
        <v>3.5344599999999999E-4</v>
      </c>
      <c r="J155" t="str">
        <f t="shared" si="14"/>
        <v>[</v>
      </c>
      <c r="K155" t="str">
        <f t="shared" ca="1" si="15"/>
        <v>[0],</v>
      </c>
      <c r="L155" t="str">
        <f t="shared" ca="1" si="13"/>
        <v>[0],</v>
      </c>
      <c r="M155" t="str">
        <f t="shared" ca="1" si="13"/>
        <v>[0.000612498],</v>
      </c>
      <c r="N155" t="str">
        <f t="shared" ca="1" si="13"/>
        <v>[0.000295324],</v>
      </c>
      <c r="O155" t="str">
        <f t="shared" ca="1" si="13"/>
        <v>[0.00017698],</v>
      </c>
      <c r="P155" t="str">
        <f t="shared" ca="1" si="13"/>
        <v>[0.00001480908],</v>
      </c>
      <c r="Q155" t="str">
        <f t="shared" ca="1" si="16"/>
        <v>[0.000353446]</v>
      </c>
      <c r="R155" t="str">
        <f t="shared" si="17"/>
        <v>]</v>
      </c>
      <c r="S155" t="str">
        <f t="shared" ca="1" si="18"/>
        <v>[[0],[0],[0.000612498],[0.000295324],[0.00017698],[0.00001480908],[0.000353446]]</v>
      </c>
    </row>
    <row r="156" spans="1:19" x14ac:dyDescent="0.2">
      <c r="A156" s="1" t="d">
        <v>2026-01-17</v>
      </c>
      <c r="B156">
        <f ca="1">OFFSET(daily_original_wrong!$B$23, 2*(ROW(B156)-ROW($B$23)),COLUMN(B156)-2)+OFFSET(daily_original_wrong!$B$23, 1+2*(ROW(B156)-ROW($B$23)),COLUMN(B156)-2)</f>
        <v>0</v>
      </c>
      <c r="C156">
        <f ca="1">OFFSET(daily_original_wrong!$B$23, 2*(ROW(C156)-ROW($B$23)),COLUMN(C156)-2)+OFFSET(daily_original_wrong!$B$23, 1+2*(ROW(C156)-ROW($B$23)),COLUMN(C156)-2)</f>
        <v>0</v>
      </c>
      <c r="D156">
        <f ca="1">OFFSET(daily_original_wrong!$B$23, 2*(ROW(D156)-ROW($B$23)),COLUMN(D156)-2)+OFFSET(daily_original_wrong!$B$23, 1+2*(ROW(D156)-ROW($B$23)),COLUMN(D156)-2)</f>
        <v>1.25494E-3</v>
      </c>
      <c r="E156">
        <f ca="1">OFFSET(daily_original_wrong!$B$23, 2*(ROW(E156)-ROW($B$23)),COLUMN(E156)-2)+OFFSET(daily_original_wrong!$B$23, 1+2*(ROW(E156)-ROW($B$23)),COLUMN(E156)-2)</f>
        <v>6.2049999999999996E-4</v>
      </c>
      <c r="F156">
        <f ca="1">OFFSET(daily_original_wrong!$B$23, 2*(ROW(F156)-ROW($B$23)),COLUMN(F156)-2)+OFFSET(daily_original_wrong!$B$23, 1+2*(ROW(F156)-ROW($B$23)),COLUMN(F156)-2)</f>
        <v>2.60404E-4</v>
      </c>
      <c r="G156">
        <f ca="1">OFFSET(daily_original_wrong!$B$23, 2*(ROW(G156)-ROW($B$23)),COLUMN(G156)-2)+OFFSET(daily_original_wrong!$B$23, 1+2*(ROW(G156)-ROW($B$23)),COLUMN(G156)-2)</f>
        <v>7.4045400000000003E-6</v>
      </c>
      <c r="H156">
        <f ca="1">OFFSET(daily_original_wrong!$B$23, 2*(ROW(H156)-ROW($B$23)),COLUMN(H156)-2)+OFFSET(daily_original_wrong!$B$23, 1+2*(ROW(H156)-ROW($B$23)),COLUMN(H156)-2)</f>
        <v>5.2826800000000003E-4</v>
      </c>
      <c r="J156" t="str">
        <f t="shared" si="14"/>
        <v>[</v>
      </c>
      <c r="K156" t="str">
        <f t="shared" ca="1" si="15"/>
        <v>[0],</v>
      </c>
      <c r="L156" t="str">
        <f t="shared" ref="L156:P206" ca="1" si="19">"["&amp;C156&amp;"],"</f>
        <v>[0],</v>
      </c>
      <c r="M156" t="str">
        <f t="shared" ca="1" si="19"/>
        <v>[0.00125494],</v>
      </c>
      <c r="N156" t="str">
        <f t="shared" ca="1" si="19"/>
        <v>[0.0006205],</v>
      </c>
      <c r="O156" t="str">
        <f t="shared" ca="1" si="19"/>
        <v>[0.000260404],</v>
      </c>
      <c r="P156" t="str">
        <f t="shared" ca="1" si="19"/>
        <v>[0.00000740454],</v>
      </c>
      <c r="Q156" t="str">
        <f t="shared" ca="1" si="16"/>
        <v>[0.000528268]</v>
      </c>
      <c r="R156" t="str">
        <f t="shared" si="17"/>
        <v>]</v>
      </c>
      <c r="S156" t="str">
        <f t="shared" ca="1" si="18"/>
        <v>[[0],[0],[0.00125494],[0.0006205],[0.000260404],[0.00000740454],[0.000528268]]</v>
      </c>
    </row>
    <row r="157" spans="1:19" x14ac:dyDescent="0.2">
      <c r="A157" s="1" t="d">
        <v>2026-01-18</v>
      </c>
      <c r="B157">
        <f ca="1">OFFSET(daily_original_wrong!$B$23, 2*(ROW(B157)-ROW($B$23)),COLUMN(B157)-2)+OFFSET(daily_original_wrong!$B$23, 1+2*(ROW(B157)-ROW($B$23)),COLUMN(B157)-2)</f>
        <v>0</v>
      </c>
      <c r="C157">
        <f ca="1">OFFSET(daily_original_wrong!$B$23, 2*(ROW(C157)-ROW($B$23)),COLUMN(C157)-2)+OFFSET(daily_original_wrong!$B$23, 1+2*(ROW(C157)-ROW($B$23)),COLUMN(C157)-2)</f>
        <v>0</v>
      </c>
      <c r="D157">
        <f ca="1">OFFSET(daily_original_wrong!$B$23, 2*(ROW(D157)-ROW($B$23)),COLUMN(D157)-2)+OFFSET(daily_original_wrong!$B$23, 1+2*(ROW(D157)-ROW($B$23)),COLUMN(D157)-2)</f>
        <v>1.25494E-3</v>
      </c>
      <c r="E157">
        <f ca="1">OFFSET(daily_original_wrong!$B$23, 2*(ROW(E157)-ROW($B$23)),COLUMN(E157)-2)+OFFSET(daily_original_wrong!$B$23, 1+2*(ROW(E157)-ROW($B$23)),COLUMN(E157)-2)</f>
        <v>6.2049999999999996E-4</v>
      </c>
      <c r="F157">
        <f ca="1">OFFSET(daily_original_wrong!$B$23, 2*(ROW(F157)-ROW($B$23)),COLUMN(F157)-2)+OFFSET(daily_original_wrong!$B$23, 1+2*(ROW(F157)-ROW($B$23)),COLUMN(F157)-2)</f>
        <v>2.60404E-4</v>
      </c>
      <c r="G157">
        <f ca="1">OFFSET(daily_original_wrong!$B$23, 2*(ROW(G157)-ROW($B$23)),COLUMN(G157)-2)+OFFSET(daily_original_wrong!$B$23, 1+2*(ROW(G157)-ROW($B$23)),COLUMN(G157)-2)</f>
        <v>7.4045400000000003E-6</v>
      </c>
      <c r="H157">
        <f ca="1">OFFSET(daily_original_wrong!$B$23, 2*(ROW(H157)-ROW($B$23)),COLUMN(H157)-2)+OFFSET(daily_original_wrong!$B$23, 1+2*(ROW(H157)-ROW($B$23)),COLUMN(H157)-2)</f>
        <v>5.2826800000000003E-4</v>
      </c>
      <c r="J157" t="str">
        <f t="shared" si="14"/>
        <v>[</v>
      </c>
      <c r="K157" t="str">
        <f t="shared" ca="1" si="15"/>
        <v>[0],</v>
      </c>
      <c r="L157" t="str">
        <f t="shared" ca="1" si="19"/>
        <v>[0],</v>
      </c>
      <c r="M157" t="str">
        <f t="shared" ca="1" si="19"/>
        <v>[0.00125494],</v>
      </c>
      <c r="N157" t="str">
        <f t="shared" ca="1" si="19"/>
        <v>[0.0006205],</v>
      </c>
      <c r="O157" t="str">
        <f t="shared" ca="1" si="19"/>
        <v>[0.000260404],</v>
      </c>
      <c r="P157" t="str">
        <f t="shared" ca="1" si="19"/>
        <v>[0.00000740454],</v>
      </c>
      <c r="Q157" t="str">
        <f t="shared" ca="1" si="16"/>
        <v>[0.000528268]</v>
      </c>
      <c r="R157" t="str">
        <f t="shared" si="17"/>
        <v>]</v>
      </c>
      <c r="S157" t="str">
        <f t="shared" ca="1" si="18"/>
        <v>[[0],[0],[0.00125494],[0.0006205],[0.000260404],[0.00000740454],[0.000528268]]</v>
      </c>
    </row>
    <row r="158" spans="1:19" x14ac:dyDescent="0.2">
      <c r="A158" s="1" t="d">
        <v>2026-01-19</v>
      </c>
      <c r="B158">
        <f ca="1">OFFSET(daily_original_wrong!$B$23, 2*(ROW(B158)-ROW($B$23)),COLUMN(B158)-2)+OFFSET(daily_original_wrong!$B$23, 1+2*(ROW(B158)-ROW($B$23)),COLUMN(B158)-2)</f>
        <v>0</v>
      </c>
      <c r="C158">
        <f ca="1">OFFSET(daily_original_wrong!$B$23, 2*(ROW(C158)-ROW($B$23)),COLUMN(C158)-2)+OFFSET(daily_original_wrong!$B$23, 1+2*(ROW(C158)-ROW($B$23)),COLUMN(C158)-2)</f>
        <v>0</v>
      </c>
      <c r="D158">
        <f ca="1">OFFSET(daily_original_wrong!$B$23, 2*(ROW(D158)-ROW($B$23)),COLUMN(D158)-2)+OFFSET(daily_original_wrong!$B$23, 1+2*(ROW(D158)-ROW($B$23)),COLUMN(D158)-2)</f>
        <v>1.25494E-3</v>
      </c>
      <c r="E158">
        <f ca="1">OFFSET(daily_original_wrong!$B$23, 2*(ROW(E158)-ROW($B$23)),COLUMN(E158)-2)+OFFSET(daily_original_wrong!$B$23, 1+2*(ROW(E158)-ROW($B$23)),COLUMN(E158)-2)</f>
        <v>6.2049999999999996E-4</v>
      </c>
      <c r="F158">
        <f ca="1">OFFSET(daily_original_wrong!$B$23, 2*(ROW(F158)-ROW($B$23)),COLUMN(F158)-2)+OFFSET(daily_original_wrong!$B$23, 1+2*(ROW(F158)-ROW($B$23)),COLUMN(F158)-2)</f>
        <v>2.60404E-4</v>
      </c>
      <c r="G158">
        <f ca="1">OFFSET(daily_original_wrong!$B$23, 2*(ROW(G158)-ROW($B$23)),COLUMN(G158)-2)+OFFSET(daily_original_wrong!$B$23, 1+2*(ROW(G158)-ROW($B$23)),COLUMN(G158)-2)</f>
        <v>7.4045400000000003E-6</v>
      </c>
      <c r="H158">
        <f ca="1">OFFSET(daily_original_wrong!$B$23, 2*(ROW(H158)-ROW($B$23)),COLUMN(H158)-2)+OFFSET(daily_original_wrong!$B$23, 1+2*(ROW(H158)-ROW($B$23)),COLUMN(H158)-2)</f>
        <v>5.2826800000000003E-4</v>
      </c>
      <c r="J158" t="str">
        <f t="shared" si="14"/>
        <v>[</v>
      </c>
      <c r="K158" t="str">
        <f t="shared" ca="1" si="15"/>
        <v>[0],</v>
      </c>
      <c r="L158" t="str">
        <f t="shared" ca="1" si="19"/>
        <v>[0],</v>
      </c>
      <c r="M158" t="str">
        <f t="shared" ca="1" si="19"/>
        <v>[0.00125494],</v>
      </c>
      <c r="N158" t="str">
        <f t="shared" ca="1" si="19"/>
        <v>[0.0006205],</v>
      </c>
      <c r="O158" t="str">
        <f t="shared" ca="1" si="19"/>
        <v>[0.000260404],</v>
      </c>
      <c r="P158" t="str">
        <f t="shared" ca="1" si="19"/>
        <v>[0.00000740454],</v>
      </c>
      <c r="Q158" t="str">
        <f t="shared" ca="1" si="16"/>
        <v>[0.000528268]</v>
      </c>
      <c r="R158" t="str">
        <f t="shared" si="17"/>
        <v>]</v>
      </c>
      <c r="S158" t="str">
        <f t="shared" ca="1" si="18"/>
        <v>[[0],[0],[0.00125494],[0.0006205],[0.000260404],[0.00000740454],[0.000528268]]</v>
      </c>
    </row>
    <row r="159" spans="1:19" x14ac:dyDescent="0.2">
      <c r="A159" s="1" t="d">
        <v>2026-01-20</v>
      </c>
      <c r="B159">
        <f ca="1">OFFSET(daily_original_wrong!$B$23, 2*(ROW(B159)-ROW($B$23)),COLUMN(B159)-2)+OFFSET(daily_original_wrong!$B$23, 1+2*(ROW(B159)-ROW($B$23)),COLUMN(B159)-2)</f>
        <v>0</v>
      </c>
      <c r="C159">
        <f ca="1">OFFSET(daily_original_wrong!$B$23, 2*(ROW(C159)-ROW($B$23)),COLUMN(C159)-2)+OFFSET(daily_original_wrong!$B$23, 1+2*(ROW(C159)-ROW($B$23)),COLUMN(C159)-2)</f>
        <v>0</v>
      </c>
      <c r="D159">
        <f ca="1">OFFSET(daily_original_wrong!$B$23, 2*(ROW(D159)-ROW($B$23)),COLUMN(D159)-2)+OFFSET(daily_original_wrong!$B$23, 1+2*(ROW(D159)-ROW($B$23)),COLUMN(D159)-2)</f>
        <v>9.5350699999999992E-4</v>
      </c>
      <c r="E159">
        <f ca="1">OFFSET(daily_original_wrong!$B$23, 2*(ROW(E159)-ROW($B$23)),COLUMN(E159)-2)+OFFSET(daily_original_wrong!$B$23, 1+2*(ROW(E159)-ROW($B$23)),COLUMN(E159)-2)</f>
        <v>4.7681699999999999E-4</v>
      </c>
      <c r="F159">
        <f ca="1">OFFSET(daily_original_wrong!$B$23, 2*(ROW(F159)-ROW($B$23)),COLUMN(F159)-2)+OFFSET(daily_original_wrong!$B$23, 1+2*(ROW(F159)-ROW($B$23)),COLUMN(F159)-2)</f>
        <v>1.538922E-4</v>
      </c>
      <c r="G159">
        <f ca="1">OFFSET(daily_original_wrong!$B$23, 2*(ROW(G159)-ROW($B$23)),COLUMN(G159)-2)+OFFSET(daily_original_wrong!$B$23, 1+2*(ROW(G159)-ROW($B$23)),COLUMN(G159)-2)</f>
        <v>3.7022700000000001E-6</v>
      </c>
      <c r="H159">
        <f ca="1">OFFSET(daily_original_wrong!$B$23, 2*(ROW(H159)-ROW($B$23)),COLUMN(H159)-2)+OFFSET(daily_original_wrong!$B$23, 1+2*(ROW(H159)-ROW($B$23)),COLUMN(H159)-2)</f>
        <v>3.1250169999999999E-4</v>
      </c>
      <c r="J159" t="str">
        <f t="shared" si="14"/>
        <v>[</v>
      </c>
      <c r="K159" t="str">
        <f t="shared" ca="1" si="15"/>
        <v>[0],</v>
      </c>
      <c r="L159" t="str">
        <f t="shared" ca="1" si="19"/>
        <v>[0],</v>
      </c>
      <c r="M159" t="str">
        <f t="shared" ca="1" si="19"/>
        <v>[0.000953507],</v>
      </c>
      <c r="N159" t="str">
        <f t="shared" ca="1" si="19"/>
        <v>[0.000476817],</v>
      </c>
      <c r="O159" t="str">
        <f t="shared" ca="1" si="19"/>
        <v>[0.0001538922],</v>
      </c>
      <c r="P159" t="str">
        <f t="shared" ca="1" si="19"/>
        <v>[0.00000370227],</v>
      </c>
      <c r="Q159" t="str">
        <f t="shared" ca="1" si="16"/>
        <v>[0.0003125017]</v>
      </c>
      <c r="R159" t="str">
        <f t="shared" si="17"/>
        <v>]</v>
      </c>
      <c r="S159" t="str">
        <f t="shared" ca="1" si="18"/>
        <v>[[0],[0],[0.000953507],[0.000476817],[0.0001538922],[0.00000370227],[0.0003125017]]</v>
      </c>
    </row>
    <row r="160" spans="1:19" x14ac:dyDescent="0.2">
      <c r="A160" s="1" t="d">
        <v>2026-01-21</v>
      </c>
      <c r="B160">
        <f ca="1">OFFSET(daily_original_wrong!$B$23, 2*(ROW(B160)-ROW($B$23)),COLUMN(B160)-2)+OFFSET(daily_original_wrong!$B$23, 1+2*(ROW(B160)-ROW($B$23)),COLUMN(B160)-2)</f>
        <v>0</v>
      </c>
      <c r="C160">
        <f ca="1">OFFSET(daily_original_wrong!$B$23, 2*(ROW(C160)-ROW($B$23)),COLUMN(C160)-2)+OFFSET(daily_original_wrong!$B$23, 1+2*(ROW(C160)-ROW($B$23)),COLUMN(C160)-2)</f>
        <v>0</v>
      </c>
      <c r="D160">
        <f ca="1">OFFSET(daily_original_wrong!$B$23, 2*(ROW(D160)-ROW($B$23)),COLUMN(D160)-2)+OFFSET(daily_original_wrong!$B$23, 1+2*(ROW(D160)-ROW($B$23)),COLUMN(D160)-2)</f>
        <v>6.5207399999999999E-4</v>
      </c>
      <c r="E160">
        <f ca="1">OFFSET(daily_original_wrong!$B$23, 2*(ROW(E160)-ROW($B$23)),COLUMN(E160)-2)+OFFSET(daily_original_wrong!$B$23, 1+2*(ROW(E160)-ROW($B$23)),COLUMN(E160)-2)</f>
        <v>3.3313400000000001E-4</v>
      </c>
      <c r="F160">
        <f ca="1">OFFSET(daily_original_wrong!$B$23, 2*(ROW(F160)-ROW($B$23)),COLUMN(F160)-2)+OFFSET(daily_original_wrong!$B$23, 1+2*(ROW(F160)-ROW($B$23)),COLUMN(F160)-2)</f>
        <v>4.7380399999999998E-5</v>
      </c>
      <c r="G160">
        <f ca="1">OFFSET(daily_original_wrong!$B$23, 2*(ROW(G160)-ROW($B$23)),COLUMN(G160)-2)+OFFSET(daily_original_wrong!$B$23, 1+2*(ROW(G160)-ROW($B$23)),COLUMN(G160)-2)</f>
        <v>0</v>
      </c>
      <c r="H160">
        <f ca="1">OFFSET(daily_original_wrong!$B$23, 2*(ROW(H160)-ROW($B$23)),COLUMN(H160)-2)+OFFSET(daily_original_wrong!$B$23, 1+2*(ROW(H160)-ROW($B$23)),COLUMN(H160)-2)</f>
        <v>9.6735400000000002E-5</v>
      </c>
      <c r="J160" t="str">
        <f t="shared" si="14"/>
        <v>[</v>
      </c>
      <c r="K160" t="str">
        <f t="shared" ca="1" si="15"/>
        <v>[0],</v>
      </c>
      <c r="L160" t="str">
        <f t="shared" ca="1" si="19"/>
        <v>[0],</v>
      </c>
      <c r="M160" t="str">
        <f t="shared" ca="1" si="19"/>
        <v>[0.000652074],</v>
      </c>
      <c r="N160" t="str">
        <f t="shared" ca="1" si="19"/>
        <v>[0.000333134],</v>
      </c>
      <c r="O160" t="str">
        <f t="shared" ca="1" si="19"/>
        <v>[0.0000473804],</v>
      </c>
      <c r="P160" t="str">
        <f t="shared" ca="1" si="19"/>
        <v>[0],</v>
      </c>
      <c r="Q160" t="str">
        <f t="shared" ca="1" si="16"/>
        <v>[0.0000967354]</v>
      </c>
      <c r="R160" t="str">
        <f t="shared" si="17"/>
        <v>]</v>
      </c>
      <c r="S160" t="str">
        <f t="shared" ca="1" si="18"/>
        <v>[[0],[0],[0.000652074],[0.000333134],[0.0000473804],[0],[0.0000967354]]</v>
      </c>
    </row>
    <row r="161" spans="1:19" x14ac:dyDescent="0.2">
      <c r="A161" s="1" t="d">
        <v>2026-01-22</v>
      </c>
      <c r="B161">
        <f ca="1">OFFSET(daily_original_wrong!$B$23, 2*(ROW(B161)-ROW($B$23)),COLUMN(B161)-2)+OFFSET(daily_original_wrong!$B$23, 1+2*(ROW(B161)-ROW($B$23)),COLUMN(B161)-2)</f>
        <v>0</v>
      </c>
      <c r="C161">
        <f ca="1">OFFSET(daily_original_wrong!$B$23, 2*(ROW(C161)-ROW($B$23)),COLUMN(C161)-2)+OFFSET(daily_original_wrong!$B$23, 1+2*(ROW(C161)-ROW($B$23)),COLUMN(C161)-2)</f>
        <v>0</v>
      </c>
      <c r="D161">
        <f ca="1">OFFSET(daily_original_wrong!$B$23, 2*(ROW(D161)-ROW($B$23)),COLUMN(D161)-2)+OFFSET(daily_original_wrong!$B$23, 1+2*(ROW(D161)-ROW($B$23)),COLUMN(D161)-2)</f>
        <v>6.5207399999999999E-4</v>
      </c>
      <c r="E161">
        <f ca="1">OFFSET(daily_original_wrong!$B$23, 2*(ROW(E161)-ROW($B$23)),COLUMN(E161)-2)+OFFSET(daily_original_wrong!$B$23, 1+2*(ROW(E161)-ROW($B$23)),COLUMN(E161)-2)</f>
        <v>3.3313400000000001E-4</v>
      </c>
      <c r="F161">
        <f ca="1">OFFSET(daily_original_wrong!$B$23, 2*(ROW(F161)-ROW($B$23)),COLUMN(F161)-2)+OFFSET(daily_original_wrong!$B$23, 1+2*(ROW(F161)-ROW($B$23)),COLUMN(F161)-2)</f>
        <v>4.7380399999999998E-5</v>
      </c>
      <c r="G161">
        <f ca="1">OFFSET(daily_original_wrong!$B$23, 2*(ROW(G161)-ROW($B$23)),COLUMN(G161)-2)+OFFSET(daily_original_wrong!$B$23, 1+2*(ROW(G161)-ROW($B$23)),COLUMN(G161)-2)</f>
        <v>0</v>
      </c>
      <c r="H161">
        <f ca="1">OFFSET(daily_original_wrong!$B$23, 2*(ROW(H161)-ROW($B$23)),COLUMN(H161)-2)+OFFSET(daily_original_wrong!$B$23, 1+2*(ROW(H161)-ROW($B$23)),COLUMN(H161)-2)</f>
        <v>9.6735400000000002E-5</v>
      </c>
      <c r="J161" t="str">
        <f t="shared" si="14"/>
        <v>[</v>
      </c>
      <c r="K161" t="str">
        <f t="shared" ca="1" si="15"/>
        <v>[0],</v>
      </c>
      <c r="L161" t="str">
        <f t="shared" ca="1" si="19"/>
        <v>[0],</v>
      </c>
      <c r="M161" t="str">
        <f t="shared" ca="1" si="19"/>
        <v>[0.000652074],</v>
      </c>
      <c r="N161" t="str">
        <f t="shared" ca="1" si="19"/>
        <v>[0.000333134],</v>
      </c>
      <c r="O161" t="str">
        <f t="shared" ca="1" si="19"/>
        <v>[0.0000473804],</v>
      </c>
      <c r="P161" t="str">
        <f t="shared" ca="1" si="19"/>
        <v>[0],</v>
      </c>
      <c r="Q161" t="str">
        <f t="shared" ca="1" si="16"/>
        <v>[0.0000967354]</v>
      </c>
      <c r="R161" t="str">
        <f t="shared" si="17"/>
        <v>]</v>
      </c>
      <c r="S161" t="str">
        <f t="shared" ca="1" si="18"/>
        <v>[[0],[0],[0.000652074],[0.000333134],[0.0000473804],[0],[0.0000967354]]</v>
      </c>
    </row>
    <row r="162" spans="1:19" x14ac:dyDescent="0.2">
      <c r="A162" s="1" t="d">
        <v>2026-01-23</v>
      </c>
      <c r="B162">
        <f ca="1">OFFSET(daily_original_wrong!$B$23, 2*(ROW(B162)-ROW($B$23)),COLUMN(B162)-2)+OFFSET(daily_original_wrong!$B$23, 1+2*(ROW(B162)-ROW($B$23)),COLUMN(B162)-2)</f>
        <v>0</v>
      </c>
      <c r="C162">
        <f ca="1">OFFSET(daily_original_wrong!$B$23, 2*(ROW(C162)-ROW($B$23)),COLUMN(C162)-2)+OFFSET(daily_original_wrong!$B$23, 1+2*(ROW(C162)-ROW($B$23)),COLUMN(C162)-2)</f>
        <v>0</v>
      </c>
      <c r="D162">
        <f ca="1">OFFSET(daily_original_wrong!$B$23, 2*(ROW(D162)-ROW($B$23)),COLUMN(D162)-2)+OFFSET(daily_original_wrong!$B$23, 1+2*(ROW(D162)-ROW($B$23)),COLUMN(D162)-2)</f>
        <v>6.5207399999999999E-4</v>
      </c>
      <c r="E162">
        <f ca="1">OFFSET(daily_original_wrong!$B$23, 2*(ROW(E162)-ROW($B$23)),COLUMN(E162)-2)+OFFSET(daily_original_wrong!$B$23, 1+2*(ROW(E162)-ROW($B$23)),COLUMN(E162)-2)</f>
        <v>3.3313400000000001E-4</v>
      </c>
      <c r="F162">
        <f ca="1">OFFSET(daily_original_wrong!$B$23, 2*(ROW(F162)-ROW($B$23)),COLUMN(F162)-2)+OFFSET(daily_original_wrong!$B$23, 1+2*(ROW(F162)-ROW($B$23)),COLUMN(F162)-2)</f>
        <v>4.7380399999999998E-5</v>
      </c>
      <c r="G162">
        <f ca="1">OFFSET(daily_original_wrong!$B$23, 2*(ROW(G162)-ROW($B$23)),COLUMN(G162)-2)+OFFSET(daily_original_wrong!$B$23, 1+2*(ROW(G162)-ROW($B$23)),COLUMN(G162)-2)</f>
        <v>0</v>
      </c>
      <c r="H162">
        <f ca="1">OFFSET(daily_original_wrong!$B$23, 2*(ROW(H162)-ROW($B$23)),COLUMN(H162)-2)+OFFSET(daily_original_wrong!$B$23, 1+2*(ROW(H162)-ROW($B$23)),COLUMN(H162)-2)</f>
        <v>9.6735400000000002E-5</v>
      </c>
      <c r="J162" t="str">
        <f t="shared" si="14"/>
        <v>[</v>
      </c>
      <c r="K162" t="str">
        <f t="shared" ca="1" si="15"/>
        <v>[0],</v>
      </c>
      <c r="L162" t="str">
        <f t="shared" ca="1" si="19"/>
        <v>[0],</v>
      </c>
      <c r="M162" t="str">
        <f t="shared" ca="1" si="19"/>
        <v>[0.000652074],</v>
      </c>
      <c r="N162" t="str">
        <f t="shared" ca="1" si="19"/>
        <v>[0.000333134],</v>
      </c>
      <c r="O162" t="str">
        <f t="shared" ca="1" si="19"/>
        <v>[0.0000473804],</v>
      </c>
      <c r="P162" t="str">
        <f t="shared" ca="1" si="19"/>
        <v>[0],</v>
      </c>
      <c r="Q162" t="str">
        <f t="shared" ca="1" si="16"/>
        <v>[0.0000967354]</v>
      </c>
      <c r="R162" t="str">
        <f t="shared" si="17"/>
        <v>]</v>
      </c>
      <c r="S162" t="str">
        <f t="shared" ca="1" si="18"/>
        <v>[[0],[0],[0.000652074],[0.000333134],[0.0000473804],[0],[0.0000967354]]</v>
      </c>
    </row>
    <row r="163" spans="1:19" x14ac:dyDescent="0.2">
      <c r="A163" s="1" t="d">
        <v>2026-01-24</v>
      </c>
      <c r="B163">
        <f ca="1">OFFSET(daily_original_wrong!$B$23, 2*(ROW(B163)-ROW($B$23)),COLUMN(B163)-2)+OFFSET(daily_original_wrong!$B$23, 1+2*(ROW(B163)-ROW($B$23)),COLUMN(B163)-2)</f>
        <v>0.90704788649999912</v>
      </c>
      <c r="C163">
        <f ca="1">OFFSET(daily_original_wrong!$B$23, 2*(ROW(C163)-ROW($B$23)),COLUMN(C163)-2)+OFFSET(daily_original_wrong!$B$23, 1+2*(ROW(C163)-ROW($B$23)),COLUMN(C163)-2)</f>
        <v>0.90704788649999912</v>
      </c>
      <c r="D163">
        <f ca="1">OFFSET(daily_original_wrong!$B$23, 2*(ROW(D163)-ROW($B$23)),COLUMN(D163)-2)+OFFSET(daily_original_wrong!$B$23, 1+2*(ROW(D163)-ROW($B$23)),COLUMN(D163)-2)</f>
        <v>0.72735368299999914</v>
      </c>
      <c r="E163">
        <f ca="1">OFFSET(daily_original_wrong!$B$23, 2*(ROW(E163)-ROW($B$23)),COLUMN(E163)-2)+OFFSET(daily_original_wrong!$B$23, 1+2*(ROW(E163)-ROW($B$23)),COLUMN(E163)-2)</f>
        <v>0.55942221649999946</v>
      </c>
      <c r="F163">
        <f ca="1">OFFSET(daily_original_wrong!$B$23, 2*(ROW(F163)-ROW($B$23)),COLUMN(F163)-2)+OFFSET(daily_original_wrong!$B$23, 1+2*(ROW(F163)-ROW($B$23)),COLUMN(F163)-2)</f>
        <v>0.41005907039999984</v>
      </c>
      <c r="G163">
        <f ca="1">OFFSET(daily_original_wrong!$B$23, 2*(ROW(G163)-ROW($B$23)),COLUMN(G163)-2)+OFFSET(daily_original_wrong!$B$23, 1+2*(ROW(G163)-ROW($B$23)),COLUMN(G163)-2)</f>
        <v>0.60679674167000131</v>
      </c>
      <c r="H163">
        <f ca="1">OFFSET(daily_original_wrong!$B$23, 2*(ROW(H163)-ROW($B$23)),COLUMN(H163)-2)+OFFSET(daily_original_wrong!$B$23, 1+2*(ROW(H163)-ROW($B$23)),COLUMN(H163)-2)</f>
        <v>0.7409139479000012</v>
      </c>
      <c r="J163" t="str">
        <f t="shared" si="14"/>
        <v>[</v>
      </c>
      <c r="K163" t="str">
        <f t="shared" ca="1" si="15"/>
        <v>[0.45352394325],</v>
      </c>
      <c r="L163" t="str">
        <f t="shared" ca="1" si="19"/>
        <v>[0.907047886499999],</v>
      </c>
      <c r="M163" t="str">
        <f t="shared" ca="1" si="19"/>
        <v>[0.727353682999999],</v>
      </c>
      <c r="N163" t="str">
        <f t="shared" ca="1" si="19"/>
        <v>[0.559422216499999],</v>
      </c>
      <c r="O163" t="str">
        <f t="shared" ca="1" si="19"/>
        <v>[0.4100590704],</v>
      </c>
      <c r="P163" t="str">
        <f t="shared" ca="1" si="19"/>
        <v>[0.606796741670001],</v>
      </c>
      <c r="Q163" t="str">
        <f t="shared" ca="1" si="16"/>
        <v>[0.740913947900001]</v>
      </c>
      <c r="R163" t="str">
        <f t="shared" si="17"/>
        <v>]</v>
      </c>
      <c r="S163" t="str">
        <f t="shared" ca="1" si="18"/>
        <v>[[0.45352394325],[0.907047886499999],[0.727353682999999],[0.559422216499999],[0.4100590704],[0.606796741670001],[0.740913947900001]]</v>
      </c>
    </row>
    <row r="164" spans="1:19" x14ac:dyDescent="0.2">
      <c r="A164" s="1" t="d">
        <v>2026-01-25</v>
      </c>
      <c r="B164">
        <f ca="1">OFFSET(daily_original_wrong!$B$23, 2*(ROW(B164)-ROW($B$23)),COLUMN(B164)-2)+OFFSET(daily_original_wrong!$B$23, 1+2*(ROW(B164)-ROW($B$23)),COLUMN(B164)-2)</f>
        <v>0</v>
      </c>
      <c r="C164">
        <f ca="1">OFFSET(daily_original_wrong!$B$23, 2*(ROW(C164)-ROW($B$23)),COLUMN(C164)-2)+OFFSET(daily_original_wrong!$B$23, 1+2*(ROW(C164)-ROW($B$23)),COLUMN(C164)-2)</f>
        <v>0</v>
      </c>
      <c r="D164">
        <f ca="1">OFFSET(daily_original_wrong!$B$23, 2*(ROW(D164)-ROW($B$23)),COLUMN(D164)-2)+OFFSET(daily_original_wrong!$B$23, 1+2*(ROW(D164)-ROW($B$23)),COLUMN(D164)-2)</f>
        <v>0</v>
      </c>
      <c r="E164">
        <f ca="1">OFFSET(daily_original_wrong!$B$23, 2*(ROW(E164)-ROW($B$23)),COLUMN(E164)-2)+OFFSET(daily_original_wrong!$B$23, 1+2*(ROW(E164)-ROW($B$23)),COLUMN(E164)-2)</f>
        <v>0</v>
      </c>
      <c r="F164">
        <f ca="1">OFFSET(daily_original_wrong!$B$23, 2*(ROW(F164)-ROW($B$23)),COLUMN(F164)-2)+OFFSET(daily_original_wrong!$B$23, 1+2*(ROW(F164)-ROW($B$23)),COLUMN(F164)-2)</f>
        <v>0</v>
      </c>
      <c r="G164">
        <f ca="1">OFFSET(daily_original_wrong!$B$23, 2*(ROW(G164)-ROW($B$23)),COLUMN(G164)-2)+OFFSET(daily_original_wrong!$B$23, 1+2*(ROW(G164)-ROW($B$23)),COLUMN(G164)-2)</f>
        <v>0</v>
      </c>
      <c r="H164">
        <f ca="1">OFFSET(daily_original_wrong!$B$23, 2*(ROW(H164)-ROW($B$23)),COLUMN(H164)-2)+OFFSET(daily_original_wrong!$B$23, 1+2*(ROW(H164)-ROW($B$23)),COLUMN(H164)-2)</f>
        <v>0</v>
      </c>
      <c r="J164" t="str">
        <f t="shared" si="14"/>
        <v>[</v>
      </c>
      <c r="K164" t="str">
        <f t="shared" ca="1" si="15"/>
        <v>[0],</v>
      </c>
      <c r="L164" t="str">
        <f t="shared" ca="1" si="19"/>
        <v>[0],</v>
      </c>
      <c r="M164" t="str">
        <f t="shared" ca="1" si="19"/>
        <v>[0],</v>
      </c>
      <c r="N164" t="str">
        <f t="shared" ca="1" si="19"/>
        <v>[0],</v>
      </c>
      <c r="O164" t="str">
        <f t="shared" ca="1" si="19"/>
        <v>[0],</v>
      </c>
      <c r="P164" t="str">
        <f t="shared" ca="1" si="19"/>
        <v>[0],</v>
      </c>
      <c r="Q164" t="str">
        <f t="shared" ca="1" si="16"/>
        <v>[0]</v>
      </c>
      <c r="R164" t="str">
        <f t="shared" si="17"/>
        <v>]</v>
      </c>
      <c r="S164" t="str">
        <f t="shared" ca="1" si="18"/>
        <v>[[0],[0],[0],[0],[0],[0],[0]]</v>
      </c>
    </row>
    <row r="165" spans="1:19" x14ac:dyDescent="0.2">
      <c r="A165" s="1" t="d">
        <v>2026-01-26</v>
      </c>
      <c r="B165">
        <f ca="1">OFFSET(daily_original_wrong!$B$23, 2*(ROW(B165)-ROW($B$23)),COLUMN(B165)-2)+OFFSET(daily_original_wrong!$B$23, 1+2*(ROW(B165)-ROW($B$23)),COLUMN(B165)-2)</f>
        <v>0</v>
      </c>
      <c r="C165">
        <f ca="1">OFFSET(daily_original_wrong!$B$23, 2*(ROW(C165)-ROW($B$23)),COLUMN(C165)-2)+OFFSET(daily_original_wrong!$B$23, 1+2*(ROW(C165)-ROW($B$23)),COLUMN(C165)-2)</f>
        <v>0</v>
      </c>
      <c r="D165">
        <f ca="1">OFFSET(daily_original_wrong!$B$23, 2*(ROW(D165)-ROW($B$23)),COLUMN(D165)-2)+OFFSET(daily_original_wrong!$B$23, 1+2*(ROW(D165)-ROW($B$23)),COLUMN(D165)-2)</f>
        <v>0</v>
      </c>
      <c r="E165">
        <f ca="1">OFFSET(daily_original_wrong!$B$23, 2*(ROW(E165)-ROW($B$23)),COLUMN(E165)-2)+OFFSET(daily_original_wrong!$B$23, 1+2*(ROW(E165)-ROW($B$23)),COLUMN(E165)-2)</f>
        <v>0</v>
      </c>
      <c r="F165">
        <f ca="1">OFFSET(daily_original_wrong!$B$23, 2*(ROW(F165)-ROW($B$23)),COLUMN(F165)-2)+OFFSET(daily_original_wrong!$B$23, 1+2*(ROW(F165)-ROW($B$23)),COLUMN(F165)-2)</f>
        <v>0</v>
      </c>
      <c r="G165">
        <f ca="1">OFFSET(daily_original_wrong!$B$23, 2*(ROW(G165)-ROW($B$23)),COLUMN(G165)-2)+OFFSET(daily_original_wrong!$B$23, 1+2*(ROW(G165)-ROW($B$23)),COLUMN(G165)-2)</f>
        <v>0</v>
      </c>
      <c r="H165">
        <f ca="1">OFFSET(daily_original_wrong!$B$23, 2*(ROW(H165)-ROW($B$23)),COLUMN(H165)-2)+OFFSET(daily_original_wrong!$B$23, 1+2*(ROW(H165)-ROW($B$23)),COLUMN(H165)-2)</f>
        <v>0</v>
      </c>
      <c r="J165" t="str">
        <f t="shared" si="14"/>
        <v>[</v>
      </c>
      <c r="K165" t="str">
        <f t="shared" ca="1" si="15"/>
        <v>[0],</v>
      </c>
      <c r="L165" t="str">
        <f t="shared" ca="1" si="19"/>
        <v>[0],</v>
      </c>
      <c r="M165" t="str">
        <f t="shared" ca="1" si="19"/>
        <v>[0],</v>
      </c>
      <c r="N165" t="str">
        <f t="shared" ca="1" si="19"/>
        <v>[0],</v>
      </c>
      <c r="O165" t="str">
        <f t="shared" ca="1" si="19"/>
        <v>[0],</v>
      </c>
      <c r="P165" t="str">
        <f t="shared" ca="1" si="19"/>
        <v>[0],</v>
      </c>
      <c r="Q165" t="str">
        <f t="shared" ca="1" si="16"/>
        <v>[0]</v>
      </c>
      <c r="R165" t="str">
        <f t="shared" si="17"/>
        <v>]</v>
      </c>
      <c r="S165" t="str">
        <f t="shared" ca="1" si="18"/>
        <v>[[0],[0],[0],[0],[0],[0],[0]]</v>
      </c>
    </row>
    <row r="166" spans="1:19" x14ac:dyDescent="0.2">
      <c r="A166" s="1" t="d">
        <v>2026-01-27</v>
      </c>
      <c r="B166">
        <f ca="1">OFFSET(daily_original_wrong!$B$23, 2*(ROW(B166)-ROW($B$23)),COLUMN(B166)-2)+OFFSET(daily_original_wrong!$B$23, 1+2*(ROW(B166)-ROW($B$23)),COLUMN(B166)-2)</f>
        <v>0</v>
      </c>
      <c r="C166">
        <f ca="1">OFFSET(daily_original_wrong!$B$23, 2*(ROW(C166)-ROW($B$23)),COLUMN(C166)-2)+OFFSET(daily_original_wrong!$B$23, 1+2*(ROW(C166)-ROW($B$23)),COLUMN(C166)-2)</f>
        <v>0</v>
      </c>
      <c r="D166">
        <f ca="1">OFFSET(daily_original_wrong!$B$23, 2*(ROW(D166)-ROW($B$23)),COLUMN(D166)-2)+OFFSET(daily_original_wrong!$B$23, 1+2*(ROW(D166)-ROW($B$23)),COLUMN(D166)-2)</f>
        <v>0</v>
      </c>
      <c r="E166">
        <f ca="1">OFFSET(daily_original_wrong!$B$23, 2*(ROW(E166)-ROW($B$23)),COLUMN(E166)-2)+OFFSET(daily_original_wrong!$B$23, 1+2*(ROW(E166)-ROW($B$23)),COLUMN(E166)-2)</f>
        <v>0</v>
      </c>
      <c r="F166">
        <f ca="1">OFFSET(daily_original_wrong!$B$23, 2*(ROW(F166)-ROW($B$23)),COLUMN(F166)-2)+OFFSET(daily_original_wrong!$B$23, 1+2*(ROW(F166)-ROW($B$23)),COLUMN(F166)-2)</f>
        <v>0</v>
      </c>
      <c r="G166">
        <f ca="1">OFFSET(daily_original_wrong!$B$23, 2*(ROW(G166)-ROW($B$23)),COLUMN(G166)-2)+OFFSET(daily_original_wrong!$B$23, 1+2*(ROW(G166)-ROW($B$23)),COLUMN(G166)-2)</f>
        <v>0</v>
      </c>
      <c r="H166">
        <f ca="1">OFFSET(daily_original_wrong!$B$23, 2*(ROW(H166)-ROW($B$23)),COLUMN(H166)-2)+OFFSET(daily_original_wrong!$B$23, 1+2*(ROW(H166)-ROW($B$23)),COLUMN(H166)-2)</f>
        <v>0</v>
      </c>
      <c r="J166" t="str">
        <f t="shared" si="14"/>
        <v>[</v>
      </c>
      <c r="K166" t="str">
        <f t="shared" ca="1" si="15"/>
        <v>[0],</v>
      </c>
      <c r="L166" t="str">
        <f t="shared" ca="1" si="19"/>
        <v>[0],</v>
      </c>
      <c r="M166" t="str">
        <f t="shared" ca="1" si="19"/>
        <v>[0],</v>
      </c>
      <c r="N166" t="str">
        <f t="shared" ca="1" si="19"/>
        <v>[0],</v>
      </c>
      <c r="O166" t="str">
        <f t="shared" ca="1" si="19"/>
        <v>[0],</v>
      </c>
      <c r="P166" t="str">
        <f t="shared" ca="1" si="19"/>
        <v>[0],</v>
      </c>
      <c r="Q166" t="str">
        <f t="shared" ca="1" si="16"/>
        <v>[0]</v>
      </c>
      <c r="R166" t="str">
        <f t="shared" si="17"/>
        <v>]</v>
      </c>
      <c r="S166" t="str">
        <f t="shared" ca="1" si="18"/>
        <v>[[0],[0],[0],[0],[0],[0],[0]]</v>
      </c>
    </row>
    <row r="167" spans="1:19" x14ac:dyDescent="0.2">
      <c r="A167" s="1" t="d">
        <v>2026-01-28</v>
      </c>
      <c r="B167">
        <f ca="1">OFFSET(daily_original_wrong!$B$23, 2*(ROW(B167)-ROW($B$23)),COLUMN(B167)-2)+OFFSET(daily_original_wrong!$B$23, 1+2*(ROW(B167)-ROW($B$23)),COLUMN(B167)-2)</f>
        <v>0</v>
      </c>
      <c r="C167">
        <f ca="1">OFFSET(daily_original_wrong!$B$23, 2*(ROW(C167)-ROW($B$23)),COLUMN(C167)-2)+OFFSET(daily_original_wrong!$B$23, 1+2*(ROW(C167)-ROW($B$23)),COLUMN(C167)-2)</f>
        <v>0</v>
      </c>
      <c r="D167">
        <f ca="1">OFFSET(daily_original_wrong!$B$23, 2*(ROW(D167)-ROW($B$23)),COLUMN(D167)-2)+OFFSET(daily_original_wrong!$B$23, 1+2*(ROW(D167)-ROW($B$23)),COLUMN(D167)-2)</f>
        <v>0</v>
      </c>
      <c r="E167">
        <f ca="1">OFFSET(daily_original_wrong!$B$23, 2*(ROW(E167)-ROW($B$23)),COLUMN(E167)-2)+OFFSET(daily_original_wrong!$B$23, 1+2*(ROW(E167)-ROW($B$23)),COLUMN(E167)-2)</f>
        <v>0</v>
      </c>
      <c r="F167">
        <f ca="1">OFFSET(daily_original_wrong!$B$23, 2*(ROW(F167)-ROW($B$23)),COLUMN(F167)-2)+OFFSET(daily_original_wrong!$B$23, 1+2*(ROW(F167)-ROW($B$23)),COLUMN(F167)-2)</f>
        <v>0</v>
      </c>
      <c r="G167">
        <f ca="1">OFFSET(daily_original_wrong!$B$23, 2*(ROW(G167)-ROW($B$23)),COLUMN(G167)-2)+OFFSET(daily_original_wrong!$B$23, 1+2*(ROW(G167)-ROW($B$23)),COLUMN(G167)-2)</f>
        <v>0</v>
      </c>
      <c r="H167">
        <f ca="1">OFFSET(daily_original_wrong!$B$23, 2*(ROW(H167)-ROW($B$23)),COLUMN(H167)-2)+OFFSET(daily_original_wrong!$B$23, 1+2*(ROW(H167)-ROW($B$23)),COLUMN(H167)-2)</f>
        <v>0</v>
      </c>
      <c r="J167" t="str">
        <f t="shared" si="14"/>
        <v>[</v>
      </c>
      <c r="K167" t="str">
        <f t="shared" ca="1" si="15"/>
        <v>[0],</v>
      </c>
      <c r="L167" t="str">
        <f t="shared" ca="1" si="19"/>
        <v>[0],</v>
      </c>
      <c r="M167" t="str">
        <f t="shared" ca="1" si="19"/>
        <v>[0],</v>
      </c>
      <c r="N167" t="str">
        <f t="shared" ca="1" si="19"/>
        <v>[0],</v>
      </c>
      <c r="O167" t="str">
        <f t="shared" ca="1" si="19"/>
        <v>[0],</v>
      </c>
      <c r="P167" t="str">
        <f t="shared" ca="1" si="19"/>
        <v>[0],</v>
      </c>
      <c r="Q167" t="str">
        <f t="shared" ca="1" si="16"/>
        <v>[0]</v>
      </c>
      <c r="R167" t="str">
        <f t="shared" si="17"/>
        <v>]</v>
      </c>
      <c r="S167" t="str">
        <f t="shared" ca="1" si="18"/>
        <v>[[0],[0],[0],[0],[0],[0],[0]]</v>
      </c>
    </row>
    <row r="168" spans="1:19" x14ac:dyDescent="0.2">
      <c r="A168" s="1" t="d">
        <v>2026-01-29</v>
      </c>
      <c r="B168">
        <f ca="1">OFFSET(daily_original_wrong!$B$23, 2*(ROW(B168)-ROW($B$23)),COLUMN(B168)-2)+OFFSET(daily_original_wrong!$B$23, 1+2*(ROW(B168)-ROW($B$23)),COLUMN(B168)-2)</f>
        <v>0</v>
      </c>
      <c r="C168">
        <f ca="1">OFFSET(daily_original_wrong!$B$23, 2*(ROW(C168)-ROW($B$23)),COLUMN(C168)-2)+OFFSET(daily_original_wrong!$B$23, 1+2*(ROW(C168)-ROW($B$23)),COLUMN(C168)-2)</f>
        <v>0</v>
      </c>
      <c r="D168">
        <f ca="1">OFFSET(daily_original_wrong!$B$23, 2*(ROW(D168)-ROW($B$23)),COLUMN(D168)-2)+OFFSET(daily_original_wrong!$B$23, 1+2*(ROW(D168)-ROW($B$23)),COLUMN(D168)-2)</f>
        <v>0</v>
      </c>
      <c r="E168">
        <f ca="1">OFFSET(daily_original_wrong!$B$23, 2*(ROW(E168)-ROW($B$23)),COLUMN(E168)-2)+OFFSET(daily_original_wrong!$B$23, 1+2*(ROW(E168)-ROW($B$23)),COLUMN(E168)-2)</f>
        <v>0</v>
      </c>
      <c r="F168">
        <f ca="1">OFFSET(daily_original_wrong!$B$23, 2*(ROW(F168)-ROW($B$23)),COLUMN(F168)-2)+OFFSET(daily_original_wrong!$B$23, 1+2*(ROW(F168)-ROW($B$23)),COLUMN(F168)-2)</f>
        <v>0</v>
      </c>
      <c r="G168">
        <f ca="1">OFFSET(daily_original_wrong!$B$23, 2*(ROW(G168)-ROW($B$23)),COLUMN(G168)-2)+OFFSET(daily_original_wrong!$B$23, 1+2*(ROW(G168)-ROW($B$23)),COLUMN(G168)-2)</f>
        <v>0</v>
      </c>
      <c r="H168">
        <f ca="1">OFFSET(daily_original_wrong!$B$23, 2*(ROW(H168)-ROW($B$23)),COLUMN(H168)-2)+OFFSET(daily_original_wrong!$B$23, 1+2*(ROW(H168)-ROW($B$23)),COLUMN(H168)-2)</f>
        <v>0</v>
      </c>
      <c r="J168" t="str">
        <f t="shared" si="14"/>
        <v>[</v>
      </c>
      <c r="K168" t="str">
        <f t="shared" ca="1" si="15"/>
        <v>[0],</v>
      </c>
      <c r="L168" t="str">
        <f t="shared" ca="1" si="19"/>
        <v>[0],</v>
      </c>
      <c r="M168" t="str">
        <f t="shared" ca="1" si="19"/>
        <v>[0],</v>
      </c>
      <c r="N168" t="str">
        <f t="shared" ca="1" si="19"/>
        <v>[0],</v>
      </c>
      <c r="O168" t="str">
        <f t="shared" ca="1" si="19"/>
        <v>[0],</v>
      </c>
      <c r="P168" t="str">
        <f t="shared" ca="1" si="19"/>
        <v>[0],</v>
      </c>
      <c r="Q168" t="str">
        <f t="shared" ca="1" si="16"/>
        <v>[0]</v>
      </c>
      <c r="R168" t="str">
        <f t="shared" si="17"/>
        <v>]</v>
      </c>
      <c r="S168" t="str">
        <f t="shared" ca="1" si="18"/>
        <v>[[0],[0],[0],[0],[0],[0],[0]]</v>
      </c>
    </row>
    <row r="169" spans="1:19" x14ac:dyDescent="0.2">
      <c r="A169" s="1" t="d">
        <v>2026-01-30</v>
      </c>
      <c r="B169">
        <f ca="1">OFFSET(daily_original_wrong!$B$23, 2*(ROW(B169)-ROW($B$23)),COLUMN(B169)-2)+OFFSET(daily_original_wrong!$B$23, 1+2*(ROW(B169)-ROW($B$23)),COLUMN(B169)-2)</f>
        <v>0</v>
      </c>
      <c r="C169">
        <f ca="1">OFFSET(daily_original_wrong!$B$23, 2*(ROW(C169)-ROW($B$23)),COLUMN(C169)-2)+OFFSET(daily_original_wrong!$B$23, 1+2*(ROW(C169)-ROW($B$23)),COLUMN(C169)-2)</f>
        <v>0</v>
      </c>
      <c r="D169">
        <f ca="1">OFFSET(daily_original_wrong!$B$23, 2*(ROW(D169)-ROW($B$23)),COLUMN(D169)-2)+OFFSET(daily_original_wrong!$B$23, 1+2*(ROW(D169)-ROW($B$23)),COLUMN(D169)-2)</f>
        <v>0</v>
      </c>
      <c r="E169">
        <f ca="1">OFFSET(daily_original_wrong!$B$23, 2*(ROW(E169)-ROW($B$23)),COLUMN(E169)-2)+OFFSET(daily_original_wrong!$B$23, 1+2*(ROW(E169)-ROW($B$23)),COLUMN(E169)-2)</f>
        <v>0</v>
      </c>
      <c r="F169">
        <f ca="1">OFFSET(daily_original_wrong!$B$23, 2*(ROW(F169)-ROW($B$23)),COLUMN(F169)-2)+OFFSET(daily_original_wrong!$B$23, 1+2*(ROW(F169)-ROW($B$23)),COLUMN(F169)-2)</f>
        <v>0</v>
      </c>
      <c r="G169">
        <f ca="1">OFFSET(daily_original_wrong!$B$23, 2*(ROW(G169)-ROW($B$23)),COLUMN(G169)-2)+OFFSET(daily_original_wrong!$B$23, 1+2*(ROW(G169)-ROW($B$23)),COLUMN(G169)-2)</f>
        <v>0</v>
      </c>
      <c r="H169">
        <f ca="1">OFFSET(daily_original_wrong!$B$23, 2*(ROW(H169)-ROW($B$23)),COLUMN(H169)-2)+OFFSET(daily_original_wrong!$B$23, 1+2*(ROW(H169)-ROW($B$23)),COLUMN(H169)-2)</f>
        <v>0</v>
      </c>
      <c r="J169" t="str">
        <f t="shared" si="14"/>
        <v>[</v>
      </c>
      <c r="K169" t="str">
        <f t="shared" ca="1" si="15"/>
        <v>[0],</v>
      </c>
      <c r="L169" t="str">
        <f t="shared" ca="1" si="19"/>
        <v>[0],</v>
      </c>
      <c r="M169" t="str">
        <f t="shared" ca="1" si="19"/>
        <v>[0],</v>
      </c>
      <c r="N169" t="str">
        <f t="shared" ca="1" si="19"/>
        <v>[0],</v>
      </c>
      <c r="O169" t="str">
        <f t="shared" ca="1" si="19"/>
        <v>[0],</v>
      </c>
      <c r="P169" t="str">
        <f t="shared" ca="1" si="19"/>
        <v>[0],</v>
      </c>
      <c r="Q169" t="str">
        <f t="shared" ca="1" si="16"/>
        <v>[0]</v>
      </c>
      <c r="R169" t="str">
        <f t="shared" si="17"/>
        <v>]</v>
      </c>
      <c r="S169" t="str">
        <f t="shared" ca="1" si="18"/>
        <v>[[0],[0],[0],[0],[0],[0],[0]]</v>
      </c>
    </row>
    <row r="170" spans="1:19" x14ac:dyDescent="0.2">
      <c r="A170" s="1" t="d">
        <v>2026-01-31</v>
      </c>
      <c r="B170">
        <f ca="1">OFFSET(daily_original_wrong!$B$23, 2*(ROW(B170)-ROW($B$23)),COLUMN(B170)-2)+OFFSET(daily_original_wrong!$B$23, 1+2*(ROW(B170)-ROW($B$23)),COLUMN(B170)-2)</f>
        <v>0</v>
      </c>
      <c r="C170">
        <f ca="1">OFFSET(daily_original_wrong!$B$23, 2*(ROW(C170)-ROW($B$23)),COLUMN(C170)-2)+OFFSET(daily_original_wrong!$B$23, 1+2*(ROW(C170)-ROW($B$23)),COLUMN(C170)-2)</f>
        <v>0</v>
      </c>
      <c r="D170">
        <f ca="1">OFFSET(daily_original_wrong!$B$23, 2*(ROW(D170)-ROW($B$23)),COLUMN(D170)-2)+OFFSET(daily_original_wrong!$B$23, 1+2*(ROW(D170)-ROW($B$23)),COLUMN(D170)-2)</f>
        <v>0</v>
      </c>
      <c r="E170">
        <f ca="1">OFFSET(daily_original_wrong!$B$23, 2*(ROW(E170)-ROW($B$23)),COLUMN(E170)-2)+OFFSET(daily_original_wrong!$B$23, 1+2*(ROW(E170)-ROW($B$23)),COLUMN(E170)-2)</f>
        <v>0</v>
      </c>
      <c r="F170">
        <f ca="1">OFFSET(daily_original_wrong!$B$23, 2*(ROW(F170)-ROW($B$23)),COLUMN(F170)-2)+OFFSET(daily_original_wrong!$B$23, 1+2*(ROW(F170)-ROW($B$23)),COLUMN(F170)-2)</f>
        <v>0</v>
      </c>
      <c r="G170">
        <f ca="1">OFFSET(daily_original_wrong!$B$23, 2*(ROW(G170)-ROW($B$23)),COLUMN(G170)-2)+OFFSET(daily_original_wrong!$B$23, 1+2*(ROW(G170)-ROW($B$23)),COLUMN(G170)-2)</f>
        <v>0</v>
      </c>
      <c r="H170">
        <f ca="1">OFFSET(daily_original_wrong!$B$23, 2*(ROW(H170)-ROW($B$23)),COLUMN(H170)-2)+OFFSET(daily_original_wrong!$B$23, 1+2*(ROW(H170)-ROW($B$23)),COLUMN(H170)-2)</f>
        <v>0</v>
      </c>
      <c r="J170" t="str">
        <f t="shared" si="14"/>
        <v>[</v>
      </c>
      <c r="K170" t="str">
        <f t="shared" ca="1" si="15"/>
        <v>[0],</v>
      </c>
      <c r="L170" t="str">
        <f t="shared" ca="1" si="19"/>
        <v>[0],</v>
      </c>
      <c r="M170" t="str">
        <f t="shared" ca="1" si="19"/>
        <v>[0],</v>
      </c>
      <c r="N170" t="str">
        <f t="shared" ca="1" si="19"/>
        <v>[0],</v>
      </c>
      <c r="O170" t="str">
        <f t="shared" ca="1" si="19"/>
        <v>[0],</v>
      </c>
      <c r="P170" t="str">
        <f t="shared" ca="1" si="19"/>
        <v>[0],</v>
      </c>
      <c r="Q170" t="str">
        <f t="shared" ca="1" si="16"/>
        <v>[0]</v>
      </c>
      <c r="R170" t="str">
        <f t="shared" si="17"/>
        <v>]</v>
      </c>
      <c r="S170" t="str">
        <f t="shared" ca="1" si="18"/>
        <v>[[0],[0],[0],[0],[0],[0],[0]]</v>
      </c>
    </row>
    <row r="171" spans="1:19" x14ac:dyDescent="0.2">
      <c r="A171" s="1" t="d">
        <v>2026-02-01</v>
      </c>
      <c r="B171">
        <f ca="1">OFFSET(daily_original_wrong!$B$23, 2*(ROW(B171)-ROW($B$23)),COLUMN(B171)-2)+OFFSET(daily_original_wrong!$B$23, 1+2*(ROW(B171)-ROW($B$23)),COLUMN(B171)-2)</f>
        <v>0</v>
      </c>
      <c r="C171">
        <f ca="1">OFFSET(daily_original_wrong!$B$23, 2*(ROW(C171)-ROW($B$23)),COLUMN(C171)-2)+OFFSET(daily_original_wrong!$B$23, 1+2*(ROW(C171)-ROW($B$23)),COLUMN(C171)-2)</f>
        <v>0</v>
      </c>
      <c r="D171">
        <f ca="1">OFFSET(daily_original_wrong!$B$23, 2*(ROW(D171)-ROW($B$23)),COLUMN(D171)-2)+OFFSET(daily_original_wrong!$B$23, 1+2*(ROW(D171)-ROW($B$23)),COLUMN(D171)-2)</f>
        <v>0</v>
      </c>
      <c r="E171">
        <f ca="1">OFFSET(daily_original_wrong!$B$23, 2*(ROW(E171)-ROW($B$23)),COLUMN(E171)-2)+OFFSET(daily_original_wrong!$B$23, 1+2*(ROW(E171)-ROW($B$23)),COLUMN(E171)-2)</f>
        <v>0</v>
      </c>
      <c r="F171">
        <f ca="1">OFFSET(daily_original_wrong!$B$23, 2*(ROW(F171)-ROW($B$23)),COLUMN(F171)-2)+OFFSET(daily_original_wrong!$B$23, 1+2*(ROW(F171)-ROW($B$23)),COLUMN(F171)-2)</f>
        <v>0</v>
      </c>
      <c r="G171">
        <f ca="1">OFFSET(daily_original_wrong!$B$23, 2*(ROW(G171)-ROW($B$23)),COLUMN(G171)-2)+OFFSET(daily_original_wrong!$B$23, 1+2*(ROW(G171)-ROW($B$23)),COLUMN(G171)-2)</f>
        <v>0</v>
      </c>
      <c r="H171">
        <f ca="1">OFFSET(daily_original_wrong!$B$23, 2*(ROW(H171)-ROW($B$23)),COLUMN(H171)-2)+OFFSET(daily_original_wrong!$B$23, 1+2*(ROW(H171)-ROW($B$23)),COLUMN(H171)-2)</f>
        <v>0</v>
      </c>
      <c r="J171" t="str">
        <f t="shared" si="14"/>
        <v>[</v>
      </c>
      <c r="K171" t="str">
        <f t="shared" ca="1" si="15"/>
        <v>[0],</v>
      </c>
      <c r="L171" t="str">
        <f t="shared" ca="1" si="19"/>
        <v>[0],</v>
      </c>
      <c r="M171" t="str">
        <f t="shared" ca="1" si="19"/>
        <v>[0],</v>
      </c>
      <c r="N171" t="str">
        <f t="shared" ca="1" si="19"/>
        <v>[0],</v>
      </c>
      <c r="O171" t="str">
        <f t="shared" ca="1" si="19"/>
        <v>[0],</v>
      </c>
      <c r="P171" t="str">
        <f t="shared" ca="1" si="19"/>
        <v>[0],</v>
      </c>
      <c r="Q171" t="str">
        <f t="shared" ca="1" si="16"/>
        <v>[0]</v>
      </c>
      <c r="R171" t="str">
        <f t="shared" si="17"/>
        <v>]</v>
      </c>
      <c r="S171" t="str">
        <f t="shared" ca="1" si="18"/>
        <v>[[0],[0],[0],[0],[0],[0],[0]]</v>
      </c>
    </row>
    <row r="172" spans="1:19" x14ac:dyDescent="0.2">
      <c r="A172" s="1" t="d">
        <v>2026-02-02</v>
      </c>
      <c r="B172">
        <f ca="1">OFFSET(daily_original_wrong!$B$23, 2*(ROW(B172)-ROW($B$23)),COLUMN(B172)-2)+OFFSET(daily_original_wrong!$B$23, 1+2*(ROW(B172)-ROW($B$23)),COLUMN(B172)-2)</f>
        <v>0</v>
      </c>
      <c r="C172">
        <f ca="1">OFFSET(daily_original_wrong!$B$23, 2*(ROW(C172)-ROW($B$23)),COLUMN(C172)-2)+OFFSET(daily_original_wrong!$B$23, 1+2*(ROW(C172)-ROW($B$23)),COLUMN(C172)-2)</f>
        <v>0</v>
      </c>
      <c r="D172">
        <f ca="1">OFFSET(daily_original_wrong!$B$23, 2*(ROW(D172)-ROW($B$23)),COLUMN(D172)-2)+OFFSET(daily_original_wrong!$B$23, 1+2*(ROW(D172)-ROW($B$23)),COLUMN(D172)-2)</f>
        <v>0</v>
      </c>
      <c r="E172">
        <f ca="1">OFFSET(daily_original_wrong!$B$23, 2*(ROW(E172)-ROW($B$23)),COLUMN(E172)-2)+OFFSET(daily_original_wrong!$B$23, 1+2*(ROW(E172)-ROW($B$23)),COLUMN(E172)-2)</f>
        <v>0</v>
      </c>
      <c r="F172">
        <f ca="1">OFFSET(daily_original_wrong!$B$23, 2*(ROW(F172)-ROW($B$23)),COLUMN(F172)-2)+OFFSET(daily_original_wrong!$B$23, 1+2*(ROW(F172)-ROW($B$23)),COLUMN(F172)-2)</f>
        <v>0</v>
      </c>
      <c r="G172">
        <f ca="1">OFFSET(daily_original_wrong!$B$23, 2*(ROW(G172)-ROW($B$23)),COLUMN(G172)-2)+OFFSET(daily_original_wrong!$B$23, 1+2*(ROW(G172)-ROW($B$23)),COLUMN(G172)-2)</f>
        <v>0</v>
      </c>
      <c r="H172">
        <f ca="1">OFFSET(daily_original_wrong!$B$23, 2*(ROW(H172)-ROW($B$23)),COLUMN(H172)-2)+OFFSET(daily_original_wrong!$B$23, 1+2*(ROW(H172)-ROW($B$23)),COLUMN(H172)-2)</f>
        <v>0</v>
      </c>
      <c r="J172" t="str">
        <f t="shared" si="14"/>
        <v>[</v>
      </c>
      <c r="K172" t="str">
        <f t="shared" ca="1" si="15"/>
        <v>[0],</v>
      </c>
      <c r="L172" t="str">
        <f t="shared" ca="1" si="19"/>
        <v>[0],</v>
      </c>
      <c r="M172" t="str">
        <f t="shared" ca="1" si="19"/>
        <v>[0],</v>
      </c>
      <c r="N172" t="str">
        <f t="shared" ca="1" si="19"/>
        <v>[0],</v>
      </c>
      <c r="O172" t="str">
        <f t="shared" ca="1" si="19"/>
        <v>[0],</v>
      </c>
      <c r="P172" t="str">
        <f t="shared" ca="1" si="19"/>
        <v>[0],</v>
      </c>
      <c r="Q172" t="str">
        <f t="shared" ca="1" si="16"/>
        <v>[0]</v>
      </c>
      <c r="R172" t="str">
        <f t="shared" si="17"/>
        <v>]</v>
      </c>
      <c r="S172" t="str">
        <f t="shared" ca="1" si="18"/>
        <v>[[0],[0],[0],[0],[0],[0],[0]]</v>
      </c>
    </row>
    <row r="173" spans="1:19" x14ac:dyDescent="0.2">
      <c r="A173" s="1" t="d">
        <v>2026-02-03</v>
      </c>
      <c r="B173">
        <f ca="1">OFFSET(daily_original_wrong!$B$23, 2*(ROW(B173)-ROW($B$23)),COLUMN(B173)-2)+OFFSET(daily_original_wrong!$B$23, 1+2*(ROW(B173)-ROW($B$23)),COLUMN(B173)-2)</f>
        <v>0</v>
      </c>
      <c r="C173">
        <f ca="1">OFFSET(daily_original_wrong!$B$23, 2*(ROW(C173)-ROW($B$23)),COLUMN(C173)-2)+OFFSET(daily_original_wrong!$B$23, 1+2*(ROW(C173)-ROW($B$23)),COLUMN(C173)-2)</f>
        <v>0</v>
      </c>
      <c r="D173">
        <f ca="1">OFFSET(daily_original_wrong!$B$23, 2*(ROW(D173)-ROW($B$23)),COLUMN(D173)-2)+OFFSET(daily_original_wrong!$B$23, 1+2*(ROW(D173)-ROW($B$23)),COLUMN(D173)-2)</f>
        <v>0</v>
      </c>
      <c r="E173">
        <f ca="1">OFFSET(daily_original_wrong!$B$23, 2*(ROW(E173)-ROW($B$23)),COLUMN(E173)-2)+OFFSET(daily_original_wrong!$B$23, 1+2*(ROW(E173)-ROW($B$23)),COLUMN(E173)-2)</f>
        <v>0</v>
      </c>
      <c r="F173">
        <f ca="1">OFFSET(daily_original_wrong!$B$23, 2*(ROW(F173)-ROW($B$23)),COLUMN(F173)-2)+OFFSET(daily_original_wrong!$B$23, 1+2*(ROW(F173)-ROW($B$23)),COLUMN(F173)-2)</f>
        <v>0</v>
      </c>
      <c r="G173">
        <f ca="1">OFFSET(daily_original_wrong!$B$23, 2*(ROW(G173)-ROW($B$23)),COLUMN(G173)-2)+OFFSET(daily_original_wrong!$B$23, 1+2*(ROW(G173)-ROW($B$23)),COLUMN(G173)-2)</f>
        <v>0</v>
      </c>
      <c r="H173">
        <f ca="1">OFFSET(daily_original_wrong!$B$23, 2*(ROW(H173)-ROW($B$23)),COLUMN(H173)-2)+OFFSET(daily_original_wrong!$B$23, 1+2*(ROW(H173)-ROW($B$23)),COLUMN(H173)-2)</f>
        <v>0</v>
      </c>
      <c r="J173" t="str">
        <f t="shared" si="14"/>
        <v>[</v>
      </c>
      <c r="K173" t="str">
        <f t="shared" ca="1" si="15"/>
        <v>[0],</v>
      </c>
      <c r="L173" t="str">
        <f t="shared" ca="1" si="19"/>
        <v>[0],</v>
      </c>
      <c r="M173" t="str">
        <f t="shared" ca="1" si="19"/>
        <v>[0],</v>
      </c>
      <c r="N173" t="str">
        <f t="shared" ca="1" si="19"/>
        <v>[0],</v>
      </c>
      <c r="O173" t="str">
        <f t="shared" ca="1" si="19"/>
        <v>[0],</v>
      </c>
      <c r="P173" t="str">
        <f t="shared" ca="1" si="19"/>
        <v>[0],</v>
      </c>
      <c r="Q173" t="str">
        <f t="shared" ca="1" si="16"/>
        <v>[0]</v>
      </c>
      <c r="R173" t="str">
        <f t="shared" si="17"/>
        <v>]</v>
      </c>
      <c r="S173" t="str">
        <f t="shared" ca="1" si="18"/>
        <v>[[0],[0],[0],[0],[0],[0],[0]]</v>
      </c>
    </row>
    <row r="174" spans="1:19" x14ac:dyDescent="0.2">
      <c r="A174" s="1" t="d">
        <v>2026-02-04</v>
      </c>
      <c r="B174">
        <f ca="1">OFFSET(daily_original_wrong!$B$23, 2*(ROW(B174)-ROW($B$23)),COLUMN(B174)-2)+OFFSET(daily_original_wrong!$B$23, 1+2*(ROW(B174)-ROW($B$23)),COLUMN(B174)-2)</f>
        <v>0</v>
      </c>
      <c r="C174">
        <f ca="1">OFFSET(daily_original_wrong!$B$23, 2*(ROW(C174)-ROW($B$23)),COLUMN(C174)-2)+OFFSET(daily_original_wrong!$B$23, 1+2*(ROW(C174)-ROW($B$23)),COLUMN(C174)-2)</f>
        <v>0</v>
      </c>
      <c r="D174">
        <f ca="1">OFFSET(daily_original_wrong!$B$23, 2*(ROW(D174)-ROW($B$23)),COLUMN(D174)-2)+OFFSET(daily_original_wrong!$B$23, 1+2*(ROW(D174)-ROW($B$23)),COLUMN(D174)-2)</f>
        <v>0</v>
      </c>
      <c r="E174">
        <f ca="1">OFFSET(daily_original_wrong!$B$23, 2*(ROW(E174)-ROW($B$23)),COLUMN(E174)-2)+OFFSET(daily_original_wrong!$B$23, 1+2*(ROW(E174)-ROW($B$23)),COLUMN(E174)-2)</f>
        <v>0</v>
      </c>
      <c r="F174">
        <f ca="1">OFFSET(daily_original_wrong!$B$23, 2*(ROW(F174)-ROW($B$23)),COLUMN(F174)-2)+OFFSET(daily_original_wrong!$B$23, 1+2*(ROW(F174)-ROW($B$23)),COLUMN(F174)-2)</f>
        <v>0</v>
      </c>
      <c r="G174">
        <f ca="1">OFFSET(daily_original_wrong!$B$23, 2*(ROW(G174)-ROW($B$23)),COLUMN(G174)-2)+OFFSET(daily_original_wrong!$B$23, 1+2*(ROW(G174)-ROW($B$23)),COLUMN(G174)-2)</f>
        <v>0</v>
      </c>
      <c r="H174">
        <f ca="1">OFFSET(daily_original_wrong!$B$23, 2*(ROW(H174)-ROW($B$23)),COLUMN(H174)-2)+OFFSET(daily_original_wrong!$B$23, 1+2*(ROW(H174)-ROW($B$23)),COLUMN(H174)-2)</f>
        <v>0</v>
      </c>
      <c r="J174" t="str">
        <f t="shared" si="14"/>
        <v>[</v>
      </c>
      <c r="K174" t="str">
        <f t="shared" ca="1" si="15"/>
        <v>[0],</v>
      </c>
      <c r="L174" t="str">
        <f t="shared" ca="1" si="19"/>
        <v>[0],</v>
      </c>
      <c r="M174" t="str">
        <f t="shared" ca="1" si="19"/>
        <v>[0],</v>
      </c>
      <c r="N174" t="str">
        <f t="shared" ca="1" si="19"/>
        <v>[0],</v>
      </c>
      <c r="O174" t="str">
        <f t="shared" ca="1" si="19"/>
        <v>[0],</v>
      </c>
      <c r="P174" t="str">
        <f t="shared" ca="1" si="19"/>
        <v>[0],</v>
      </c>
      <c r="Q174" t="str">
        <f t="shared" ca="1" si="16"/>
        <v>[0]</v>
      </c>
      <c r="R174" t="str">
        <f t="shared" si="17"/>
        <v>]</v>
      </c>
      <c r="S174" t="str">
        <f t="shared" ca="1" si="18"/>
        <v>[[0],[0],[0],[0],[0],[0],[0]]</v>
      </c>
    </row>
    <row r="175" spans="1:19" x14ac:dyDescent="0.2">
      <c r="A175" s="1" t="d">
        <v>2026-02-05</v>
      </c>
      <c r="B175">
        <f ca="1">OFFSET(daily_original_wrong!$B$23, 2*(ROW(B175)-ROW($B$23)),COLUMN(B175)-2)+OFFSET(daily_original_wrong!$B$23, 1+2*(ROW(B175)-ROW($B$23)),COLUMN(B175)-2)</f>
        <v>0</v>
      </c>
      <c r="C175">
        <f ca="1">OFFSET(daily_original_wrong!$B$23, 2*(ROW(C175)-ROW($B$23)),COLUMN(C175)-2)+OFFSET(daily_original_wrong!$B$23, 1+2*(ROW(C175)-ROW($B$23)),COLUMN(C175)-2)</f>
        <v>0</v>
      </c>
      <c r="D175">
        <f ca="1">OFFSET(daily_original_wrong!$B$23, 2*(ROW(D175)-ROW($B$23)),COLUMN(D175)-2)+OFFSET(daily_original_wrong!$B$23, 1+2*(ROW(D175)-ROW($B$23)),COLUMN(D175)-2)</f>
        <v>0</v>
      </c>
      <c r="E175">
        <f ca="1">OFFSET(daily_original_wrong!$B$23, 2*(ROW(E175)-ROW($B$23)),COLUMN(E175)-2)+OFFSET(daily_original_wrong!$B$23, 1+2*(ROW(E175)-ROW($B$23)),COLUMN(E175)-2)</f>
        <v>0</v>
      </c>
      <c r="F175">
        <f ca="1">OFFSET(daily_original_wrong!$B$23, 2*(ROW(F175)-ROW($B$23)),COLUMN(F175)-2)+OFFSET(daily_original_wrong!$B$23, 1+2*(ROW(F175)-ROW($B$23)),COLUMN(F175)-2)</f>
        <v>0</v>
      </c>
      <c r="G175">
        <f ca="1">OFFSET(daily_original_wrong!$B$23, 2*(ROW(G175)-ROW($B$23)),COLUMN(G175)-2)+OFFSET(daily_original_wrong!$B$23, 1+2*(ROW(G175)-ROW($B$23)),COLUMN(G175)-2)</f>
        <v>0</v>
      </c>
      <c r="H175">
        <f ca="1">OFFSET(daily_original_wrong!$B$23, 2*(ROW(H175)-ROW($B$23)),COLUMN(H175)-2)+OFFSET(daily_original_wrong!$B$23, 1+2*(ROW(H175)-ROW($B$23)),COLUMN(H175)-2)</f>
        <v>0</v>
      </c>
      <c r="J175" t="str">
        <f t="shared" si="14"/>
        <v>[</v>
      </c>
      <c r="K175" t="str">
        <f t="shared" ca="1" si="15"/>
        <v>[0],</v>
      </c>
      <c r="L175" t="str">
        <f t="shared" ca="1" si="19"/>
        <v>[0],</v>
      </c>
      <c r="M175" t="str">
        <f t="shared" ca="1" si="19"/>
        <v>[0],</v>
      </c>
      <c r="N175" t="str">
        <f t="shared" ca="1" si="19"/>
        <v>[0],</v>
      </c>
      <c r="O175" t="str">
        <f t="shared" ca="1" si="19"/>
        <v>[0],</v>
      </c>
      <c r="P175" t="str">
        <f t="shared" ca="1" si="19"/>
        <v>[0],</v>
      </c>
      <c r="Q175" t="str">
        <f t="shared" ca="1" si="16"/>
        <v>[0]</v>
      </c>
      <c r="R175" t="str">
        <f t="shared" si="17"/>
        <v>]</v>
      </c>
      <c r="S175" t="str">
        <f t="shared" ca="1" si="18"/>
        <v>[[0],[0],[0],[0],[0],[0],[0]]</v>
      </c>
    </row>
    <row r="176" spans="1:19" x14ac:dyDescent="0.2">
      <c r="A176" s="1" t="d">
        <v>2026-02-06</v>
      </c>
      <c r="B176">
        <f ca="1">OFFSET(daily_original_wrong!$B$23, 2*(ROW(B176)-ROW($B$23)),COLUMN(B176)-2)+OFFSET(daily_original_wrong!$B$23, 1+2*(ROW(B176)-ROW($B$23)),COLUMN(B176)-2)</f>
        <v>0</v>
      </c>
      <c r="C176">
        <f ca="1">OFFSET(daily_original_wrong!$B$23, 2*(ROW(C176)-ROW($B$23)),COLUMN(C176)-2)+OFFSET(daily_original_wrong!$B$23, 1+2*(ROW(C176)-ROW($B$23)),COLUMN(C176)-2)</f>
        <v>0</v>
      </c>
      <c r="D176">
        <f ca="1">OFFSET(daily_original_wrong!$B$23, 2*(ROW(D176)-ROW($B$23)),COLUMN(D176)-2)+OFFSET(daily_original_wrong!$B$23, 1+2*(ROW(D176)-ROW($B$23)),COLUMN(D176)-2)</f>
        <v>0</v>
      </c>
      <c r="E176">
        <f ca="1">OFFSET(daily_original_wrong!$B$23, 2*(ROW(E176)-ROW($B$23)),COLUMN(E176)-2)+OFFSET(daily_original_wrong!$B$23, 1+2*(ROW(E176)-ROW($B$23)),COLUMN(E176)-2)</f>
        <v>0</v>
      </c>
      <c r="F176">
        <f ca="1">OFFSET(daily_original_wrong!$B$23, 2*(ROW(F176)-ROW($B$23)),COLUMN(F176)-2)+OFFSET(daily_original_wrong!$B$23, 1+2*(ROW(F176)-ROW($B$23)),COLUMN(F176)-2)</f>
        <v>0</v>
      </c>
      <c r="G176">
        <f ca="1">OFFSET(daily_original_wrong!$B$23, 2*(ROW(G176)-ROW($B$23)),COLUMN(G176)-2)+OFFSET(daily_original_wrong!$B$23, 1+2*(ROW(G176)-ROW($B$23)),COLUMN(G176)-2)</f>
        <v>0</v>
      </c>
      <c r="H176">
        <f ca="1">OFFSET(daily_original_wrong!$B$23, 2*(ROW(H176)-ROW($B$23)),COLUMN(H176)-2)+OFFSET(daily_original_wrong!$B$23, 1+2*(ROW(H176)-ROW($B$23)),COLUMN(H176)-2)</f>
        <v>0</v>
      </c>
      <c r="J176" t="str">
        <f t="shared" si="14"/>
        <v>[</v>
      </c>
      <c r="K176" t="str">
        <f t="shared" ca="1" si="15"/>
        <v>[0],</v>
      </c>
      <c r="L176" t="str">
        <f t="shared" ca="1" si="19"/>
        <v>[0],</v>
      </c>
      <c r="M176" t="str">
        <f t="shared" ca="1" si="19"/>
        <v>[0],</v>
      </c>
      <c r="N176" t="str">
        <f t="shared" ca="1" si="19"/>
        <v>[0],</v>
      </c>
      <c r="O176" t="str">
        <f t="shared" ca="1" si="19"/>
        <v>[0],</v>
      </c>
      <c r="P176" t="str">
        <f t="shared" ca="1" si="19"/>
        <v>[0],</v>
      </c>
      <c r="Q176" t="str">
        <f t="shared" ca="1" si="16"/>
        <v>[0]</v>
      </c>
      <c r="R176" t="str">
        <f t="shared" si="17"/>
        <v>]</v>
      </c>
      <c r="S176" t="str">
        <f t="shared" ca="1" si="18"/>
        <v>[[0],[0],[0],[0],[0],[0],[0]]</v>
      </c>
    </row>
    <row r="177" spans="1:19" x14ac:dyDescent="0.2">
      <c r="A177" s="1" t="d">
        <v>2026-02-07</v>
      </c>
      <c r="B177">
        <f ca="1">OFFSET(daily_original_wrong!$B$23, 2*(ROW(B177)-ROW($B$23)),COLUMN(B177)-2)+OFFSET(daily_original_wrong!$B$23, 1+2*(ROW(B177)-ROW($B$23)),COLUMN(B177)-2)</f>
        <v>0</v>
      </c>
      <c r="C177">
        <f ca="1">OFFSET(daily_original_wrong!$B$23, 2*(ROW(C177)-ROW($B$23)),COLUMN(C177)-2)+OFFSET(daily_original_wrong!$B$23, 1+2*(ROW(C177)-ROW($B$23)),COLUMN(C177)-2)</f>
        <v>0</v>
      </c>
      <c r="D177">
        <f ca="1">OFFSET(daily_original_wrong!$B$23, 2*(ROW(D177)-ROW($B$23)),COLUMN(D177)-2)+OFFSET(daily_original_wrong!$B$23, 1+2*(ROW(D177)-ROW($B$23)),COLUMN(D177)-2)</f>
        <v>0</v>
      </c>
      <c r="E177">
        <f ca="1">OFFSET(daily_original_wrong!$B$23, 2*(ROW(E177)-ROW($B$23)),COLUMN(E177)-2)+OFFSET(daily_original_wrong!$B$23, 1+2*(ROW(E177)-ROW($B$23)),COLUMN(E177)-2)</f>
        <v>0</v>
      </c>
      <c r="F177">
        <f ca="1">OFFSET(daily_original_wrong!$B$23, 2*(ROW(F177)-ROW($B$23)),COLUMN(F177)-2)+OFFSET(daily_original_wrong!$B$23, 1+2*(ROW(F177)-ROW($B$23)),COLUMN(F177)-2)</f>
        <v>0</v>
      </c>
      <c r="G177">
        <f ca="1">OFFSET(daily_original_wrong!$B$23, 2*(ROW(G177)-ROW($B$23)),COLUMN(G177)-2)+OFFSET(daily_original_wrong!$B$23, 1+2*(ROW(G177)-ROW($B$23)),COLUMN(G177)-2)</f>
        <v>0</v>
      </c>
      <c r="H177">
        <f ca="1">OFFSET(daily_original_wrong!$B$23, 2*(ROW(H177)-ROW($B$23)),COLUMN(H177)-2)+OFFSET(daily_original_wrong!$B$23, 1+2*(ROW(H177)-ROW($B$23)),COLUMN(H177)-2)</f>
        <v>0</v>
      </c>
      <c r="J177" t="str">
        <f t="shared" si="14"/>
        <v>[</v>
      </c>
      <c r="K177" t="str">
        <f t="shared" ca="1" si="15"/>
        <v>[0],</v>
      </c>
      <c r="L177" t="str">
        <f t="shared" ca="1" si="19"/>
        <v>[0],</v>
      </c>
      <c r="M177" t="str">
        <f t="shared" ca="1" si="19"/>
        <v>[0],</v>
      </c>
      <c r="N177" t="str">
        <f t="shared" ca="1" si="19"/>
        <v>[0],</v>
      </c>
      <c r="O177" t="str">
        <f t="shared" ca="1" si="19"/>
        <v>[0],</v>
      </c>
      <c r="P177" t="str">
        <f t="shared" ca="1" si="19"/>
        <v>[0],</v>
      </c>
      <c r="Q177" t="str">
        <f t="shared" ca="1" si="16"/>
        <v>[0]</v>
      </c>
      <c r="R177" t="str">
        <f t="shared" si="17"/>
        <v>]</v>
      </c>
      <c r="S177" t="str">
        <f t="shared" ca="1" si="18"/>
        <v>[[0],[0],[0],[0],[0],[0],[0]]</v>
      </c>
    </row>
    <row r="178" spans="1:19" x14ac:dyDescent="0.2">
      <c r="A178" s="1" t="d">
        <v>2026-02-08</v>
      </c>
      <c r="B178">
        <f ca="1">OFFSET(daily_original_wrong!$B$23, 2*(ROW(B178)-ROW($B$23)),COLUMN(B178)-2)+OFFSET(daily_original_wrong!$B$23, 1+2*(ROW(B178)-ROW($B$23)),COLUMN(B178)-2)</f>
        <v>0</v>
      </c>
      <c r="C178">
        <f ca="1">OFFSET(daily_original_wrong!$B$23, 2*(ROW(C178)-ROW($B$23)),COLUMN(C178)-2)+OFFSET(daily_original_wrong!$B$23, 1+2*(ROW(C178)-ROW($B$23)),COLUMN(C178)-2)</f>
        <v>0</v>
      </c>
      <c r="D178">
        <f ca="1">OFFSET(daily_original_wrong!$B$23, 2*(ROW(D178)-ROW($B$23)),COLUMN(D178)-2)+OFFSET(daily_original_wrong!$B$23, 1+2*(ROW(D178)-ROW($B$23)),COLUMN(D178)-2)</f>
        <v>0</v>
      </c>
      <c r="E178">
        <f ca="1">OFFSET(daily_original_wrong!$B$23, 2*(ROW(E178)-ROW($B$23)),COLUMN(E178)-2)+OFFSET(daily_original_wrong!$B$23, 1+2*(ROW(E178)-ROW($B$23)),COLUMN(E178)-2)</f>
        <v>0</v>
      </c>
      <c r="F178">
        <f ca="1">OFFSET(daily_original_wrong!$B$23, 2*(ROW(F178)-ROW($B$23)),COLUMN(F178)-2)+OFFSET(daily_original_wrong!$B$23, 1+2*(ROW(F178)-ROW($B$23)),COLUMN(F178)-2)</f>
        <v>0</v>
      </c>
      <c r="G178">
        <f ca="1">OFFSET(daily_original_wrong!$B$23, 2*(ROW(G178)-ROW($B$23)),COLUMN(G178)-2)+OFFSET(daily_original_wrong!$B$23, 1+2*(ROW(G178)-ROW($B$23)),COLUMN(G178)-2)</f>
        <v>0</v>
      </c>
      <c r="H178">
        <f ca="1">OFFSET(daily_original_wrong!$B$23, 2*(ROW(H178)-ROW($B$23)),COLUMN(H178)-2)+OFFSET(daily_original_wrong!$B$23, 1+2*(ROW(H178)-ROW($B$23)),COLUMN(H178)-2)</f>
        <v>0</v>
      </c>
      <c r="J178" t="str">
        <f t="shared" si="14"/>
        <v>[</v>
      </c>
      <c r="K178" t="str">
        <f t="shared" ca="1" si="15"/>
        <v>[0],</v>
      </c>
      <c r="L178" t="str">
        <f t="shared" ca="1" si="19"/>
        <v>[0],</v>
      </c>
      <c r="M178" t="str">
        <f t="shared" ca="1" si="19"/>
        <v>[0],</v>
      </c>
      <c r="N178" t="str">
        <f t="shared" ca="1" si="19"/>
        <v>[0],</v>
      </c>
      <c r="O178" t="str">
        <f t="shared" ca="1" si="19"/>
        <v>[0],</v>
      </c>
      <c r="P178" t="str">
        <f t="shared" ca="1" si="19"/>
        <v>[0],</v>
      </c>
      <c r="Q178" t="str">
        <f t="shared" ca="1" si="16"/>
        <v>[0]</v>
      </c>
      <c r="R178" t="str">
        <f t="shared" si="17"/>
        <v>]</v>
      </c>
      <c r="S178" t="str">
        <f t="shared" ca="1" si="18"/>
        <v>[[0],[0],[0],[0],[0],[0],[0]]</v>
      </c>
    </row>
    <row r="179" spans="1:19" x14ac:dyDescent="0.2">
      <c r="A179" s="1" t="d">
        <v>2026-02-09</v>
      </c>
      <c r="B179">
        <f ca="1">OFFSET(daily_original_wrong!$B$23, 2*(ROW(B179)-ROW($B$23)),COLUMN(B179)-2)+OFFSET(daily_original_wrong!$B$23, 1+2*(ROW(B179)-ROW($B$23)),COLUMN(B179)-2)</f>
        <v>0</v>
      </c>
      <c r="C179">
        <f ca="1">OFFSET(daily_original_wrong!$B$23, 2*(ROW(C179)-ROW($B$23)),COLUMN(C179)-2)+OFFSET(daily_original_wrong!$B$23, 1+2*(ROW(C179)-ROW($B$23)),COLUMN(C179)-2)</f>
        <v>0</v>
      </c>
      <c r="D179">
        <f ca="1">OFFSET(daily_original_wrong!$B$23, 2*(ROW(D179)-ROW($B$23)),COLUMN(D179)-2)+OFFSET(daily_original_wrong!$B$23, 1+2*(ROW(D179)-ROW($B$23)),COLUMN(D179)-2)</f>
        <v>0</v>
      </c>
      <c r="E179">
        <f ca="1">OFFSET(daily_original_wrong!$B$23, 2*(ROW(E179)-ROW($B$23)),COLUMN(E179)-2)+OFFSET(daily_original_wrong!$B$23, 1+2*(ROW(E179)-ROW($B$23)),COLUMN(E179)-2)</f>
        <v>0</v>
      </c>
      <c r="F179">
        <f ca="1">OFFSET(daily_original_wrong!$B$23, 2*(ROW(F179)-ROW($B$23)),COLUMN(F179)-2)+OFFSET(daily_original_wrong!$B$23, 1+2*(ROW(F179)-ROW($B$23)),COLUMN(F179)-2)</f>
        <v>0</v>
      </c>
      <c r="G179">
        <f ca="1">OFFSET(daily_original_wrong!$B$23, 2*(ROW(G179)-ROW($B$23)),COLUMN(G179)-2)+OFFSET(daily_original_wrong!$B$23, 1+2*(ROW(G179)-ROW($B$23)),COLUMN(G179)-2)</f>
        <v>0</v>
      </c>
      <c r="H179">
        <f ca="1">OFFSET(daily_original_wrong!$B$23, 2*(ROW(H179)-ROW($B$23)),COLUMN(H179)-2)+OFFSET(daily_original_wrong!$B$23, 1+2*(ROW(H179)-ROW($B$23)),COLUMN(H179)-2)</f>
        <v>0</v>
      </c>
      <c r="J179" t="str">
        <f t="shared" si="14"/>
        <v>[</v>
      </c>
      <c r="K179" t="str">
        <f t="shared" ca="1" si="15"/>
        <v>[0],</v>
      </c>
      <c r="L179" t="str">
        <f t="shared" ca="1" si="19"/>
        <v>[0],</v>
      </c>
      <c r="M179" t="str">
        <f t="shared" ca="1" si="19"/>
        <v>[0],</v>
      </c>
      <c r="N179" t="str">
        <f t="shared" ca="1" si="19"/>
        <v>[0],</v>
      </c>
      <c r="O179" t="str">
        <f t="shared" ca="1" si="19"/>
        <v>[0],</v>
      </c>
      <c r="P179" t="str">
        <f t="shared" ca="1" si="19"/>
        <v>[0],</v>
      </c>
      <c r="Q179" t="str">
        <f t="shared" ca="1" si="16"/>
        <v>[0]</v>
      </c>
      <c r="R179" t="str">
        <f t="shared" si="17"/>
        <v>]</v>
      </c>
      <c r="S179" t="str">
        <f t="shared" ca="1" si="18"/>
        <v>[[0],[0],[0],[0],[0],[0],[0]]</v>
      </c>
    </row>
    <row r="180" spans="1:19" x14ac:dyDescent="0.2">
      <c r="A180" s="1" t="d">
        <v>2026-02-10</v>
      </c>
      <c r="B180">
        <f ca="1">OFFSET(daily_original_wrong!$B$23, 2*(ROW(B180)-ROW($B$23)),COLUMN(B180)-2)+OFFSET(daily_original_wrong!$B$23, 1+2*(ROW(B180)-ROW($B$23)),COLUMN(B180)-2)</f>
        <v>0</v>
      </c>
      <c r="C180">
        <f ca="1">OFFSET(daily_original_wrong!$B$23, 2*(ROW(C180)-ROW($B$23)),COLUMN(C180)-2)+OFFSET(daily_original_wrong!$B$23, 1+2*(ROW(C180)-ROW($B$23)),COLUMN(C180)-2)</f>
        <v>0</v>
      </c>
      <c r="D180">
        <f ca="1">OFFSET(daily_original_wrong!$B$23, 2*(ROW(D180)-ROW($B$23)),COLUMN(D180)-2)+OFFSET(daily_original_wrong!$B$23, 1+2*(ROW(D180)-ROW($B$23)),COLUMN(D180)-2)</f>
        <v>0</v>
      </c>
      <c r="E180">
        <f ca="1">OFFSET(daily_original_wrong!$B$23, 2*(ROW(E180)-ROW($B$23)),COLUMN(E180)-2)+OFFSET(daily_original_wrong!$B$23, 1+2*(ROW(E180)-ROW($B$23)),COLUMN(E180)-2)</f>
        <v>0</v>
      </c>
      <c r="F180">
        <f ca="1">OFFSET(daily_original_wrong!$B$23, 2*(ROW(F180)-ROW($B$23)),COLUMN(F180)-2)+OFFSET(daily_original_wrong!$B$23, 1+2*(ROW(F180)-ROW($B$23)),COLUMN(F180)-2)</f>
        <v>0</v>
      </c>
      <c r="G180">
        <f ca="1">OFFSET(daily_original_wrong!$B$23, 2*(ROW(G180)-ROW($B$23)),COLUMN(G180)-2)+OFFSET(daily_original_wrong!$B$23, 1+2*(ROW(G180)-ROW($B$23)),COLUMN(G180)-2)</f>
        <v>0</v>
      </c>
      <c r="H180">
        <f ca="1">OFFSET(daily_original_wrong!$B$23, 2*(ROW(H180)-ROW($B$23)),COLUMN(H180)-2)+OFFSET(daily_original_wrong!$B$23, 1+2*(ROW(H180)-ROW($B$23)),COLUMN(H180)-2)</f>
        <v>0</v>
      </c>
      <c r="J180" t="str">
        <f t="shared" si="14"/>
        <v>[</v>
      </c>
      <c r="K180" t="str">
        <f t="shared" ca="1" si="15"/>
        <v>[0],</v>
      </c>
      <c r="L180" t="str">
        <f t="shared" ca="1" si="19"/>
        <v>[0],</v>
      </c>
      <c r="M180" t="str">
        <f t="shared" ca="1" si="19"/>
        <v>[0],</v>
      </c>
      <c r="N180" t="str">
        <f t="shared" ca="1" si="19"/>
        <v>[0],</v>
      </c>
      <c r="O180" t="str">
        <f t="shared" ca="1" si="19"/>
        <v>[0],</v>
      </c>
      <c r="P180" t="str">
        <f t="shared" ca="1" si="19"/>
        <v>[0],</v>
      </c>
      <c r="Q180" t="str">
        <f t="shared" ca="1" si="16"/>
        <v>[0]</v>
      </c>
      <c r="R180" t="str">
        <f t="shared" si="17"/>
        <v>]</v>
      </c>
      <c r="S180" t="str">
        <f t="shared" ca="1" si="18"/>
        <v>[[0],[0],[0],[0],[0],[0],[0]]</v>
      </c>
    </row>
    <row r="181" spans="1:19" x14ac:dyDescent="0.2">
      <c r="A181" s="1" t="d">
        <v>2026-02-11</v>
      </c>
      <c r="B181">
        <f ca="1">OFFSET(daily_original_wrong!$B$23, 2*(ROW(B181)-ROW($B$23)),COLUMN(B181)-2)+OFFSET(daily_original_wrong!$B$23, 1+2*(ROW(B181)-ROW($B$23)),COLUMN(B181)-2)</f>
        <v>0</v>
      </c>
      <c r="C181">
        <f ca="1">OFFSET(daily_original_wrong!$B$23, 2*(ROW(C181)-ROW($B$23)),COLUMN(C181)-2)+OFFSET(daily_original_wrong!$B$23, 1+2*(ROW(C181)-ROW($B$23)),COLUMN(C181)-2)</f>
        <v>0</v>
      </c>
      <c r="D181">
        <f ca="1">OFFSET(daily_original_wrong!$B$23, 2*(ROW(D181)-ROW($B$23)),COLUMN(D181)-2)+OFFSET(daily_original_wrong!$B$23, 1+2*(ROW(D181)-ROW($B$23)),COLUMN(D181)-2)</f>
        <v>0</v>
      </c>
      <c r="E181">
        <f ca="1">OFFSET(daily_original_wrong!$B$23, 2*(ROW(E181)-ROW($B$23)),COLUMN(E181)-2)+OFFSET(daily_original_wrong!$B$23, 1+2*(ROW(E181)-ROW($B$23)),COLUMN(E181)-2)</f>
        <v>0</v>
      </c>
      <c r="F181">
        <f ca="1">OFFSET(daily_original_wrong!$B$23, 2*(ROW(F181)-ROW($B$23)),COLUMN(F181)-2)+OFFSET(daily_original_wrong!$B$23, 1+2*(ROW(F181)-ROW($B$23)),COLUMN(F181)-2)</f>
        <v>0</v>
      </c>
      <c r="G181">
        <f ca="1">OFFSET(daily_original_wrong!$B$23, 2*(ROW(G181)-ROW($B$23)),COLUMN(G181)-2)+OFFSET(daily_original_wrong!$B$23, 1+2*(ROW(G181)-ROW($B$23)),COLUMN(G181)-2)</f>
        <v>0</v>
      </c>
      <c r="H181">
        <f ca="1">OFFSET(daily_original_wrong!$B$23, 2*(ROW(H181)-ROW($B$23)),COLUMN(H181)-2)+OFFSET(daily_original_wrong!$B$23, 1+2*(ROW(H181)-ROW($B$23)),COLUMN(H181)-2)</f>
        <v>0</v>
      </c>
      <c r="J181" t="str">
        <f t="shared" si="14"/>
        <v>[</v>
      </c>
      <c r="K181" t="str">
        <f t="shared" ca="1" si="15"/>
        <v>[0],</v>
      </c>
      <c r="L181" t="str">
        <f t="shared" ca="1" si="19"/>
        <v>[0],</v>
      </c>
      <c r="M181" t="str">
        <f t="shared" ca="1" si="19"/>
        <v>[0],</v>
      </c>
      <c r="N181" t="str">
        <f t="shared" ca="1" si="19"/>
        <v>[0],</v>
      </c>
      <c r="O181" t="str">
        <f t="shared" ca="1" si="19"/>
        <v>[0],</v>
      </c>
      <c r="P181" t="str">
        <f t="shared" ca="1" si="19"/>
        <v>[0],</v>
      </c>
      <c r="Q181" t="str">
        <f t="shared" ca="1" si="16"/>
        <v>[0]</v>
      </c>
      <c r="R181" t="str">
        <f t="shared" si="17"/>
        <v>]</v>
      </c>
      <c r="S181" t="str">
        <f t="shared" ca="1" si="18"/>
        <v>[[0],[0],[0],[0],[0],[0],[0]]</v>
      </c>
    </row>
    <row r="182" spans="1:19" x14ac:dyDescent="0.2">
      <c r="A182" s="1" t="d">
        <v>2026-02-12</v>
      </c>
      <c r="B182">
        <f ca="1">OFFSET(daily_original_wrong!$B$23, 2*(ROW(B182)-ROW($B$23)),COLUMN(B182)-2)+OFFSET(daily_original_wrong!$B$23, 1+2*(ROW(B182)-ROW($B$23)),COLUMN(B182)-2)</f>
        <v>0</v>
      </c>
      <c r="C182">
        <f ca="1">OFFSET(daily_original_wrong!$B$23, 2*(ROW(C182)-ROW($B$23)),COLUMN(C182)-2)+OFFSET(daily_original_wrong!$B$23, 1+2*(ROW(C182)-ROW($B$23)),COLUMN(C182)-2)</f>
        <v>0</v>
      </c>
      <c r="D182">
        <f ca="1">OFFSET(daily_original_wrong!$B$23, 2*(ROW(D182)-ROW($B$23)),COLUMN(D182)-2)+OFFSET(daily_original_wrong!$B$23, 1+2*(ROW(D182)-ROW($B$23)),COLUMN(D182)-2)</f>
        <v>0</v>
      </c>
      <c r="E182">
        <f ca="1">OFFSET(daily_original_wrong!$B$23, 2*(ROW(E182)-ROW($B$23)),COLUMN(E182)-2)+OFFSET(daily_original_wrong!$B$23, 1+2*(ROW(E182)-ROW($B$23)),COLUMN(E182)-2)</f>
        <v>0</v>
      </c>
      <c r="F182">
        <f ca="1">OFFSET(daily_original_wrong!$B$23, 2*(ROW(F182)-ROW($B$23)),COLUMN(F182)-2)+OFFSET(daily_original_wrong!$B$23, 1+2*(ROW(F182)-ROW($B$23)),COLUMN(F182)-2)</f>
        <v>0</v>
      </c>
      <c r="G182">
        <f ca="1">OFFSET(daily_original_wrong!$B$23, 2*(ROW(G182)-ROW($B$23)),COLUMN(G182)-2)+OFFSET(daily_original_wrong!$B$23, 1+2*(ROW(G182)-ROW($B$23)),COLUMN(G182)-2)</f>
        <v>0</v>
      </c>
      <c r="H182">
        <f ca="1">OFFSET(daily_original_wrong!$B$23, 2*(ROW(H182)-ROW($B$23)),COLUMN(H182)-2)+OFFSET(daily_original_wrong!$B$23, 1+2*(ROW(H182)-ROW($B$23)),COLUMN(H182)-2)</f>
        <v>0</v>
      </c>
      <c r="J182" t="str">
        <f t="shared" si="14"/>
        <v>[</v>
      </c>
      <c r="K182" t="str">
        <f t="shared" ca="1" si="15"/>
        <v>[0],</v>
      </c>
      <c r="L182" t="str">
        <f t="shared" ca="1" si="19"/>
        <v>[0],</v>
      </c>
      <c r="M182" t="str">
        <f t="shared" ca="1" si="19"/>
        <v>[0],</v>
      </c>
      <c r="N182" t="str">
        <f t="shared" ca="1" si="19"/>
        <v>[0],</v>
      </c>
      <c r="O182" t="str">
        <f t="shared" ca="1" si="19"/>
        <v>[0],</v>
      </c>
      <c r="P182" t="str">
        <f t="shared" ca="1" si="19"/>
        <v>[0],</v>
      </c>
      <c r="Q182" t="str">
        <f t="shared" ca="1" si="16"/>
        <v>[0]</v>
      </c>
      <c r="R182" t="str">
        <f t="shared" si="17"/>
        <v>]</v>
      </c>
      <c r="S182" t="str">
        <f t="shared" ca="1" si="18"/>
        <v>[[0],[0],[0],[0],[0],[0],[0]]</v>
      </c>
    </row>
    <row r="183" spans="1:19" x14ac:dyDescent="0.2">
      <c r="A183" s="1" t="d">
        <v>2026-02-13</v>
      </c>
      <c r="B183">
        <f ca="1">OFFSET(daily_original_wrong!$B$23, 2*(ROW(B183)-ROW($B$23)),COLUMN(B183)-2)+OFFSET(daily_original_wrong!$B$23, 1+2*(ROW(B183)-ROW($B$23)),COLUMN(B183)-2)</f>
        <v>0</v>
      </c>
      <c r="C183">
        <f ca="1">OFFSET(daily_original_wrong!$B$23, 2*(ROW(C183)-ROW($B$23)),COLUMN(C183)-2)+OFFSET(daily_original_wrong!$B$23, 1+2*(ROW(C183)-ROW($B$23)),COLUMN(C183)-2)</f>
        <v>0</v>
      </c>
      <c r="D183">
        <f ca="1">OFFSET(daily_original_wrong!$B$23, 2*(ROW(D183)-ROW($B$23)),COLUMN(D183)-2)+OFFSET(daily_original_wrong!$B$23, 1+2*(ROW(D183)-ROW($B$23)),COLUMN(D183)-2)</f>
        <v>0</v>
      </c>
      <c r="E183">
        <f ca="1">OFFSET(daily_original_wrong!$B$23, 2*(ROW(E183)-ROW($B$23)),COLUMN(E183)-2)+OFFSET(daily_original_wrong!$B$23, 1+2*(ROW(E183)-ROW($B$23)),COLUMN(E183)-2)</f>
        <v>0</v>
      </c>
      <c r="F183">
        <f ca="1">OFFSET(daily_original_wrong!$B$23, 2*(ROW(F183)-ROW($B$23)),COLUMN(F183)-2)+OFFSET(daily_original_wrong!$B$23, 1+2*(ROW(F183)-ROW($B$23)),COLUMN(F183)-2)</f>
        <v>0</v>
      </c>
      <c r="G183">
        <f ca="1">OFFSET(daily_original_wrong!$B$23, 2*(ROW(G183)-ROW($B$23)),COLUMN(G183)-2)+OFFSET(daily_original_wrong!$B$23, 1+2*(ROW(G183)-ROW($B$23)),COLUMN(G183)-2)</f>
        <v>0</v>
      </c>
      <c r="H183">
        <f ca="1">OFFSET(daily_original_wrong!$B$23, 2*(ROW(H183)-ROW($B$23)),COLUMN(H183)-2)+OFFSET(daily_original_wrong!$B$23, 1+2*(ROW(H183)-ROW($B$23)),COLUMN(H183)-2)</f>
        <v>0</v>
      </c>
      <c r="J183" t="str">
        <f t="shared" si="14"/>
        <v>[</v>
      </c>
      <c r="K183" t="str">
        <f t="shared" ca="1" si="15"/>
        <v>[0],</v>
      </c>
      <c r="L183" t="str">
        <f t="shared" ca="1" si="19"/>
        <v>[0],</v>
      </c>
      <c r="M183" t="str">
        <f t="shared" ca="1" si="19"/>
        <v>[0],</v>
      </c>
      <c r="N183" t="str">
        <f t="shared" ca="1" si="19"/>
        <v>[0],</v>
      </c>
      <c r="O183" t="str">
        <f t="shared" ca="1" si="19"/>
        <v>[0],</v>
      </c>
      <c r="P183" t="str">
        <f t="shared" ca="1" si="19"/>
        <v>[0],</v>
      </c>
      <c r="Q183" t="str">
        <f t="shared" ca="1" si="16"/>
        <v>[0]</v>
      </c>
      <c r="R183" t="str">
        <f t="shared" si="17"/>
        <v>]</v>
      </c>
      <c r="S183" t="str">
        <f t="shared" ca="1" si="18"/>
        <v>[[0],[0],[0],[0],[0],[0],[0]]</v>
      </c>
    </row>
    <row r="184" spans="1:19" x14ac:dyDescent="0.2">
      <c r="A184" s="1" t="d">
        <v>2026-02-14</v>
      </c>
      <c r="B184">
        <f ca="1">OFFSET(daily_original_wrong!$B$23, 2*(ROW(B184)-ROW($B$23)),COLUMN(B184)-2)+OFFSET(daily_original_wrong!$B$23, 1+2*(ROW(B184)-ROW($B$23)),COLUMN(B184)-2)</f>
        <v>0</v>
      </c>
      <c r="C184">
        <f ca="1">OFFSET(daily_original_wrong!$B$23, 2*(ROW(C184)-ROW($B$23)),COLUMN(C184)-2)+OFFSET(daily_original_wrong!$B$23, 1+2*(ROW(C184)-ROW($B$23)),COLUMN(C184)-2)</f>
        <v>0</v>
      </c>
      <c r="D184">
        <f ca="1">OFFSET(daily_original_wrong!$B$23, 2*(ROW(D184)-ROW($B$23)),COLUMN(D184)-2)+OFFSET(daily_original_wrong!$B$23, 1+2*(ROW(D184)-ROW($B$23)),COLUMN(D184)-2)</f>
        <v>0</v>
      </c>
      <c r="E184">
        <f ca="1">OFFSET(daily_original_wrong!$B$23, 2*(ROW(E184)-ROW($B$23)),COLUMN(E184)-2)+OFFSET(daily_original_wrong!$B$23, 1+2*(ROW(E184)-ROW($B$23)),COLUMN(E184)-2)</f>
        <v>0</v>
      </c>
      <c r="F184">
        <f ca="1">OFFSET(daily_original_wrong!$B$23, 2*(ROW(F184)-ROW($B$23)),COLUMN(F184)-2)+OFFSET(daily_original_wrong!$B$23, 1+2*(ROW(F184)-ROW($B$23)),COLUMN(F184)-2)</f>
        <v>0</v>
      </c>
      <c r="G184">
        <f ca="1">OFFSET(daily_original_wrong!$B$23, 2*(ROW(G184)-ROW($B$23)),COLUMN(G184)-2)+OFFSET(daily_original_wrong!$B$23, 1+2*(ROW(G184)-ROW($B$23)),COLUMN(G184)-2)</f>
        <v>0</v>
      </c>
      <c r="H184">
        <f ca="1">OFFSET(daily_original_wrong!$B$23, 2*(ROW(H184)-ROW($B$23)),COLUMN(H184)-2)+OFFSET(daily_original_wrong!$B$23, 1+2*(ROW(H184)-ROW($B$23)),COLUMN(H184)-2)</f>
        <v>0</v>
      </c>
      <c r="J184" t="str">
        <f t="shared" si="14"/>
        <v>[</v>
      </c>
      <c r="K184" t="str">
        <f t="shared" ca="1" si="15"/>
        <v>[0],</v>
      </c>
      <c r="L184" t="str">
        <f t="shared" ca="1" si="19"/>
        <v>[0],</v>
      </c>
      <c r="M184" t="str">
        <f t="shared" ca="1" si="19"/>
        <v>[0],</v>
      </c>
      <c r="N184" t="str">
        <f t="shared" ca="1" si="19"/>
        <v>[0],</v>
      </c>
      <c r="O184" t="str">
        <f t="shared" ca="1" si="19"/>
        <v>[0],</v>
      </c>
      <c r="P184" t="str">
        <f t="shared" ca="1" si="19"/>
        <v>[0],</v>
      </c>
      <c r="Q184" t="str">
        <f t="shared" ca="1" si="16"/>
        <v>[0]</v>
      </c>
      <c r="R184" t="str">
        <f t="shared" si="17"/>
        <v>]</v>
      </c>
      <c r="S184" t="str">
        <f t="shared" ca="1" si="18"/>
        <v>[[0],[0],[0],[0],[0],[0],[0]]</v>
      </c>
    </row>
    <row r="185" spans="1:19" x14ac:dyDescent="0.2">
      <c r="A185" s="1" t="d">
        <v>2026-02-15</v>
      </c>
      <c r="B185">
        <f ca="1">OFFSET(daily_original_wrong!$B$23, 2*(ROW(B185)-ROW($B$23)),COLUMN(B185)-2)+OFFSET(daily_original_wrong!$B$23, 1+2*(ROW(B185)-ROW($B$23)),COLUMN(B185)-2)</f>
        <v>0</v>
      </c>
      <c r="C185">
        <f ca="1">OFFSET(daily_original_wrong!$B$23, 2*(ROW(C185)-ROW($B$23)),COLUMN(C185)-2)+OFFSET(daily_original_wrong!$B$23, 1+2*(ROW(C185)-ROW($B$23)),COLUMN(C185)-2)</f>
        <v>0</v>
      </c>
      <c r="D185">
        <f ca="1">OFFSET(daily_original_wrong!$B$23, 2*(ROW(D185)-ROW($B$23)),COLUMN(D185)-2)+OFFSET(daily_original_wrong!$B$23, 1+2*(ROW(D185)-ROW($B$23)),COLUMN(D185)-2)</f>
        <v>0</v>
      </c>
      <c r="E185">
        <f ca="1">OFFSET(daily_original_wrong!$B$23, 2*(ROW(E185)-ROW($B$23)),COLUMN(E185)-2)+OFFSET(daily_original_wrong!$B$23, 1+2*(ROW(E185)-ROW($B$23)),COLUMN(E185)-2)</f>
        <v>0</v>
      </c>
      <c r="F185">
        <f ca="1">OFFSET(daily_original_wrong!$B$23, 2*(ROW(F185)-ROW($B$23)),COLUMN(F185)-2)+OFFSET(daily_original_wrong!$B$23, 1+2*(ROW(F185)-ROW($B$23)),COLUMN(F185)-2)</f>
        <v>0</v>
      </c>
      <c r="G185">
        <f ca="1">OFFSET(daily_original_wrong!$B$23, 2*(ROW(G185)-ROW($B$23)),COLUMN(G185)-2)+OFFSET(daily_original_wrong!$B$23, 1+2*(ROW(G185)-ROW($B$23)),COLUMN(G185)-2)</f>
        <v>0</v>
      </c>
      <c r="H185">
        <f ca="1">OFFSET(daily_original_wrong!$B$23, 2*(ROW(H185)-ROW($B$23)),COLUMN(H185)-2)+OFFSET(daily_original_wrong!$B$23, 1+2*(ROW(H185)-ROW($B$23)),COLUMN(H185)-2)</f>
        <v>0</v>
      </c>
      <c r="J185" t="str">
        <f t="shared" si="14"/>
        <v>[</v>
      </c>
      <c r="K185" t="str">
        <f t="shared" ca="1" si="15"/>
        <v>[0],</v>
      </c>
      <c r="L185" t="str">
        <f t="shared" ca="1" si="19"/>
        <v>[0],</v>
      </c>
      <c r="M185" t="str">
        <f t="shared" ca="1" si="19"/>
        <v>[0],</v>
      </c>
      <c r="N185" t="str">
        <f t="shared" ca="1" si="19"/>
        <v>[0],</v>
      </c>
      <c r="O185" t="str">
        <f t="shared" ca="1" si="19"/>
        <v>[0],</v>
      </c>
      <c r="P185" t="str">
        <f t="shared" ca="1" si="19"/>
        <v>[0],</v>
      </c>
      <c r="Q185" t="str">
        <f t="shared" ca="1" si="16"/>
        <v>[0]</v>
      </c>
      <c r="R185" t="str">
        <f t="shared" si="17"/>
        <v>]</v>
      </c>
      <c r="S185" t="str">
        <f t="shared" ca="1" si="18"/>
        <v>[[0],[0],[0],[0],[0],[0],[0]]</v>
      </c>
    </row>
    <row r="186" spans="1:19" x14ac:dyDescent="0.2">
      <c r="A186" s="1" t="d">
        <v>2026-02-16</v>
      </c>
      <c r="B186">
        <f ca="1">OFFSET(daily_original_wrong!$B$23, 2*(ROW(B186)-ROW($B$23)),COLUMN(B186)-2)+OFFSET(daily_original_wrong!$B$23, 1+2*(ROW(B186)-ROW($B$23)),COLUMN(B186)-2)</f>
        <v>0</v>
      </c>
      <c r="C186">
        <f ca="1">OFFSET(daily_original_wrong!$B$23, 2*(ROW(C186)-ROW($B$23)),COLUMN(C186)-2)+OFFSET(daily_original_wrong!$B$23, 1+2*(ROW(C186)-ROW($B$23)),COLUMN(C186)-2)</f>
        <v>0</v>
      </c>
      <c r="D186">
        <f ca="1">OFFSET(daily_original_wrong!$B$23, 2*(ROW(D186)-ROW($B$23)),COLUMN(D186)-2)+OFFSET(daily_original_wrong!$B$23, 1+2*(ROW(D186)-ROW($B$23)),COLUMN(D186)-2)</f>
        <v>0</v>
      </c>
      <c r="E186">
        <f ca="1">OFFSET(daily_original_wrong!$B$23, 2*(ROW(E186)-ROW($B$23)),COLUMN(E186)-2)+OFFSET(daily_original_wrong!$B$23, 1+2*(ROW(E186)-ROW($B$23)),COLUMN(E186)-2)</f>
        <v>0</v>
      </c>
      <c r="F186">
        <f ca="1">OFFSET(daily_original_wrong!$B$23, 2*(ROW(F186)-ROW($B$23)),COLUMN(F186)-2)+OFFSET(daily_original_wrong!$B$23, 1+2*(ROW(F186)-ROW($B$23)),COLUMN(F186)-2)</f>
        <v>0</v>
      </c>
      <c r="G186">
        <f ca="1">OFFSET(daily_original_wrong!$B$23, 2*(ROW(G186)-ROW($B$23)),COLUMN(G186)-2)+OFFSET(daily_original_wrong!$B$23, 1+2*(ROW(G186)-ROW($B$23)),COLUMN(G186)-2)</f>
        <v>0</v>
      </c>
      <c r="H186">
        <f ca="1">OFFSET(daily_original_wrong!$B$23, 2*(ROW(H186)-ROW($B$23)),COLUMN(H186)-2)+OFFSET(daily_original_wrong!$B$23, 1+2*(ROW(H186)-ROW($B$23)),COLUMN(H186)-2)</f>
        <v>0</v>
      </c>
      <c r="J186" t="str">
        <f t="shared" si="14"/>
        <v>[</v>
      </c>
      <c r="K186" t="str">
        <f t="shared" ca="1" si="15"/>
        <v>[0],</v>
      </c>
      <c r="L186" t="str">
        <f t="shared" ca="1" si="19"/>
        <v>[0],</v>
      </c>
      <c r="M186" t="str">
        <f t="shared" ca="1" si="19"/>
        <v>[0],</v>
      </c>
      <c r="N186" t="str">
        <f t="shared" ca="1" si="19"/>
        <v>[0],</v>
      </c>
      <c r="O186" t="str">
        <f t="shared" ca="1" si="19"/>
        <v>[0],</v>
      </c>
      <c r="P186" t="str">
        <f t="shared" ca="1" si="19"/>
        <v>[0],</v>
      </c>
      <c r="Q186" t="str">
        <f t="shared" ca="1" si="16"/>
        <v>[0]</v>
      </c>
      <c r="R186" t="str">
        <f t="shared" si="17"/>
        <v>]</v>
      </c>
      <c r="S186" t="str">
        <f t="shared" ca="1" si="18"/>
        <v>[[0],[0],[0],[0],[0],[0],[0]]</v>
      </c>
    </row>
    <row r="187" spans="1:19" x14ac:dyDescent="0.2">
      <c r="A187" s="1" t="d">
        <v>2026-02-17</v>
      </c>
      <c r="B187">
        <f ca="1">OFFSET(daily_original_wrong!$B$23, 2*(ROW(B187)-ROW($B$23)),COLUMN(B187)-2)+OFFSET(daily_original_wrong!$B$23, 1+2*(ROW(B187)-ROW($B$23)),COLUMN(B187)-2)</f>
        <v>0</v>
      </c>
      <c r="C187">
        <f ca="1">OFFSET(daily_original_wrong!$B$23, 2*(ROW(C187)-ROW($B$23)),COLUMN(C187)-2)+OFFSET(daily_original_wrong!$B$23, 1+2*(ROW(C187)-ROW($B$23)),COLUMN(C187)-2)</f>
        <v>0</v>
      </c>
      <c r="D187">
        <f ca="1">OFFSET(daily_original_wrong!$B$23, 2*(ROW(D187)-ROW($B$23)),COLUMN(D187)-2)+OFFSET(daily_original_wrong!$B$23, 1+2*(ROW(D187)-ROW($B$23)),COLUMN(D187)-2)</f>
        <v>0</v>
      </c>
      <c r="E187">
        <f ca="1">OFFSET(daily_original_wrong!$B$23, 2*(ROW(E187)-ROW($B$23)),COLUMN(E187)-2)+OFFSET(daily_original_wrong!$B$23, 1+2*(ROW(E187)-ROW($B$23)),COLUMN(E187)-2)</f>
        <v>0</v>
      </c>
      <c r="F187">
        <f ca="1">OFFSET(daily_original_wrong!$B$23, 2*(ROW(F187)-ROW($B$23)),COLUMN(F187)-2)+OFFSET(daily_original_wrong!$B$23, 1+2*(ROW(F187)-ROW($B$23)),COLUMN(F187)-2)</f>
        <v>0</v>
      </c>
      <c r="G187">
        <f ca="1">OFFSET(daily_original_wrong!$B$23, 2*(ROW(G187)-ROW($B$23)),COLUMN(G187)-2)+OFFSET(daily_original_wrong!$B$23, 1+2*(ROW(G187)-ROW($B$23)),COLUMN(G187)-2)</f>
        <v>0</v>
      </c>
      <c r="H187">
        <f ca="1">OFFSET(daily_original_wrong!$B$23, 2*(ROW(H187)-ROW($B$23)),COLUMN(H187)-2)+OFFSET(daily_original_wrong!$B$23, 1+2*(ROW(H187)-ROW($B$23)),COLUMN(H187)-2)</f>
        <v>0</v>
      </c>
      <c r="J187" t="str">
        <f t="shared" si="14"/>
        <v>[</v>
      </c>
      <c r="K187" t="str">
        <f t="shared" ca="1" si="15"/>
        <v>[0],</v>
      </c>
      <c r="L187" t="str">
        <f t="shared" ca="1" si="19"/>
        <v>[0],</v>
      </c>
      <c r="M187" t="str">
        <f t="shared" ca="1" si="19"/>
        <v>[0],</v>
      </c>
      <c r="N187" t="str">
        <f t="shared" ca="1" si="19"/>
        <v>[0],</v>
      </c>
      <c r="O187" t="str">
        <f t="shared" ca="1" si="19"/>
        <v>[0],</v>
      </c>
      <c r="P187" t="str">
        <f t="shared" ca="1" si="19"/>
        <v>[0],</v>
      </c>
      <c r="Q187" t="str">
        <f t="shared" ca="1" si="16"/>
        <v>[0]</v>
      </c>
      <c r="R187" t="str">
        <f t="shared" si="17"/>
        <v>]</v>
      </c>
      <c r="S187" t="str">
        <f t="shared" ca="1" si="18"/>
        <v>[[0],[0],[0],[0],[0],[0],[0]]</v>
      </c>
    </row>
    <row r="188" spans="1:19" x14ac:dyDescent="0.2">
      <c r="A188" s="1" t="d">
        <v>2026-02-18</v>
      </c>
      <c r="B188">
        <f ca="1">OFFSET(daily_original_wrong!$B$23, 2*(ROW(B188)-ROW($B$23)),COLUMN(B188)-2)+OFFSET(daily_original_wrong!$B$23, 1+2*(ROW(B188)-ROW($B$23)),COLUMN(B188)-2)</f>
        <v>0</v>
      </c>
      <c r="C188">
        <f ca="1">OFFSET(daily_original_wrong!$B$23, 2*(ROW(C188)-ROW($B$23)),COLUMN(C188)-2)+OFFSET(daily_original_wrong!$B$23, 1+2*(ROW(C188)-ROW($B$23)),COLUMN(C188)-2)</f>
        <v>0</v>
      </c>
      <c r="D188">
        <f ca="1">OFFSET(daily_original_wrong!$B$23, 2*(ROW(D188)-ROW($B$23)),COLUMN(D188)-2)+OFFSET(daily_original_wrong!$B$23, 1+2*(ROW(D188)-ROW($B$23)),COLUMN(D188)-2)</f>
        <v>0</v>
      </c>
      <c r="E188">
        <f ca="1">OFFSET(daily_original_wrong!$B$23, 2*(ROW(E188)-ROW($B$23)),COLUMN(E188)-2)+OFFSET(daily_original_wrong!$B$23, 1+2*(ROW(E188)-ROW($B$23)),COLUMN(E188)-2)</f>
        <v>0</v>
      </c>
      <c r="F188">
        <f ca="1">OFFSET(daily_original_wrong!$B$23, 2*(ROW(F188)-ROW($B$23)),COLUMN(F188)-2)+OFFSET(daily_original_wrong!$B$23, 1+2*(ROW(F188)-ROW($B$23)),COLUMN(F188)-2)</f>
        <v>0</v>
      </c>
      <c r="G188">
        <f ca="1">OFFSET(daily_original_wrong!$B$23, 2*(ROW(G188)-ROW($B$23)),COLUMN(G188)-2)+OFFSET(daily_original_wrong!$B$23, 1+2*(ROW(G188)-ROW($B$23)),COLUMN(G188)-2)</f>
        <v>0</v>
      </c>
      <c r="H188">
        <f ca="1">OFFSET(daily_original_wrong!$B$23, 2*(ROW(H188)-ROW($B$23)),COLUMN(H188)-2)+OFFSET(daily_original_wrong!$B$23, 1+2*(ROW(H188)-ROW($B$23)),COLUMN(H188)-2)</f>
        <v>0</v>
      </c>
      <c r="J188" t="str">
        <f t="shared" si="14"/>
        <v>[</v>
      </c>
      <c r="K188" t="str">
        <f t="shared" ca="1" si="15"/>
        <v>[0],</v>
      </c>
      <c r="L188" t="str">
        <f t="shared" ca="1" si="19"/>
        <v>[0],</v>
      </c>
      <c r="M188" t="str">
        <f t="shared" ca="1" si="19"/>
        <v>[0],</v>
      </c>
      <c r="N188" t="str">
        <f t="shared" ca="1" si="19"/>
        <v>[0],</v>
      </c>
      <c r="O188" t="str">
        <f t="shared" ca="1" si="19"/>
        <v>[0],</v>
      </c>
      <c r="P188" t="str">
        <f t="shared" ca="1" si="19"/>
        <v>[0],</v>
      </c>
      <c r="Q188" t="str">
        <f t="shared" ca="1" si="16"/>
        <v>[0]</v>
      </c>
      <c r="R188" t="str">
        <f t="shared" si="17"/>
        <v>]</v>
      </c>
      <c r="S188" t="str">
        <f t="shared" ca="1" si="18"/>
        <v>[[0],[0],[0],[0],[0],[0],[0]]</v>
      </c>
    </row>
    <row r="189" spans="1:19" x14ac:dyDescent="0.2">
      <c r="A189" s="1" t="d">
        <v>2026-02-19</v>
      </c>
      <c r="B189">
        <f ca="1">OFFSET(daily_original_wrong!$B$23, 2*(ROW(B189)-ROW($B$23)),COLUMN(B189)-2)+OFFSET(daily_original_wrong!$B$23, 1+2*(ROW(B189)-ROW($B$23)),COLUMN(B189)-2)</f>
        <v>0</v>
      </c>
      <c r="C189">
        <f ca="1">OFFSET(daily_original_wrong!$B$23, 2*(ROW(C189)-ROW($B$23)),COLUMN(C189)-2)+OFFSET(daily_original_wrong!$B$23, 1+2*(ROW(C189)-ROW($B$23)),COLUMN(C189)-2)</f>
        <v>0</v>
      </c>
      <c r="D189">
        <f ca="1">OFFSET(daily_original_wrong!$B$23, 2*(ROW(D189)-ROW($B$23)),COLUMN(D189)-2)+OFFSET(daily_original_wrong!$B$23, 1+2*(ROW(D189)-ROW($B$23)),COLUMN(D189)-2)</f>
        <v>0</v>
      </c>
      <c r="E189">
        <f ca="1">OFFSET(daily_original_wrong!$B$23, 2*(ROW(E189)-ROW($B$23)),COLUMN(E189)-2)+OFFSET(daily_original_wrong!$B$23, 1+2*(ROW(E189)-ROW($B$23)),COLUMN(E189)-2)</f>
        <v>0</v>
      </c>
      <c r="F189">
        <f ca="1">OFFSET(daily_original_wrong!$B$23, 2*(ROW(F189)-ROW($B$23)),COLUMN(F189)-2)+OFFSET(daily_original_wrong!$B$23, 1+2*(ROW(F189)-ROW($B$23)),COLUMN(F189)-2)</f>
        <v>0</v>
      </c>
      <c r="G189">
        <f ca="1">OFFSET(daily_original_wrong!$B$23, 2*(ROW(G189)-ROW($B$23)),COLUMN(G189)-2)+OFFSET(daily_original_wrong!$B$23, 1+2*(ROW(G189)-ROW($B$23)),COLUMN(G189)-2)</f>
        <v>0</v>
      </c>
      <c r="H189">
        <f ca="1">OFFSET(daily_original_wrong!$B$23, 2*(ROW(H189)-ROW($B$23)),COLUMN(H189)-2)+OFFSET(daily_original_wrong!$B$23, 1+2*(ROW(H189)-ROW($B$23)),COLUMN(H189)-2)</f>
        <v>0</v>
      </c>
      <c r="J189" t="str">
        <f t="shared" si="14"/>
        <v>[</v>
      </c>
      <c r="K189" t="str">
        <f t="shared" ca="1" si="15"/>
        <v>[0],</v>
      </c>
      <c r="L189" t="str">
        <f t="shared" ca="1" si="19"/>
        <v>[0],</v>
      </c>
      <c r="M189" t="str">
        <f t="shared" ca="1" si="19"/>
        <v>[0],</v>
      </c>
      <c r="N189" t="str">
        <f t="shared" ca="1" si="19"/>
        <v>[0],</v>
      </c>
      <c r="O189" t="str">
        <f t="shared" ca="1" si="19"/>
        <v>[0],</v>
      </c>
      <c r="P189" t="str">
        <f t="shared" ca="1" si="19"/>
        <v>[0],</v>
      </c>
      <c r="Q189" t="str">
        <f t="shared" ca="1" si="16"/>
        <v>[0]</v>
      </c>
      <c r="R189" t="str">
        <f t="shared" si="17"/>
        <v>]</v>
      </c>
      <c r="S189" t="str">
        <f t="shared" ca="1" si="18"/>
        <v>[[0],[0],[0],[0],[0],[0],[0]]</v>
      </c>
    </row>
    <row r="190" spans="1:19" x14ac:dyDescent="0.2">
      <c r="A190" s="1" t="d">
        <v>2026-02-20</v>
      </c>
      <c r="B190">
        <f ca="1">OFFSET(daily_original_wrong!$B$23, 2*(ROW(B190)-ROW($B$23)),COLUMN(B190)-2)+OFFSET(daily_original_wrong!$B$23, 1+2*(ROW(B190)-ROW($B$23)),COLUMN(B190)-2)</f>
        <v>0</v>
      </c>
      <c r="C190">
        <f ca="1">OFFSET(daily_original_wrong!$B$23, 2*(ROW(C190)-ROW($B$23)),COLUMN(C190)-2)+OFFSET(daily_original_wrong!$B$23, 1+2*(ROW(C190)-ROW($B$23)),COLUMN(C190)-2)</f>
        <v>0</v>
      </c>
      <c r="D190">
        <f ca="1">OFFSET(daily_original_wrong!$B$23, 2*(ROW(D190)-ROW($B$23)),COLUMN(D190)-2)+OFFSET(daily_original_wrong!$B$23, 1+2*(ROW(D190)-ROW($B$23)),COLUMN(D190)-2)</f>
        <v>0</v>
      </c>
      <c r="E190">
        <f ca="1">OFFSET(daily_original_wrong!$B$23, 2*(ROW(E190)-ROW($B$23)),COLUMN(E190)-2)+OFFSET(daily_original_wrong!$B$23, 1+2*(ROW(E190)-ROW($B$23)),COLUMN(E190)-2)</f>
        <v>0</v>
      </c>
      <c r="F190">
        <f ca="1">OFFSET(daily_original_wrong!$B$23, 2*(ROW(F190)-ROW($B$23)),COLUMN(F190)-2)+OFFSET(daily_original_wrong!$B$23, 1+2*(ROW(F190)-ROW($B$23)),COLUMN(F190)-2)</f>
        <v>0</v>
      </c>
      <c r="G190">
        <f ca="1">OFFSET(daily_original_wrong!$B$23, 2*(ROW(G190)-ROW($B$23)),COLUMN(G190)-2)+OFFSET(daily_original_wrong!$B$23, 1+2*(ROW(G190)-ROW($B$23)),COLUMN(G190)-2)</f>
        <v>0</v>
      </c>
      <c r="H190">
        <f ca="1">OFFSET(daily_original_wrong!$B$23, 2*(ROW(H190)-ROW($B$23)),COLUMN(H190)-2)+OFFSET(daily_original_wrong!$B$23, 1+2*(ROW(H190)-ROW($B$23)),COLUMN(H190)-2)</f>
        <v>0</v>
      </c>
      <c r="J190" t="str">
        <f t="shared" si="14"/>
        <v>[</v>
      </c>
      <c r="K190" t="str">
        <f t="shared" ca="1" si="15"/>
        <v>[0],</v>
      </c>
      <c r="L190" t="str">
        <f t="shared" ca="1" si="19"/>
        <v>[0],</v>
      </c>
      <c r="M190" t="str">
        <f t="shared" ca="1" si="19"/>
        <v>[0],</v>
      </c>
      <c r="N190" t="str">
        <f t="shared" ca="1" si="19"/>
        <v>[0],</v>
      </c>
      <c r="O190" t="str">
        <f t="shared" ca="1" si="19"/>
        <v>[0],</v>
      </c>
      <c r="P190" t="str">
        <f t="shared" ca="1" si="19"/>
        <v>[0],</v>
      </c>
      <c r="Q190" t="str">
        <f t="shared" ca="1" si="16"/>
        <v>[0]</v>
      </c>
      <c r="R190" t="str">
        <f t="shared" si="17"/>
        <v>]</v>
      </c>
      <c r="S190" t="str">
        <f t="shared" ca="1" si="18"/>
        <v>[[0],[0],[0],[0],[0],[0],[0]]</v>
      </c>
    </row>
    <row r="191" spans="1:19" x14ac:dyDescent="0.2">
      <c r="A191" s="1" t="d">
        <v>2026-02-21</v>
      </c>
      <c r="B191">
        <f ca="1">OFFSET(daily_original_wrong!$B$23, 2*(ROW(B191)-ROW($B$23)),COLUMN(B191)-2)+OFFSET(daily_original_wrong!$B$23, 1+2*(ROW(B191)-ROW($B$23)),COLUMN(B191)-2)</f>
        <v>0</v>
      </c>
      <c r="C191">
        <f ca="1">OFFSET(daily_original_wrong!$B$23, 2*(ROW(C191)-ROW($B$23)),COLUMN(C191)-2)+OFFSET(daily_original_wrong!$B$23, 1+2*(ROW(C191)-ROW($B$23)),COLUMN(C191)-2)</f>
        <v>0</v>
      </c>
      <c r="D191">
        <f ca="1">OFFSET(daily_original_wrong!$B$23, 2*(ROW(D191)-ROW($B$23)),COLUMN(D191)-2)+OFFSET(daily_original_wrong!$B$23, 1+2*(ROW(D191)-ROW($B$23)),COLUMN(D191)-2)</f>
        <v>0</v>
      </c>
      <c r="E191">
        <f ca="1">OFFSET(daily_original_wrong!$B$23, 2*(ROW(E191)-ROW($B$23)),COLUMN(E191)-2)+OFFSET(daily_original_wrong!$B$23, 1+2*(ROW(E191)-ROW($B$23)),COLUMN(E191)-2)</f>
        <v>0</v>
      </c>
      <c r="F191">
        <f ca="1">OFFSET(daily_original_wrong!$B$23, 2*(ROW(F191)-ROW($B$23)),COLUMN(F191)-2)+OFFSET(daily_original_wrong!$B$23, 1+2*(ROW(F191)-ROW($B$23)),COLUMN(F191)-2)</f>
        <v>0</v>
      </c>
      <c r="G191">
        <f ca="1">OFFSET(daily_original_wrong!$B$23, 2*(ROW(G191)-ROW($B$23)),COLUMN(G191)-2)+OFFSET(daily_original_wrong!$B$23, 1+2*(ROW(G191)-ROW($B$23)),COLUMN(G191)-2)</f>
        <v>0</v>
      </c>
      <c r="H191">
        <f ca="1">OFFSET(daily_original_wrong!$B$23, 2*(ROW(H191)-ROW($B$23)),COLUMN(H191)-2)+OFFSET(daily_original_wrong!$B$23, 1+2*(ROW(H191)-ROW($B$23)),COLUMN(H191)-2)</f>
        <v>0</v>
      </c>
      <c r="J191" t="str">
        <f t="shared" si="14"/>
        <v>[</v>
      </c>
      <c r="K191" t="str">
        <f t="shared" ca="1" si="15"/>
        <v>[0],</v>
      </c>
      <c r="L191" t="str">
        <f t="shared" ca="1" si="19"/>
        <v>[0],</v>
      </c>
      <c r="M191" t="str">
        <f t="shared" ca="1" si="19"/>
        <v>[0],</v>
      </c>
      <c r="N191" t="str">
        <f t="shared" ca="1" si="19"/>
        <v>[0],</v>
      </c>
      <c r="O191" t="str">
        <f t="shared" ca="1" si="19"/>
        <v>[0],</v>
      </c>
      <c r="P191" t="str">
        <f t="shared" ca="1" si="19"/>
        <v>[0],</v>
      </c>
      <c r="Q191" t="str">
        <f t="shared" ca="1" si="16"/>
        <v>[0]</v>
      </c>
      <c r="R191" t="str">
        <f t="shared" si="17"/>
        <v>]</v>
      </c>
      <c r="S191" t="str">
        <f t="shared" ca="1" si="18"/>
        <v>[[0],[0],[0],[0],[0],[0],[0]]</v>
      </c>
    </row>
    <row r="192" spans="1:19" x14ac:dyDescent="0.2">
      <c r="A192" s="1" t="d">
        <v>2026-02-22</v>
      </c>
      <c r="B192">
        <f ca="1">OFFSET(daily_original_wrong!$B$23, 2*(ROW(B192)-ROW($B$23)),COLUMN(B192)-2)+OFFSET(daily_original_wrong!$B$23, 1+2*(ROW(B192)-ROW($B$23)),COLUMN(B192)-2)</f>
        <v>0</v>
      </c>
      <c r="C192">
        <f ca="1">OFFSET(daily_original_wrong!$B$23, 2*(ROW(C192)-ROW($B$23)),COLUMN(C192)-2)+OFFSET(daily_original_wrong!$B$23, 1+2*(ROW(C192)-ROW($B$23)),COLUMN(C192)-2)</f>
        <v>0</v>
      </c>
      <c r="D192">
        <f ca="1">OFFSET(daily_original_wrong!$B$23, 2*(ROW(D192)-ROW($B$23)),COLUMN(D192)-2)+OFFSET(daily_original_wrong!$B$23, 1+2*(ROW(D192)-ROW($B$23)),COLUMN(D192)-2)</f>
        <v>0</v>
      </c>
      <c r="E192">
        <f ca="1">OFFSET(daily_original_wrong!$B$23, 2*(ROW(E192)-ROW($B$23)),COLUMN(E192)-2)+OFFSET(daily_original_wrong!$B$23, 1+2*(ROW(E192)-ROW($B$23)),COLUMN(E192)-2)</f>
        <v>0</v>
      </c>
      <c r="F192">
        <f ca="1">OFFSET(daily_original_wrong!$B$23, 2*(ROW(F192)-ROW($B$23)),COLUMN(F192)-2)+OFFSET(daily_original_wrong!$B$23, 1+2*(ROW(F192)-ROW($B$23)),COLUMN(F192)-2)</f>
        <v>0</v>
      </c>
      <c r="G192">
        <f ca="1">OFFSET(daily_original_wrong!$B$23, 2*(ROW(G192)-ROW($B$23)),COLUMN(G192)-2)+OFFSET(daily_original_wrong!$B$23, 1+2*(ROW(G192)-ROW($B$23)),COLUMN(G192)-2)</f>
        <v>0</v>
      </c>
      <c r="H192">
        <f ca="1">OFFSET(daily_original_wrong!$B$23, 2*(ROW(H192)-ROW($B$23)),COLUMN(H192)-2)+OFFSET(daily_original_wrong!$B$23, 1+2*(ROW(H192)-ROW($B$23)),COLUMN(H192)-2)</f>
        <v>0</v>
      </c>
      <c r="J192" t="str">
        <f t="shared" si="14"/>
        <v>[</v>
      </c>
      <c r="K192" t="str">
        <f t="shared" ca="1" si="15"/>
        <v>[0],</v>
      </c>
      <c r="L192" t="str">
        <f t="shared" ca="1" si="19"/>
        <v>[0],</v>
      </c>
      <c r="M192" t="str">
        <f t="shared" ca="1" si="19"/>
        <v>[0],</v>
      </c>
      <c r="N192" t="str">
        <f t="shared" ca="1" si="19"/>
        <v>[0],</v>
      </c>
      <c r="O192" t="str">
        <f t="shared" ca="1" si="19"/>
        <v>[0],</v>
      </c>
      <c r="P192" t="str">
        <f t="shared" ca="1" si="19"/>
        <v>[0],</v>
      </c>
      <c r="Q192" t="str">
        <f t="shared" ca="1" si="16"/>
        <v>[0]</v>
      </c>
      <c r="R192" t="str">
        <f t="shared" si="17"/>
        <v>]</v>
      </c>
      <c r="S192" t="str">
        <f t="shared" ca="1" si="18"/>
        <v>[[0],[0],[0],[0],[0],[0],[0]]</v>
      </c>
    </row>
    <row r="193" spans="1:19" x14ac:dyDescent="0.2">
      <c r="A193" s="1" t="d">
        <v>2026-02-23</v>
      </c>
      <c r="B193">
        <f ca="1">OFFSET(daily_original_wrong!$B$23, 2*(ROW(B193)-ROW($B$23)),COLUMN(B193)-2)+OFFSET(daily_original_wrong!$B$23, 1+2*(ROW(B193)-ROW($B$23)),COLUMN(B193)-2)</f>
        <v>0</v>
      </c>
      <c r="C193">
        <f ca="1">OFFSET(daily_original_wrong!$B$23, 2*(ROW(C193)-ROW($B$23)),COLUMN(C193)-2)+OFFSET(daily_original_wrong!$B$23, 1+2*(ROW(C193)-ROW($B$23)),COLUMN(C193)-2)</f>
        <v>0</v>
      </c>
      <c r="D193">
        <f ca="1">OFFSET(daily_original_wrong!$B$23, 2*(ROW(D193)-ROW($B$23)),COLUMN(D193)-2)+OFFSET(daily_original_wrong!$B$23, 1+2*(ROW(D193)-ROW($B$23)),COLUMN(D193)-2)</f>
        <v>0</v>
      </c>
      <c r="E193">
        <f ca="1">OFFSET(daily_original_wrong!$B$23, 2*(ROW(E193)-ROW($B$23)),COLUMN(E193)-2)+OFFSET(daily_original_wrong!$B$23, 1+2*(ROW(E193)-ROW($B$23)),COLUMN(E193)-2)</f>
        <v>0</v>
      </c>
      <c r="F193">
        <f ca="1">OFFSET(daily_original_wrong!$B$23, 2*(ROW(F193)-ROW($B$23)),COLUMN(F193)-2)+OFFSET(daily_original_wrong!$B$23, 1+2*(ROW(F193)-ROW($B$23)),COLUMN(F193)-2)</f>
        <v>0</v>
      </c>
      <c r="G193">
        <f ca="1">OFFSET(daily_original_wrong!$B$23, 2*(ROW(G193)-ROW($B$23)),COLUMN(G193)-2)+OFFSET(daily_original_wrong!$B$23, 1+2*(ROW(G193)-ROW($B$23)),COLUMN(G193)-2)</f>
        <v>0</v>
      </c>
      <c r="H193">
        <f ca="1">OFFSET(daily_original_wrong!$B$23, 2*(ROW(H193)-ROW($B$23)),COLUMN(H193)-2)+OFFSET(daily_original_wrong!$B$23, 1+2*(ROW(H193)-ROW($B$23)),COLUMN(H193)-2)</f>
        <v>0</v>
      </c>
      <c r="J193" t="str">
        <f t="shared" si="14"/>
        <v>[</v>
      </c>
      <c r="K193" t="str">
        <f t="shared" ca="1" si="15"/>
        <v>[0],</v>
      </c>
      <c r="L193" t="str">
        <f t="shared" ca="1" si="19"/>
        <v>[0],</v>
      </c>
      <c r="M193" t="str">
        <f t="shared" ca="1" si="19"/>
        <v>[0],</v>
      </c>
      <c r="N193" t="str">
        <f t="shared" ca="1" si="19"/>
        <v>[0],</v>
      </c>
      <c r="O193" t="str">
        <f t="shared" ca="1" si="19"/>
        <v>[0],</v>
      </c>
      <c r="P193" t="str">
        <f t="shared" ca="1" si="19"/>
        <v>[0],</v>
      </c>
      <c r="Q193" t="str">
        <f t="shared" ca="1" si="16"/>
        <v>[0]</v>
      </c>
      <c r="R193" t="str">
        <f t="shared" si="17"/>
        <v>]</v>
      </c>
      <c r="S193" t="str">
        <f t="shared" ca="1" si="18"/>
        <v>[[0],[0],[0],[0],[0],[0],[0]]</v>
      </c>
    </row>
    <row r="194" spans="1:19" x14ac:dyDescent="0.2">
      <c r="A194" s="1" t="d">
        <v>2026-02-24</v>
      </c>
      <c r="B194">
        <f ca="1">OFFSET(daily_original_wrong!$B$23, 2*(ROW(B194)-ROW($B$23)),COLUMN(B194)-2)+OFFSET(daily_original_wrong!$B$23, 1+2*(ROW(B194)-ROW($B$23)),COLUMN(B194)-2)</f>
        <v>0</v>
      </c>
      <c r="C194">
        <f ca="1">OFFSET(daily_original_wrong!$B$23, 2*(ROW(C194)-ROW($B$23)),COLUMN(C194)-2)+OFFSET(daily_original_wrong!$B$23, 1+2*(ROW(C194)-ROW($B$23)),COLUMN(C194)-2)</f>
        <v>0</v>
      </c>
      <c r="D194">
        <f ca="1">OFFSET(daily_original_wrong!$B$23, 2*(ROW(D194)-ROW($B$23)),COLUMN(D194)-2)+OFFSET(daily_original_wrong!$B$23, 1+2*(ROW(D194)-ROW($B$23)),COLUMN(D194)-2)</f>
        <v>0</v>
      </c>
      <c r="E194">
        <f ca="1">OFFSET(daily_original_wrong!$B$23, 2*(ROW(E194)-ROW($B$23)),COLUMN(E194)-2)+OFFSET(daily_original_wrong!$B$23, 1+2*(ROW(E194)-ROW($B$23)),COLUMN(E194)-2)</f>
        <v>0</v>
      </c>
      <c r="F194">
        <f ca="1">OFFSET(daily_original_wrong!$B$23, 2*(ROW(F194)-ROW($B$23)),COLUMN(F194)-2)+OFFSET(daily_original_wrong!$B$23, 1+2*(ROW(F194)-ROW($B$23)),COLUMN(F194)-2)</f>
        <v>0</v>
      </c>
      <c r="G194">
        <f ca="1">OFFSET(daily_original_wrong!$B$23, 2*(ROW(G194)-ROW($B$23)),COLUMN(G194)-2)+OFFSET(daily_original_wrong!$B$23, 1+2*(ROW(G194)-ROW($B$23)),COLUMN(G194)-2)</f>
        <v>0</v>
      </c>
      <c r="H194">
        <f ca="1">OFFSET(daily_original_wrong!$B$23, 2*(ROW(H194)-ROW($B$23)),COLUMN(H194)-2)+OFFSET(daily_original_wrong!$B$23, 1+2*(ROW(H194)-ROW($B$23)),COLUMN(H194)-2)</f>
        <v>0</v>
      </c>
      <c r="J194" t="str">
        <f t="shared" si="14"/>
        <v>[</v>
      </c>
      <c r="K194" t="str">
        <f t="shared" ca="1" si="15"/>
        <v>[0],</v>
      </c>
      <c r="L194" t="str">
        <f t="shared" ca="1" si="19"/>
        <v>[0],</v>
      </c>
      <c r="M194" t="str">
        <f t="shared" ca="1" si="19"/>
        <v>[0],</v>
      </c>
      <c r="N194" t="str">
        <f t="shared" ca="1" si="19"/>
        <v>[0],</v>
      </c>
      <c r="O194" t="str">
        <f t="shared" ca="1" si="19"/>
        <v>[0],</v>
      </c>
      <c r="P194" t="str">
        <f t="shared" ca="1" si="19"/>
        <v>[0],</v>
      </c>
      <c r="Q194" t="str">
        <f t="shared" ca="1" si="16"/>
        <v>[0]</v>
      </c>
      <c r="R194" t="str">
        <f t="shared" si="17"/>
        <v>]</v>
      </c>
      <c r="S194" t="str">
        <f t="shared" ca="1" si="18"/>
        <v>[[0],[0],[0],[0],[0],[0],[0]]</v>
      </c>
    </row>
    <row r="195" spans="1:19" x14ac:dyDescent="0.2">
      <c r="A195" s="1" t="d">
        <v>2026-02-25</v>
      </c>
      <c r="B195">
        <f ca="1">OFFSET(daily_original_wrong!$B$23, 2*(ROW(B195)-ROW($B$23)),COLUMN(B195)-2)+OFFSET(daily_original_wrong!$B$23, 1+2*(ROW(B195)-ROW($B$23)),COLUMN(B195)-2)</f>
        <v>0</v>
      </c>
      <c r="C195">
        <f ca="1">OFFSET(daily_original_wrong!$B$23, 2*(ROW(C195)-ROW($B$23)),COLUMN(C195)-2)+OFFSET(daily_original_wrong!$B$23, 1+2*(ROW(C195)-ROW($B$23)),COLUMN(C195)-2)</f>
        <v>0</v>
      </c>
      <c r="D195">
        <f ca="1">OFFSET(daily_original_wrong!$B$23, 2*(ROW(D195)-ROW($B$23)),COLUMN(D195)-2)+OFFSET(daily_original_wrong!$B$23, 1+2*(ROW(D195)-ROW($B$23)),COLUMN(D195)-2)</f>
        <v>0</v>
      </c>
      <c r="E195">
        <f ca="1">OFFSET(daily_original_wrong!$B$23, 2*(ROW(E195)-ROW($B$23)),COLUMN(E195)-2)+OFFSET(daily_original_wrong!$B$23, 1+2*(ROW(E195)-ROW($B$23)),COLUMN(E195)-2)</f>
        <v>0</v>
      </c>
      <c r="F195">
        <f ca="1">OFFSET(daily_original_wrong!$B$23, 2*(ROW(F195)-ROW($B$23)),COLUMN(F195)-2)+OFFSET(daily_original_wrong!$B$23, 1+2*(ROW(F195)-ROW($B$23)),COLUMN(F195)-2)</f>
        <v>0</v>
      </c>
      <c r="G195">
        <f ca="1">OFFSET(daily_original_wrong!$B$23, 2*(ROW(G195)-ROW($B$23)),COLUMN(G195)-2)+OFFSET(daily_original_wrong!$B$23, 1+2*(ROW(G195)-ROW($B$23)),COLUMN(G195)-2)</f>
        <v>0</v>
      </c>
      <c r="H195">
        <f ca="1">OFFSET(daily_original_wrong!$B$23, 2*(ROW(H195)-ROW($B$23)),COLUMN(H195)-2)+OFFSET(daily_original_wrong!$B$23, 1+2*(ROW(H195)-ROW($B$23)),COLUMN(H195)-2)</f>
        <v>0</v>
      </c>
      <c r="J195" t="str">
        <f t="shared" ref="J195:J258" si="20">"["</f>
        <v>[</v>
      </c>
      <c r="K195" t="str">
        <f t="shared" ref="K195:K258" ca="1" si="21">"["&amp;B195/2&amp;"],"</f>
        <v>[0],</v>
      </c>
      <c r="L195" t="str">
        <f t="shared" ca="1" si="19"/>
        <v>[0],</v>
      </c>
      <c r="M195" t="str">
        <f t="shared" ca="1" si="19"/>
        <v>[0],</v>
      </c>
      <c r="N195" t="str">
        <f t="shared" ca="1" si="19"/>
        <v>[0],</v>
      </c>
      <c r="O195" t="str">
        <f t="shared" ca="1" si="19"/>
        <v>[0],</v>
      </c>
      <c r="P195" t="str">
        <f t="shared" ca="1" si="19"/>
        <v>[0],</v>
      </c>
      <c r="Q195" t="str">
        <f t="shared" ref="Q195:Q258" ca="1" si="22">"["&amp;H195&amp;"]"</f>
        <v>[0]</v>
      </c>
      <c r="R195" t="str">
        <f t="shared" ref="R195:R258" si="23">"]"</f>
        <v>]</v>
      </c>
      <c r="S195" t="str">
        <f t="shared" ref="S195:S258" ca="1" si="24">J195&amp;K195&amp;L195&amp;M195&amp;N195&amp;O195&amp;P195&amp;Q195&amp;R195</f>
        <v>[[0],[0],[0],[0],[0],[0],[0]]</v>
      </c>
    </row>
    <row r="196" spans="1:19" x14ac:dyDescent="0.2">
      <c r="A196" s="1" t="d">
        <v>2026-02-26</v>
      </c>
      <c r="B196">
        <f ca="1">OFFSET(daily_original_wrong!$B$23, 2*(ROW(B196)-ROW($B$23)),COLUMN(B196)-2)+OFFSET(daily_original_wrong!$B$23, 1+2*(ROW(B196)-ROW($B$23)),COLUMN(B196)-2)</f>
        <v>0</v>
      </c>
      <c r="C196">
        <f ca="1">OFFSET(daily_original_wrong!$B$23, 2*(ROW(C196)-ROW($B$23)),COLUMN(C196)-2)+OFFSET(daily_original_wrong!$B$23, 1+2*(ROW(C196)-ROW($B$23)),COLUMN(C196)-2)</f>
        <v>0</v>
      </c>
      <c r="D196">
        <f ca="1">OFFSET(daily_original_wrong!$B$23, 2*(ROW(D196)-ROW($B$23)),COLUMN(D196)-2)+OFFSET(daily_original_wrong!$B$23, 1+2*(ROW(D196)-ROW($B$23)),COLUMN(D196)-2)</f>
        <v>0</v>
      </c>
      <c r="E196">
        <f ca="1">OFFSET(daily_original_wrong!$B$23, 2*(ROW(E196)-ROW($B$23)),COLUMN(E196)-2)+OFFSET(daily_original_wrong!$B$23, 1+2*(ROW(E196)-ROW($B$23)),COLUMN(E196)-2)</f>
        <v>0</v>
      </c>
      <c r="F196">
        <f ca="1">OFFSET(daily_original_wrong!$B$23, 2*(ROW(F196)-ROW($B$23)),COLUMN(F196)-2)+OFFSET(daily_original_wrong!$B$23, 1+2*(ROW(F196)-ROW($B$23)),COLUMN(F196)-2)</f>
        <v>0</v>
      </c>
      <c r="G196">
        <f ca="1">OFFSET(daily_original_wrong!$B$23, 2*(ROW(G196)-ROW($B$23)),COLUMN(G196)-2)+OFFSET(daily_original_wrong!$B$23, 1+2*(ROW(G196)-ROW($B$23)),COLUMN(G196)-2)</f>
        <v>0</v>
      </c>
      <c r="H196">
        <f ca="1">OFFSET(daily_original_wrong!$B$23, 2*(ROW(H196)-ROW($B$23)),COLUMN(H196)-2)+OFFSET(daily_original_wrong!$B$23, 1+2*(ROW(H196)-ROW($B$23)),COLUMN(H196)-2)</f>
        <v>0</v>
      </c>
      <c r="J196" t="str">
        <f t="shared" si="20"/>
        <v>[</v>
      </c>
      <c r="K196" t="str">
        <f t="shared" ca="1" si="21"/>
        <v>[0],</v>
      </c>
      <c r="L196" t="str">
        <f t="shared" ca="1" si="19"/>
        <v>[0],</v>
      </c>
      <c r="M196" t="str">
        <f t="shared" ca="1" si="19"/>
        <v>[0],</v>
      </c>
      <c r="N196" t="str">
        <f t="shared" ca="1" si="19"/>
        <v>[0],</v>
      </c>
      <c r="O196" t="str">
        <f t="shared" ca="1" si="19"/>
        <v>[0],</v>
      </c>
      <c r="P196" t="str">
        <f t="shared" ca="1" si="19"/>
        <v>[0],</v>
      </c>
      <c r="Q196" t="str">
        <f t="shared" ca="1" si="22"/>
        <v>[0]</v>
      </c>
      <c r="R196" t="str">
        <f t="shared" si="23"/>
        <v>]</v>
      </c>
      <c r="S196" t="str">
        <f t="shared" ca="1" si="24"/>
        <v>[[0],[0],[0],[0],[0],[0],[0]]</v>
      </c>
    </row>
    <row r="197" spans="1:19" x14ac:dyDescent="0.2">
      <c r="A197" s="1" t="d">
        <v>2026-02-27</v>
      </c>
      <c r="B197">
        <f ca="1">OFFSET(daily_original_wrong!$B$23, 2*(ROW(B197)-ROW($B$23)),COLUMN(B197)-2)+OFFSET(daily_original_wrong!$B$23, 1+2*(ROW(B197)-ROW($B$23)),COLUMN(B197)-2)</f>
        <v>0</v>
      </c>
      <c r="C197">
        <f ca="1">OFFSET(daily_original_wrong!$B$23, 2*(ROW(C197)-ROW($B$23)),COLUMN(C197)-2)+OFFSET(daily_original_wrong!$B$23, 1+2*(ROW(C197)-ROW($B$23)),COLUMN(C197)-2)</f>
        <v>0</v>
      </c>
      <c r="D197">
        <f ca="1">OFFSET(daily_original_wrong!$B$23, 2*(ROW(D197)-ROW($B$23)),COLUMN(D197)-2)+OFFSET(daily_original_wrong!$B$23, 1+2*(ROW(D197)-ROW($B$23)),COLUMN(D197)-2)</f>
        <v>0</v>
      </c>
      <c r="E197">
        <f ca="1">OFFSET(daily_original_wrong!$B$23, 2*(ROW(E197)-ROW($B$23)),COLUMN(E197)-2)+OFFSET(daily_original_wrong!$B$23, 1+2*(ROW(E197)-ROW($B$23)),COLUMN(E197)-2)</f>
        <v>0</v>
      </c>
      <c r="F197">
        <f ca="1">OFFSET(daily_original_wrong!$B$23, 2*(ROW(F197)-ROW($B$23)),COLUMN(F197)-2)+OFFSET(daily_original_wrong!$B$23, 1+2*(ROW(F197)-ROW($B$23)),COLUMN(F197)-2)</f>
        <v>0</v>
      </c>
      <c r="G197">
        <f ca="1">OFFSET(daily_original_wrong!$B$23, 2*(ROW(G197)-ROW($B$23)),COLUMN(G197)-2)+OFFSET(daily_original_wrong!$B$23, 1+2*(ROW(G197)-ROW($B$23)),COLUMN(G197)-2)</f>
        <v>0</v>
      </c>
      <c r="H197">
        <f ca="1">OFFSET(daily_original_wrong!$B$23, 2*(ROW(H197)-ROW($B$23)),COLUMN(H197)-2)+OFFSET(daily_original_wrong!$B$23, 1+2*(ROW(H197)-ROW($B$23)),COLUMN(H197)-2)</f>
        <v>0</v>
      </c>
      <c r="J197" t="str">
        <f t="shared" si="20"/>
        <v>[</v>
      </c>
      <c r="K197" t="str">
        <f t="shared" ca="1" si="21"/>
        <v>[0],</v>
      </c>
      <c r="L197" t="str">
        <f t="shared" ca="1" si="19"/>
        <v>[0],</v>
      </c>
      <c r="M197" t="str">
        <f t="shared" ca="1" si="19"/>
        <v>[0],</v>
      </c>
      <c r="N197" t="str">
        <f t="shared" ca="1" si="19"/>
        <v>[0],</v>
      </c>
      <c r="O197" t="str">
        <f t="shared" ca="1" si="19"/>
        <v>[0],</v>
      </c>
      <c r="P197" t="str">
        <f t="shared" ca="1" si="19"/>
        <v>[0],</v>
      </c>
      <c r="Q197" t="str">
        <f t="shared" ca="1" si="22"/>
        <v>[0]</v>
      </c>
      <c r="R197" t="str">
        <f t="shared" si="23"/>
        <v>]</v>
      </c>
      <c r="S197" t="str">
        <f t="shared" ca="1" si="24"/>
        <v>[[0],[0],[0],[0],[0],[0],[0]]</v>
      </c>
    </row>
    <row r="198" spans="1:19" x14ac:dyDescent="0.2">
      <c r="A198" s="1" t="d">
        <v>2026-02-28</v>
      </c>
      <c r="B198">
        <f ca="1">OFFSET(daily_original_wrong!$B$23, 2*(ROW(B198)-ROW($B$23)),COLUMN(B198)-2)+OFFSET(daily_original_wrong!$B$23, 1+2*(ROW(B198)-ROW($B$23)),COLUMN(B198)-2)</f>
        <v>0</v>
      </c>
      <c r="C198">
        <f ca="1">OFFSET(daily_original_wrong!$B$23, 2*(ROW(C198)-ROW($B$23)),COLUMN(C198)-2)+OFFSET(daily_original_wrong!$B$23, 1+2*(ROW(C198)-ROW($B$23)),COLUMN(C198)-2)</f>
        <v>0</v>
      </c>
      <c r="D198">
        <f ca="1">OFFSET(daily_original_wrong!$B$23, 2*(ROW(D198)-ROW($B$23)),COLUMN(D198)-2)+OFFSET(daily_original_wrong!$B$23, 1+2*(ROW(D198)-ROW($B$23)),COLUMN(D198)-2)</f>
        <v>0</v>
      </c>
      <c r="E198">
        <f ca="1">OFFSET(daily_original_wrong!$B$23, 2*(ROW(E198)-ROW($B$23)),COLUMN(E198)-2)+OFFSET(daily_original_wrong!$B$23, 1+2*(ROW(E198)-ROW($B$23)),COLUMN(E198)-2)</f>
        <v>0</v>
      </c>
      <c r="F198">
        <f ca="1">OFFSET(daily_original_wrong!$B$23, 2*(ROW(F198)-ROW($B$23)),COLUMN(F198)-2)+OFFSET(daily_original_wrong!$B$23, 1+2*(ROW(F198)-ROW($B$23)),COLUMN(F198)-2)</f>
        <v>0</v>
      </c>
      <c r="G198">
        <f ca="1">OFFSET(daily_original_wrong!$B$23, 2*(ROW(G198)-ROW($B$23)),COLUMN(G198)-2)+OFFSET(daily_original_wrong!$B$23, 1+2*(ROW(G198)-ROW($B$23)),COLUMN(G198)-2)</f>
        <v>0</v>
      </c>
      <c r="H198">
        <f ca="1">OFFSET(daily_original_wrong!$B$23, 2*(ROW(H198)-ROW($B$23)),COLUMN(H198)-2)+OFFSET(daily_original_wrong!$B$23, 1+2*(ROW(H198)-ROW($B$23)),COLUMN(H198)-2)</f>
        <v>0</v>
      </c>
      <c r="J198" t="str">
        <f t="shared" si="20"/>
        <v>[</v>
      </c>
      <c r="K198" t="str">
        <f t="shared" ca="1" si="21"/>
        <v>[0],</v>
      </c>
      <c r="L198" t="str">
        <f t="shared" ca="1" si="19"/>
        <v>[0],</v>
      </c>
      <c r="M198" t="str">
        <f t="shared" ca="1" si="19"/>
        <v>[0],</v>
      </c>
      <c r="N198" t="str">
        <f t="shared" ca="1" si="19"/>
        <v>[0],</v>
      </c>
      <c r="O198" t="str">
        <f t="shared" ca="1" si="19"/>
        <v>[0],</v>
      </c>
      <c r="P198" t="str">
        <f t="shared" ca="1" si="19"/>
        <v>[0],</v>
      </c>
      <c r="Q198" t="str">
        <f t="shared" ca="1" si="22"/>
        <v>[0]</v>
      </c>
      <c r="R198" t="str">
        <f t="shared" si="23"/>
        <v>]</v>
      </c>
      <c r="S198" t="str">
        <f t="shared" ca="1" si="24"/>
        <v>[[0],[0],[0],[0],[0],[0],[0]]</v>
      </c>
    </row>
    <row r="199" spans="1:19" x14ac:dyDescent="0.2">
      <c r="A199" s="1" t="d">
        <v>2026-03-01</v>
      </c>
      <c r="B199">
        <f ca="1">OFFSET(daily_original_wrong!$B$23, 2*(ROW(B199)-ROW($B$23)),COLUMN(B199)-2)+OFFSET(daily_original_wrong!$B$23, 1+2*(ROW(B199)-ROW($B$23)),COLUMN(B199)-2)</f>
        <v>0</v>
      </c>
      <c r="C199">
        <f ca="1">OFFSET(daily_original_wrong!$B$23, 2*(ROW(C199)-ROW($B$23)),COLUMN(C199)-2)+OFFSET(daily_original_wrong!$B$23, 1+2*(ROW(C199)-ROW($B$23)),COLUMN(C199)-2)</f>
        <v>0</v>
      </c>
      <c r="D199">
        <f ca="1">OFFSET(daily_original_wrong!$B$23, 2*(ROW(D199)-ROW($B$23)),COLUMN(D199)-2)+OFFSET(daily_original_wrong!$B$23, 1+2*(ROW(D199)-ROW($B$23)),COLUMN(D199)-2)</f>
        <v>0</v>
      </c>
      <c r="E199">
        <f ca="1">OFFSET(daily_original_wrong!$B$23, 2*(ROW(E199)-ROW($B$23)),COLUMN(E199)-2)+OFFSET(daily_original_wrong!$B$23, 1+2*(ROW(E199)-ROW($B$23)),COLUMN(E199)-2)</f>
        <v>0</v>
      </c>
      <c r="F199">
        <f ca="1">OFFSET(daily_original_wrong!$B$23, 2*(ROW(F199)-ROW($B$23)),COLUMN(F199)-2)+OFFSET(daily_original_wrong!$B$23, 1+2*(ROW(F199)-ROW($B$23)),COLUMN(F199)-2)</f>
        <v>0</v>
      </c>
      <c r="G199">
        <f ca="1">OFFSET(daily_original_wrong!$B$23, 2*(ROW(G199)-ROW($B$23)),COLUMN(G199)-2)+OFFSET(daily_original_wrong!$B$23, 1+2*(ROW(G199)-ROW($B$23)),COLUMN(G199)-2)</f>
        <v>0</v>
      </c>
      <c r="H199">
        <f ca="1">OFFSET(daily_original_wrong!$B$23, 2*(ROW(H199)-ROW($B$23)),COLUMN(H199)-2)+OFFSET(daily_original_wrong!$B$23, 1+2*(ROW(H199)-ROW($B$23)),COLUMN(H199)-2)</f>
        <v>0</v>
      </c>
      <c r="J199" t="str">
        <f t="shared" si="20"/>
        <v>[</v>
      </c>
      <c r="K199" t="str">
        <f t="shared" ca="1" si="21"/>
        <v>[0],</v>
      </c>
      <c r="L199" t="str">
        <f t="shared" ca="1" si="19"/>
        <v>[0],</v>
      </c>
      <c r="M199" t="str">
        <f t="shared" ca="1" si="19"/>
        <v>[0],</v>
      </c>
      <c r="N199" t="str">
        <f t="shared" ca="1" si="19"/>
        <v>[0],</v>
      </c>
      <c r="O199" t="str">
        <f t="shared" ca="1" si="19"/>
        <v>[0],</v>
      </c>
      <c r="P199" t="str">
        <f t="shared" ca="1" si="19"/>
        <v>[0],</v>
      </c>
      <c r="Q199" t="str">
        <f t="shared" ca="1" si="22"/>
        <v>[0]</v>
      </c>
      <c r="R199" t="str">
        <f t="shared" si="23"/>
        <v>]</v>
      </c>
      <c r="S199" t="str">
        <f t="shared" ca="1" si="24"/>
        <v>[[0],[0],[0],[0],[0],[0],[0]]</v>
      </c>
    </row>
    <row r="200" spans="1:19" x14ac:dyDescent="0.2">
      <c r="A200" s="1" t="d">
        <v>2026-03-02</v>
      </c>
      <c r="B200">
        <f ca="1">OFFSET(daily_original_wrong!$B$23, 2*(ROW(B200)-ROW($B$23)),COLUMN(B200)-2)+OFFSET(daily_original_wrong!$B$23, 1+2*(ROW(B200)-ROW($B$23)),COLUMN(B200)-2)</f>
        <v>0</v>
      </c>
      <c r="C200">
        <f ca="1">OFFSET(daily_original_wrong!$B$23, 2*(ROW(C200)-ROW($B$23)),COLUMN(C200)-2)+OFFSET(daily_original_wrong!$B$23, 1+2*(ROW(C200)-ROW($B$23)),COLUMN(C200)-2)</f>
        <v>0</v>
      </c>
      <c r="D200">
        <f ca="1">OFFSET(daily_original_wrong!$B$23, 2*(ROW(D200)-ROW($B$23)),COLUMN(D200)-2)+OFFSET(daily_original_wrong!$B$23, 1+2*(ROW(D200)-ROW($B$23)),COLUMN(D200)-2)</f>
        <v>0</v>
      </c>
      <c r="E200">
        <f ca="1">OFFSET(daily_original_wrong!$B$23, 2*(ROW(E200)-ROW($B$23)),COLUMN(E200)-2)+OFFSET(daily_original_wrong!$B$23, 1+2*(ROW(E200)-ROW($B$23)),COLUMN(E200)-2)</f>
        <v>0</v>
      </c>
      <c r="F200">
        <f ca="1">OFFSET(daily_original_wrong!$B$23, 2*(ROW(F200)-ROW($B$23)),COLUMN(F200)-2)+OFFSET(daily_original_wrong!$B$23, 1+2*(ROW(F200)-ROW($B$23)),COLUMN(F200)-2)</f>
        <v>0</v>
      </c>
      <c r="G200">
        <f ca="1">OFFSET(daily_original_wrong!$B$23, 2*(ROW(G200)-ROW($B$23)),COLUMN(G200)-2)+OFFSET(daily_original_wrong!$B$23, 1+2*(ROW(G200)-ROW($B$23)),COLUMN(G200)-2)</f>
        <v>0</v>
      </c>
      <c r="H200">
        <f ca="1">OFFSET(daily_original_wrong!$B$23, 2*(ROW(H200)-ROW($B$23)),COLUMN(H200)-2)+OFFSET(daily_original_wrong!$B$23, 1+2*(ROW(H200)-ROW($B$23)),COLUMN(H200)-2)</f>
        <v>0</v>
      </c>
      <c r="J200" t="str">
        <f t="shared" si="20"/>
        <v>[</v>
      </c>
      <c r="K200" t="str">
        <f t="shared" ca="1" si="21"/>
        <v>[0],</v>
      </c>
      <c r="L200" t="str">
        <f t="shared" ca="1" si="19"/>
        <v>[0],</v>
      </c>
      <c r="M200" t="str">
        <f t="shared" ca="1" si="19"/>
        <v>[0],</v>
      </c>
      <c r="N200" t="str">
        <f t="shared" ca="1" si="19"/>
        <v>[0],</v>
      </c>
      <c r="O200" t="str">
        <f t="shared" ca="1" si="19"/>
        <v>[0],</v>
      </c>
      <c r="P200" t="str">
        <f t="shared" ca="1" si="19"/>
        <v>[0],</v>
      </c>
      <c r="Q200" t="str">
        <f t="shared" ca="1" si="22"/>
        <v>[0]</v>
      </c>
      <c r="R200" t="str">
        <f t="shared" si="23"/>
        <v>]</v>
      </c>
      <c r="S200" t="str">
        <f t="shared" ca="1" si="24"/>
        <v>[[0],[0],[0],[0],[0],[0],[0]]</v>
      </c>
    </row>
    <row r="201" spans="1:19" x14ac:dyDescent="0.2">
      <c r="A201" s="1" t="d">
        <v>2026-03-03</v>
      </c>
      <c r="B201">
        <f ca="1">OFFSET(daily_original_wrong!$B$23, 2*(ROW(B201)-ROW($B$23)),COLUMN(B201)-2)+OFFSET(daily_original_wrong!$B$23, 1+2*(ROW(B201)-ROW($B$23)),COLUMN(B201)-2)</f>
        <v>0</v>
      </c>
      <c r="C201">
        <f ca="1">OFFSET(daily_original_wrong!$B$23, 2*(ROW(C201)-ROW($B$23)),COLUMN(C201)-2)+OFFSET(daily_original_wrong!$B$23, 1+2*(ROW(C201)-ROW($B$23)),COLUMN(C201)-2)</f>
        <v>0</v>
      </c>
      <c r="D201">
        <f ca="1">OFFSET(daily_original_wrong!$B$23, 2*(ROW(D201)-ROW($B$23)),COLUMN(D201)-2)+OFFSET(daily_original_wrong!$B$23, 1+2*(ROW(D201)-ROW($B$23)),COLUMN(D201)-2)</f>
        <v>0</v>
      </c>
      <c r="E201">
        <f ca="1">OFFSET(daily_original_wrong!$B$23, 2*(ROW(E201)-ROW($B$23)),COLUMN(E201)-2)+OFFSET(daily_original_wrong!$B$23, 1+2*(ROW(E201)-ROW($B$23)),COLUMN(E201)-2)</f>
        <v>0</v>
      </c>
      <c r="F201">
        <f ca="1">OFFSET(daily_original_wrong!$B$23, 2*(ROW(F201)-ROW($B$23)),COLUMN(F201)-2)+OFFSET(daily_original_wrong!$B$23, 1+2*(ROW(F201)-ROW($B$23)),COLUMN(F201)-2)</f>
        <v>0</v>
      </c>
      <c r="G201">
        <f ca="1">OFFSET(daily_original_wrong!$B$23, 2*(ROW(G201)-ROW($B$23)),COLUMN(G201)-2)+OFFSET(daily_original_wrong!$B$23, 1+2*(ROW(G201)-ROW($B$23)),COLUMN(G201)-2)</f>
        <v>0</v>
      </c>
      <c r="H201">
        <f ca="1">OFFSET(daily_original_wrong!$B$23, 2*(ROW(H201)-ROW($B$23)),COLUMN(H201)-2)+OFFSET(daily_original_wrong!$B$23, 1+2*(ROW(H201)-ROW($B$23)),COLUMN(H201)-2)</f>
        <v>0</v>
      </c>
      <c r="J201" t="str">
        <f t="shared" si="20"/>
        <v>[</v>
      </c>
      <c r="K201" t="str">
        <f t="shared" ca="1" si="21"/>
        <v>[0],</v>
      </c>
      <c r="L201" t="str">
        <f t="shared" ca="1" si="19"/>
        <v>[0],</v>
      </c>
      <c r="M201" t="str">
        <f t="shared" ca="1" si="19"/>
        <v>[0],</v>
      </c>
      <c r="N201" t="str">
        <f t="shared" ca="1" si="19"/>
        <v>[0],</v>
      </c>
      <c r="O201" t="str">
        <f t="shared" ca="1" si="19"/>
        <v>[0],</v>
      </c>
      <c r="P201" t="str">
        <f t="shared" ca="1" si="19"/>
        <v>[0],</v>
      </c>
      <c r="Q201" t="str">
        <f t="shared" ca="1" si="22"/>
        <v>[0]</v>
      </c>
      <c r="R201" t="str">
        <f t="shared" si="23"/>
        <v>]</v>
      </c>
      <c r="S201" t="str">
        <f t="shared" ca="1" si="24"/>
        <v>[[0],[0],[0],[0],[0],[0],[0]]</v>
      </c>
    </row>
    <row r="202" spans="1:19" x14ac:dyDescent="0.2">
      <c r="A202" s="1" t="d">
        <v>2026-03-04</v>
      </c>
      <c r="B202">
        <f ca="1">OFFSET(daily_original_wrong!$B$23, 2*(ROW(B202)-ROW($B$23)),COLUMN(B202)-2)+OFFSET(daily_original_wrong!$B$23, 1+2*(ROW(B202)-ROW($B$23)),COLUMN(B202)-2)</f>
        <v>0</v>
      </c>
      <c r="C202">
        <f ca="1">OFFSET(daily_original_wrong!$B$23, 2*(ROW(C202)-ROW($B$23)),COLUMN(C202)-2)+OFFSET(daily_original_wrong!$B$23, 1+2*(ROW(C202)-ROW($B$23)),COLUMN(C202)-2)</f>
        <v>0</v>
      </c>
      <c r="D202">
        <f ca="1">OFFSET(daily_original_wrong!$B$23, 2*(ROW(D202)-ROW($B$23)),COLUMN(D202)-2)+OFFSET(daily_original_wrong!$B$23, 1+2*(ROW(D202)-ROW($B$23)),COLUMN(D202)-2)</f>
        <v>0</v>
      </c>
      <c r="E202">
        <f ca="1">OFFSET(daily_original_wrong!$B$23, 2*(ROW(E202)-ROW($B$23)),COLUMN(E202)-2)+OFFSET(daily_original_wrong!$B$23, 1+2*(ROW(E202)-ROW($B$23)),COLUMN(E202)-2)</f>
        <v>0</v>
      </c>
      <c r="F202">
        <f ca="1">OFFSET(daily_original_wrong!$B$23, 2*(ROW(F202)-ROW($B$23)),COLUMN(F202)-2)+OFFSET(daily_original_wrong!$B$23, 1+2*(ROW(F202)-ROW($B$23)),COLUMN(F202)-2)</f>
        <v>0</v>
      </c>
      <c r="G202">
        <f ca="1">OFFSET(daily_original_wrong!$B$23, 2*(ROW(G202)-ROW($B$23)),COLUMN(G202)-2)+OFFSET(daily_original_wrong!$B$23, 1+2*(ROW(G202)-ROW($B$23)),COLUMN(G202)-2)</f>
        <v>0</v>
      </c>
      <c r="H202">
        <f ca="1">OFFSET(daily_original_wrong!$B$23, 2*(ROW(H202)-ROW($B$23)),COLUMN(H202)-2)+OFFSET(daily_original_wrong!$B$23, 1+2*(ROW(H202)-ROW($B$23)),COLUMN(H202)-2)</f>
        <v>0</v>
      </c>
      <c r="J202" t="str">
        <f t="shared" si="20"/>
        <v>[</v>
      </c>
      <c r="K202" t="str">
        <f t="shared" ca="1" si="21"/>
        <v>[0],</v>
      </c>
      <c r="L202" t="str">
        <f t="shared" ca="1" si="19"/>
        <v>[0],</v>
      </c>
      <c r="M202" t="str">
        <f t="shared" ca="1" si="19"/>
        <v>[0],</v>
      </c>
      <c r="N202" t="str">
        <f t="shared" ca="1" si="19"/>
        <v>[0],</v>
      </c>
      <c r="O202" t="str">
        <f t="shared" ca="1" si="19"/>
        <v>[0],</v>
      </c>
      <c r="P202" t="str">
        <f t="shared" ca="1" si="19"/>
        <v>[0],</v>
      </c>
      <c r="Q202" t="str">
        <f t="shared" ca="1" si="22"/>
        <v>[0]</v>
      </c>
      <c r="R202" t="str">
        <f t="shared" si="23"/>
        <v>]</v>
      </c>
      <c r="S202" t="str">
        <f t="shared" ca="1" si="24"/>
        <v>[[0],[0],[0],[0],[0],[0],[0]]</v>
      </c>
    </row>
    <row r="203" spans="1:19" x14ac:dyDescent="0.2">
      <c r="A203" s="1" t="d">
        <v>2026-03-05</v>
      </c>
      <c r="B203">
        <f ca="1">OFFSET(daily_original_wrong!$B$23, 2*(ROW(B203)-ROW($B$23)),COLUMN(B203)-2)+OFFSET(daily_original_wrong!$B$23, 1+2*(ROW(B203)-ROW($B$23)),COLUMN(B203)-2)</f>
        <v>0</v>
      </c>
      <c r="C203">
        <f ca="1">OFFSET(daily_original_wrong!$B$23, 2*(ROW(C203)-ROW($B$23)),COLUMN(C203)-2)+OFFSET(daily_original_wrong!$B$23, 1+2*(ROW(C203)-ROW($B$23)),COLUMN(C203)-2)</f>
        <v>0</v>
      </c>
      <c r="D203">
        <f ca="1">OFFSET(daily_original_wrong!$B$23, 2*(ROW(D203)-ROW($B$23)),COLUMN(D203)-2)+OFFSET(daily_original_wrong!$B$23, 1+2*(ROW(D203)-ROW($B$23)),COLUMN(D203)-2)</f>
        <v>0</v>
      </c>
      <c r="E203">
        <f ca="1">OFFSET(daily_original_wrong!$B$23, 2*(ROW(E203)-ROW($B$23)),COLUMN(E203)-2)+OFFSET(daily_original_wrong!$B$23, 1+2*(ROW(E203)-ROW($B$23)),COLUMN(E203)-2)</f>
        <v>0</v>
      </c>
      <c r="F203">
        <f ca="1">OFFSET(daily_original_wrong!$B$23, 2*(ROW(F203)-ROW($B$23)),COLUMN(F203)-2)+OFFSET(daily_original_wrong!$B$23, 1+2*(ROW(F203)-ROW($B$23)),COLUMN(F203)-2)</f>
        <v>0</v>
      </c>
      <c r="G203">
        <f ca="1">OFFSET(daily_original_wrong!$B$23, 2*(ROW(G203)-ROW($B$23)),COLUMN(G203)-2)+OFFSET(daily_original_wrong!$B$23, 1+2*(ROW(G203)-ROW($B$23)),COLUMN(G203)-2)</f>
        <v>0</v>
      </c>
      <c r="H203">
        <f ca="1">OFFSET(daily_original_wrong!$B$23, 2*(ROW(H203)-ROW($B$23)),COLUMN(H203)-2)+OFFSET(daily_original_wrong!$B$23, 1+2*(ROW(H203)-ROW($B$23)),COLUMN(H203)-2)</f>
        <v>0</v>
      </c>
      <c r="J203" t="str">
        <f t="shared" si="20"/>
        <v>[</v>
      </c>
      <c r="K203" t="str">
        <f t="shared" ca="1" si="21"/>
        <v>[0],</v>
      </c>
      <c r="L203" t="str">
        <f t="shared" ca="1" si="19"/>
        <v>[0],</v>
      </c>
      <c r="M203" t="str">
        <f t="shared" ca="1" si="19"/>
        <v>[0],</v>
      </c>
      <c r="N203" t="str">
        <f t="shared" ca="1" si="19"/>
        <v>[0],</v>
      </c>
      <c r="O203" t="str">
        <f t="shared" ca="1" si="19"/>
        <v>[0],</v>
      </c>
      <c r="P203" t="str">
        <f t="shared" ca="1" si="19"/>
        <v>[0],</v>
      </c>
      <c r="Q203" t="str">
        <f t="shared" ca="1" si="22"/>
        <v>[0]</v>
      </c>
      <c r="R203" t="str">
        <f t="shared" si="23"/>
        <v>]</v>
      </c>
      <c r="S203" t="str">
        <f t="shared" ca="1" si="24"/>
        <v>[[0],[0],[0],[0],[0],[0],[0]]</v>
      </c>
    </row>
    <row r="204" spans="1:19" x14ac:dyDescent="0.2">
      <c r="A204" s="1" t="d">
        <v>2026-03-06</v>
      </c>
      <c r="B204">
        <f ca="1">OFFSET(daily_original_wrong!$B$23, 2*(ROW(B204)-ROW($B$23)),COLUMN(B204)-2)+OFFSET(daily_original_wrong!$B$23, 1+2*(ROW(B204)-ROW($B$23)),COLUMN(B204)-2)</f>
        <v>0</v>
      </c>
      <c r="C204">
        <f ca="1">OFFSET(daily_original_wrong!$B$23, 2*(ROW(C204)-ROW($B$23)),COLUMN(C204)-2)+OFFSET(daily_original_wrong!$B$23, 1+2*(ROW(C204)-ROW($B$23)),COLUMN(C204)-2)</f>
        <v>0</v>
      </c>
      <c r="D204">
        <f ca="1">OFFSET(daily_original_wrong!$B$23, 2*(ROW(D204)-ROW($B$23)),COLUMN(D204)-2)+OFFSET(daily_original_wrong!$B$23, 1+2*(ROW(D204)-ROW($B$23)),COLUMN(D204)-2)</f>
        <v>0</v>
      </c>
      <c r="E204">
        <f ca="1">OFFSET(daily_original_wrong!$B$23, 2*(ROW(E204)-ROW($B$23)),COLUMN(E204)-2)+OFFSET(daily_original_wrong!$B$23, 1+2*(ROW(E204)-ROW($B$23)),COLUMN(E204)-2)</f>
        <v>0</v>
      </c>
      <c r="F204">
        <f ca="1">OFFSET(daily_original_wrong!$B$23, 2*(ROW(F204)-ROW($B$23)),COLUMN(F204)-2)+OFFSET(daily_original_wrong!$B$23, 1+2*(ROW(F204)-ROW($B$23)),COLUMN(F204)-2)</f>
        <v>0</v>
      </c>
      <c r="G204">
        <f ca="1">OFFSET(daily_original_wrong!$B$23, 2*(ROW(G204)-ROW($B$23)),COLUMN(G204)-2)+OFFSET(daily_original_wrong!$B$23, 1+2*(ROW(G204)-ROW($B$23)),COLUMN(G204)-2)</f>
        <v>0</v>
      </c>
      <c r="H204">
        <f ca="1">OFFSET(daily_original_wrong!$B$23, 2*(ROW(H204)-ROW($B$23)),COLUMN(H204)-2)+OFFSET(daily_original_wrong!$B$23, 1+2*(ROW(H204)-ROW($B$23)),COLUMN(H204)-2)</f>
        <v>0</v>
      </c>
      <c r="J204" t="str">
        <f t="shared" si="20"/>
        <v>[</v>
      </c>
      <c r="K204" t="str">
        <f t="shared" ca="1" si="21"/>
        <v>[0],</v>
      </c>
      <c r="L204" t="str">
        <f t="shared" ca="1" si="19"/>
        <v>[0],</v>
      </c>
      <c r="M204" t="str">
        <f t="shared" ca="1" si="19"/>
        <v>[0],</v>
      </c>
      <c r="N204" t="str">
        <f t="shared" ca="1" si="19"/>
        <v>[0],</v>
      </c>
      <c r="O204" t="str">
        <f t="shared" ca="1" si="19"/>
        <v>[0],</v>
      </c>
      <c r="P204" t="str">
        <f t="shared" ca="1" si="19"/>
        <v>[0],</v>
      </c>
      <c r="Q204" t="str">
        <f t="shared" ca="1" si="22"/>
        <v>[0]</v>
      </c>
      <c r="R204" t="str">
        <f t="shared" si="23"/>
        <v>]</v>
      </c>
      <c r="S204" t="str">
        <f t="shared" ca="1" si="24"/>
        <v>[[0],[0],[0],[0],[0],[0],[0]]</v>
      </c>
    </row>
    <row r="205" spans="1:19" x14ac:dyDescent="0.2">
      <c r="A205" s="1" t="d">
        <v>2026-03-07</v>
      </c>
      <c r="B205">
        <f ca="1">OFFSET(daily_original_wrong!$B$23, 2*(ROW(B205)-ROW($B$23)),COLUMN(B205)-2)+OFFSET(daily_original_wrong!$B$23, 1+2*(ROW(B205)-ROW($B$23)),COLUMN(B205)-2)</f>
        <v>0</v>
      </c>
      <c r="C205">
        <f ca="1">OFFSET(daily_original_wrong!$B$23, 2*(ROW(C205)-ROW($B$23)),COLUMN(C205)-2)+OFFSET(daily_original_wrong!$B$23, 1+2*(ROW(C205)-ROW($B$23)),COLUMN(C205)-2)</f>
        <v>0</v>
      </c>
      <c r="D205">
        <f ca="1">OFFSET(daily_original_wrong!$B$23, 2*(ROW(D205)-ROW($B$23)),COLUMN(D205)-2)+OFFSET(daily_original_wrong!$B$23, 1+2*(ROW(D205)-ROW($B$23)),COLUMN(D205)-2)</f>
        <v>0</v>
      </c>
      <c r="E205">
        <f ca="1">OFFSET(daily_original_wrong!$B$23, 2*(ROW(E205)-ROW($B$23)),COLUMN(E205)-2)+OFFSET(daily_original_wrong!$B$23, 1+2*(ROW(E205)-ROW($B$23)),COLUMN(E205)-2)</f>
        <v>0</v>
      </c>
      <c r="F205">
        <f ca="1">OFFSET(daily_original_wrong!$B$23, 2*(ROW(F205)-ROW($B$23)),COLUMN(F205)-2)+OFFSET(daily_original_wrong!$B$23, 1+2*(ROW(F205)-ROW($B$23)),COLUMN(F205)-2)</f>
        <v>0</v>
      </c>
      <c r="G205">
        <f ca="1">OFFSET(daily_original_wrong!$B$23, 2*(ROW(G205)-ROW($B$23)),COLUMN(G205)-2)+OFFSET(daily_original_wrong!$B$23, 1+2*(ROW(G205)-ROW($B$23)),COLUMN(G205)-2)</f>
        <v>0</v>
      </c>
      <c r="H205">
        <f ca="1">OFFSET(daily_original_wrong!$B$23, 2*(ROW(H205)-ROW($B$23)),COLUMN(H205)-2)+OFFSET(daily_original_wrong!$B$23, 1+2*(ROW(H205)-ROW($B$23)),COLUMN(H205)-2)</f>
        <v>0</v>
      </c>
      <c r="J205" t="str">
        <f t="shared" si="20"/>
        <v>[</v>
      </c>
      <c r="K205" t="str">
        <f t="shared" ca="1" si="21"/>
        <v>[0],</v>
      </c>
      <c r="L205" t="str">
        <f t="shared" ca="1" si="19"/>
        <v>[0],</v>
      </c>
      <c r="M205" t="str">
        <f t="shared" ca="1" si="19"/>
        <v>[0],</v>
      </c>
      <c r="N205" t="str">
        <f t="shared" ca="1" si="19"/>
        <v>[0],</v>
      </c>
      <c r="O205" t="str">
        <f t="shared" ca="1" si="19"/>
        <v>[0],</v>
      </c>
      <c r="P205" t="str">
        <f t="shared" ca="1" si="19"/>
        <v>[0],</v>
      </c>
      <c r="Q205" t="str">
        <f t="shared" ca="1" si="22"/>
        <v>[0]</v>
      </c>
      <c r="R205" t="str">
        <f t="shared" si="23"/>
        <v>]</v>
      </c>
      <c r="S205" t="str">
        <f t="shared" ca="1" si="24"/>
        <v>[[0],[0],[0],[0],[0],[0],[0]]</v>
      </c>
    </row>
    <row r="206" spans="1:19" x14ac:dyDescent="0.2">
      <c r="A206" s="1" t="d">
        <v>2026-03-08</v>
      </c>
      <c r="B206">
        <f ca="1">OFFSET(daily_original_wrong!$B$23, 2*(ROW(B206)-ROW($B$23)),COLUMN(B206)-2)+OFFSET(daily_original_wrong!$B$23, 1+2*(ROW(B206)-ROW($B$23)),COLUMN(B206)-2)</f>
        <v>0</v>
      </c>
      <c r="C206">
        <f ca="1">OFFSET(daily_original_wrong!$B$23, 2*(ROW(C206)-ROW($B$23)),COLUMN(C206)-2)+OFFSET(daily_original_wrong!$B$23, 1+2*(ROW(C206)-ROW($B$23)),COLUMN(C206)-2)</f>
        <v>0</v>
      </c>
      <c r="D206">
        <f ca="1">OFFSET(daily_original_wrong!$B$23, 2*(ROW(D206)-ROW($B$23)),COLUMN(D206)-2)+OFFSET(daily_original_wrong!$B$23, 1+2*(ROW(D206)-ROW($B$23)),COLUMN(D206)-2)</f>
        <v>0</v>
      </c>
      <c r="E206">
        <f ca="1">OFFSET(daily_original_wrong!$B$23, 2*(ROW(E206)-ROW($B$23)),COLUMN(E206)-2)+OFFSET(daily_original_wrong!$B$23, 1+2*(ROW(E206)-ROW($B$23)),COLUMN(E206)-2)</f>
        <v>0</v>
      </c>
      <c r="F206">
        <f ca="1">OFFSET(daily_original_wrong!$B$23, 2*(ROW(F206)-ROW($B$23)),COLUMN(F206)-2)+OFFSET(daily_original_wrong!$B$23, 1+2*(ROW(F206)-ROW($B$23)),COLUMN(F206)-2)</f>
        <v>0</v>
      </c>
      <c r="G206">
        <f ca="1">OFFSET(daily_original_wrong!$B$23, 2*(ROW(G206)-ROW($B$23)),COLUMN(G206)-2)+OFFSET(daily_original_wrong!$B$23, 1+2*(ROW(G206)-ROW($B$23)),COLUMN(G206)-2)</f>
        <v>0</v>
      </c>
      <c r="H206">
        <f ca="1">OFFSET(daily_original_wrong!$B$23, 2*(ROW(H206)-ROW($B$23)),COLUMN(H206)-2)+OFFSET(daily_original_wrong!$B$23, 1+2*(ROW(H206)-ROW($B$23)),COLUMN(H206)-2)</f>
        <v>0</v>
      </c>
      <c r="J206" t="str">
        <f t="shared" si="20"/>
        <v>[</v>
      </c>
      <c r="K206" t="str">
        <f t="shared" ca="1" si="21"/>
        <v>[0],</v>
      </c>
      <c r="L206" t="str">
        <f t="shared" ca="1" si="19"/>
        <v>[0],</v>
      </c>
      <c r="M206" t="str">
        <f t="shared" ca="1" si="19"/>
        <v>[0],</v>
      </c>
      <c r="N206" t="str">
        <f t="shared" ca="1" si="19"/>
        <v>[0],</v>
      </c>
      <c r="O206" t="str">
        <f t="shared" ca="1" si="19"/>
        <v>[0],</v>
      </c>
      <c r="P206" t="str">
        <f t="shared" ca="1" si="19"/>
        <v>[0],</v>
      </c>
      <c r="Q206" t="str">
        <f t="shared" ca="1" si="22"/>
        <v>[0]</v>
      </c>
      <c r="R206" t="str">
        <f t="shared" si="23"/>
        <v>]</v>
      </c>
      <c r="S206" t="str">
        <f t="shared" ca="1" si="24"/>
        <v>[[0],[0],[0],[0],[0],[0],[0]]</v>
      </c>
    </row>
    <row r="207" spans="1:19" x14ac:dyDescent="0.2">
      <c r="A207" s="1" t="d">
        <v>2026-03-09</v>
      </c>
      <c r="B207">
        <f ca="1">OFFSET(daily_original_wrong!$B$23, 2*(ROW(B207)-ROW($B$23)),COLUMN(B207)-2)+OFFSET(daily_original_wrong!$B$23, 1+2*(ROW(B207)-ROW($B$23)),COLUMN(B207)-2)</f>
        <v>0</v>
      </c>
      <c r="C207">
        <f ca="1">OFFSET(daily_original_wrong!$B$23, 2*(ROW(C207)-ROW($B$23)),COLUMN(C207)-2)+OFFSET(daily_original_wrong!$B$23, 1+2*(ROW(C207)-ROW($B$23)),COLUMN(C207)-2)</f>
        <v>0</v>
      </c>
      <c r="D207">
        <f ca="1">OFFSET(daily_original_wrong!$B$23, 2*(ROW(D207)-ROW($B$23)),COLUMN(D207)-2)+OFFSET(daily_original_wrong!$B$23, 1+2*(ROW(D207)-ROW($B$23)),COLUMN(D207)-2)</f>
        <v>0</v>
      </c>
      <c r="E207">
        <f ca="1">OFFSET(daily_original_wrong!$B$23, 2*(ROW(E207)-ROW($B$23)),COLUMN(E207)-2)+OFFSET(daily_original_wrong!$B$23, 1+2*(ROW(E207)-ROW($B$23)),COLUMN(E207)-2)</f>
        <v>0</v>
      </c>
      <c r="F207">
        <f ca="1">OFFSET(daily_original_wrong!$B$23, 2*(ROW(F207)-ROW($B$23)),COLUMN(F207)-2)+OFFSET(daily_original_wrong!$B$23, 1+2*(ROW(F207)-ROW($B$23)),COLUMN(F207)-2)</f>
        <v>0</v>
      </c>
      <c r="G207">
        <f ca="1">OFFSET(daily_original_wrong!$B$23, 2*(ROW(G207)-ROW($B$23)),COLUMN(G207)-2)+OFFSET(daily_original_wrong!$B$23, 1+2*(ROW(G207)-ROW($B$23)),COLUMN(G207)-2)</f>
        <v>0</v>
      </c>
      <c r="H207">
        <f ca="1">OFFSET(daily_original_wrong!$B$23, 2*(ROW(H207)-ROW($B$23)),COLUMN(H207)-2)+OFFSET(daily_original_wrong!$B$23, 1+2*(ROW(H207)-ROW($B$23)),COLUMN(H207)-2)</f>
        <v>0</v>
      </c>
      <c r="J207" t="str">
        <f t="shared" si="20"/>
        <v>[</v>
      </c>
      <c r="K207" t="str">
        <f t="shared" ca="1" si="21"/>
        <v>[0],</v>
      </c>
      <c r="L207" t="str">
        <f t="shared" ref="L207:P257" ca="1" si="25">"["&amp;C207&amp;"],"</f>
        <v>[0],</v>
      </c>
      <c r="M207" t="str">
        <f t="shared" ca="1" si="25"/>
        <v>[0],</v>
      </c>
      <c r="N207" t="str">
        <f t="shared" ca="1" si="25"/>
        <v>[0],</v>
      </c>
      <c r="O207" t="str">
        <f t="shared" ca="1" si="25"/>
        <v>[0],</v>
      </c>
      <c r="P207" t="str">
        <f t="shared" ca="1" si="25"/>
        <v>[0],</v>
      </c>
      <c r="Q207" t="str">
        <f t="shared" ca="1" si="22"/>
        <v>[0]</v>
      </c>
      <c r="R207" t="str">
        <f t="shared" si="23"/>
        <v>]</v>
      </c>
      <c r="S207" t="str">
        <f t="shared" ca="1" si="24"/>
        <v>[[0],[0],[0],[0],[0],[0],[0]]</v>
      </c>
    </row>
    <row r="208" spans="1:19" x14ac:dyDescent="0.2">
      <c r="A208" s="1" t="d">
        <v>2026-03-10</v>
      </c>
      <c r="B208">
        <f ca="1">OFFSET(daily_original_wrong!$B$23, 2*(ROW(B208)-ROW($B$23)),COLUMN(B208)-2)+OFFSET(daily_original_wrong!$B$23, 1+2*(ROW(B208)-ROW($B$23)),COLUMN(B208)-2)</f>
        <v>0</v>
      </c>
      <c r="C208">
        <f ca="1">OFFSET(daily_original_wrong!$B$23, 2*(ROW(C208)-ROW($B$23)),COLUMN(C208)-2)+OFFSET(daily_original_wrong!$B$23, 1+2*(ROW(C208)-ROW($B$23)),COLUMN(C208)-2)</f>
        <v>0</v>
      </c>
      <c r="D208">
        <f ca="1">OFFSET(daily_original_wrong!$B$23, 2*(ROW(D208)-ROW($B$23)),COLUMN(D208)-2)+OFFSET(daily_original_wrong!$B$23, 1+2*(ROW(D208)-ROW($B$23)),COLUMN(D208)-2)</f>
        <v>0</v>
      </c>
      <c r="E208">
        <f ca="1">OFFSET(daily_original_wrong!$B$23, 2*(ROW(E208)-ROW($B$23)),COLUMN(E208)-2)+OFFSET(daily_original_wrong!$B$23, 1+2*(ROW(E208)-ROW($B$23)),COLUMN(E208)-2)</f>
        <v>0</v>
      </c>
      <c r="F208">
        <f ca="1">OFFSET(daily_original_wrong!$B$23, 2*(ROW(F208)-ROW($B$23)),COLUMN(F208)-2)+OFFSET(daily_original_wrong!$B$23, 1+2*(ROW(F208)-ROW($B$23)),COLUMN(F208)-2)</f>
        <v>0</v>
      </c>
      <c r="G208">
        <f ca="1">OFFSET(daily_original_wrong!$B$23, 2*(ROW(G208)-ROW($B$23)),COLUMN(G208)-2)+OFFSET(daily_original_wrong!$B$23, 1+2*(ROW(G208)-ROW($B$23)),COLUMN(G208)-2)</f>
        <v>0</v>
      </c>
      <c r="H208">
        <f ca="1">OFFSET(daily_original_wrong!$B$23, 2*(ROW(H208)-ROW($B$23)),COLUMN(H208)-2)+OFFSET(daily_original_wrong!$B$23, 1+2*(ROW(H208)-ROW($B$23)),COLUMN(H208)-2)</f>
        <v>0</v>
      </c>
      <c r="J208" t="str">
        <f t="shared" si="20"/>
        <v>[</v>
      </c>
      <c r="K208" t="str">
        <f t="shared" ca="1" si="21"/>
        <v>[0],</v>
      </c>
      <c r="L208" t="str">
        <f t="shared" ca="1" si="25"/>
        <v>[0],</v>
      </c>
      <c r="M208" t="str">
        <f t="shared" ca="1" si="25"/>
        <v>[0],</v>
      </c>
      <c r="N208" t="str">
        <f t="shared" ca="1" si="25"/>
        <v>[0],</v>
      </c>
      <c r="O208" t="str">
        <f t="shared" ca="1" si="25"/>
        <v>[0],</v>
      </c>
      <c r="P208" t="str">
        <f t="shared" ca="1" si="25"/>
        <v>[0],</v>
      </c>
      <c r="Q208" t="str">
        <f t="shared" ca="1" si="22"/>
        <v>[0]</v>
      </c>
      <c r="R208" t="str">
        <f t="shared" si="23"/>
        <v>]</v>
      </c>
      <c r="S208" t="str">
        <f t="shared" ca="1" si="24"/>
        <v>[[0],[0],[0],[0],[0],[0],[0]]</v>
      </c>
    </row>
    <row r="209" spans="1:19" x14ac:dyDescent="0.2">
      <c r="A209" s="1" t="d">
        <v>2026-03-11</v>
      </c>
      <c r="B209">
        <f ca="1">OFFSET(daily_original_wrong!$B$23, 2*(ROW(B209)-ROW($B$23)),COLUMN(B209)-2)+OFFSET(daily_original_wrong!$B$23, 1+2*(ROW(B209)-ROW($B$23)),COLUMN(B209)-2)</f>
        <v>0</v>
      </c>
      <c r="C209">
        <f ca="1">OFFSET(daily_original_wrong!$B$23, 2*(ROW(C209)-ROW($B$23)),COLUMN(C209)-2)+OFFSET(daily_original_wrong!$B$23, 1+2*(ROW(C209)-ROW($B$23)),COLUMN(C209)-2)</f>
        <v>0</v>
      </c>
      <c r="D209">
        <f ca="1">OFFSET(daily_original_wrong!$B$23, 2*(ROW(D209)-ROW($B$23)),COLUMN(D209)-2)+OFFSET(daily_original_wrong!$B$23, 1+2*(ROW(D209)-ROW($B$23)),COLUMN(D209)-2)</f>
        <v>0</v>
      </c>
      <c r="E209">
        <f ca="1">OFFSET(daily_original_wrong!$B$23, 2*(ROW(E209)-ROW($B$23)),COLUMN(E209)-2)+OFFSET(daily_original_wrong!$B$23, 1+2*(ROW(E209)-ROW($B$23)),COLUMN(E209)-2)</f>
        <v>0</v>
      </c>
      <c r="F209">
        <f ca="1">OFFSET(daily_original_wrong!$B$23, 2*(ROW(F209)-ROW($B$23)),COLUMN(F209)-2)+OFFSET(daily_original_wrong!$B$23, 1+2*(ROW(F209)-ROW($B$23)),COLUMN(F209)-2)</f>
        <v>0</v>
      </c>
      <c r="G209">
        <f ca="1">OFFSET(daily_original_wrong!$B$23, 2*(ROW(G209)-ROW($B$23)),COLUMN(G209)-2)+OFFSET(daily_original_wrong!$B$23, 1+2*(ROW(G209)-ROW($B$23)),COLUMN(G209)-2)</f>
        <v>0</v>
      </c>
      <c r="H209">
        <f ca="1">OFFSET(daily_original_wrong!$B$23, 2*(ROW(H209)-ROW($B$23)),COLUMN(H209)-2)+OFFSET(daily_original_wrong!$B$23, 1+2*(ROW(H209)-ROW($B$23)),COLUMN(H209)-2)</f>
        <v>0</v>
      </c>
      <c r="J209" t="str">
        <f t="shared" si="20"/>
        <v>[</v>
      </c>
      <c r="K209" t="str">
        <f t="shared" ca="1" si="21"/>
        <v>[0],</v>
      </c>
      <c r="L209" t="str">
        <f t="shared" ca="1" si="25"/>
        <v>[0],</v>
      </c>
      <c r="M209" t="str">
        <f t="shared" ca="1" si="25"/>
        <v>[0],</v>
      </c>
      <c r="N209" t="str">
        <f t="shared" ca="1" si="25"/>
        <v>[0],</v>
      </c>
      <c r="O209" t="str">
        <f t="shared" ca="1" si="25"/>
        <v>[0],</v>
      </c>
      <c r="P209" t="str">
        <f t="shared" ca="1" si="25"/>
        <v>[0],</v>
      </c>
      <c r="Q209" t="str">
        <f t="shared" ca="1" si="22"/>
        <v>[0]</v>
      </c>
      <c r="R209" t="str">
        <f t="shared" si="23"/>
        <v>]</v>
      </c>
      <c r="S209" t="str">
        <f t="shared" ca="1" si="24"/>
        <v>[[0],[0],[0],[0],[0],[0],[0]]</v>
      </c>
    </row>
    <row r="210" spans="1:19" x14ac:dyDescent="0.2">
      <c r="A210" s="1" t="d">
        <v>2026-03-12</v>
      </c>
      <c r="B210">
        <f ca="1">OFFSET(daily_original_wrong!$B$23, 2*(ROW(B210)-ROW($B$23)),COLUMN(B210)-2)+OFFSET(daily_original_wrong!$B$23, 1+2*(ROW(B210)-ROW($B$23)),COLUMN(B210)-2)</f>
        <v>0</v>
      </c>
      <c r="C210">
        <f ca="1">OFFSET(daily_original_wrong!$B$23, 2*(ROW(C210)-ROW($B$23)),COLUMN(C210)-2)+OFFSET(daily_original_wrong!$B$23, 1+2*(ROW(C210)-ROW($B$23)),COLUMN(C210)-2)</f>
        <v>0</v>
      </c>
      <c r="D210">
        <f ca="1">OFFSET(daily_original_wrong!$B$23, 2*(ROW(D210)-ROW($B$23)),COLUMN(D210)-2)+OFFSET(daily_original_wrong!$B$23, 1+2*(ROW(D210)-ROW($B$23)),COLUMN(D210)-2)</f>
        <v>0</v>
      </c>
      <c r="E210">
        <f ca="1">OFFSET(daily_original_wrong!$B$23, 2*(ROW(E210)-ROW($B$23)),COLUMN(E210)-2)+OFFSET(daily_original_wrong!$B$23, 1+2*(ROW(E210)-ROW($B$23)),COLUMN(E210)-2)</f>
        <v>0</v>
      </c>
      <c r="F210">
        <f ca="1">OFFSET(daily_original_wrong!$B$23, 2*(ROW(F210)-ROW($B$23)),COLUMN(F210)-2)+OFFSET(daily_original_wrong!$B$23, 1+2*(ROW(F210)-ROW($B$23)),COLUMN(F210)-2)</f>
        <v>0</v>
      </c>
      <c r="G210">
        <f ca="1">OFFSET(daily_original_wrong!$B$23, 2*(ROW(G210)-ROW($B$23)),COLUMN(G210)-2)+OFFSET(daily_original_wrong!$B$23, 1+2*(ROW(G210)-ROW($B$23)),COLUMN(G210)-2)</f>
        <v>0</v>
      </c>
      <c r="H210">
        <f ca="1">OFFSET(daily_original_wrong!$B$23, 2*(ROW(H210)-ROW($B$23)),COLUMN(H210)-2)+OFFSET(daily_original_wrong!$B$23, 1+2*(ROW(H210)-ROW($B$23)),COLUMN(H210)-2)</f>
        <v>0</v>
      </c>
      <c r="J210" t="str">
        <f t="shared" si="20"/>
        <v>[</v>
      </c>
      <c r="K210" t="str">
        <f t="shared" ca="1" si="21"/>
        <v>[0],</v>
      </c>
      <c r="L210" t="str">
        <f t="shared" ca="1" si="25"/>
        <v>[0],</v>
      </c>
      <c r="M210" t="str">
        <f t="shared" ca="1" si="25"/>
        <v>[0],</v>
      </c>
      <c r="N210" t="str">
        <f t="shared" ca="1" si="25"/>
        <v>[0],</v>
      </c>
      <c r="O210" t="str">
        <f t="shared" ca="1" si="25"/>
        <v>[0],</v>
      </c>
      <c r="P210" t="str">
        <f t="shared" ca="1" si="25"/>
        <v>[0],</v>
      </c>
      <c r="Q210" t="str">
        <f t="shared" ca="1" si="22"/>
        <v>[0]</v>
      </c>
      <c r="R210" t="str">
        <f t="shared" si="23"/>
        <v>]</v>
      </c>
      <c r="S210" t="str">
        <f t="shared" ca="1" si="24"/>
        <v>[[0],[0],[0],[0],[0],[0],[0]]</v>
      </c>
    </row>
    <row r="211" spans="1:19" x14ac:dyDescent="0.2">
      <c r="A211" s="1" t="d">
        <v>2026-03-13</v>
      </c>
      <c r="B211">
        <f ca="1">OFFSET(daily_original_wrong!$B$23, 2*(ROW(B211)-ROW($B$23)),COLUMN(B211)-2)+OFFSET(daily_original_wrong!$B$23, 1+2*(ROW(B211)-ROW($B$23)),COLUMN(B211)-2)</f>
        <v>0</v>
      </c>
      <c r="C211">
        <f ca="1">OFFSET(daily_original_wrong!$B$23, 2*(ROW(C211)-ROW($B$23)),COLUMN(C211)-2)+OFFSET(daily_original_wrong!$B$23, 1+2*(ROW(C211)-ROW($B$23)),COLUMN(C211)-2)</f>
        <v>0</v>
      </c>
      <c r="D211">
        <f ca="1">OFFSET(daily_original_wrong!$B$23, 2*(ROW(D211)-ROW($B$23)),COLUMN(D211)-2)+OFFSET(daily_original_wrong!$B$23, 1+2*(ROW(D211)-ROW($B$23)),COLUMN(D211)-2)</f>
        <v>0</v>
      </c>
      <c r="E211">
        <f ca="1">OFFSET(daily_original_wrong!$B$23, 2*(ROW(E211)-ROW($B$23)),COLUMN(E211)-2)+OFFSET(daily_original_wrong!$B$23, 1+2*(ROW(E211)-ROW($B$23)),COLUMN(E211)-2)</f>
        <v>0</v>
      </c>
      <c r="F211">
        <f ca="1">OFFSET(daily_original_wrong!$B$23, 2*(ROW(F211)-ROW($B$23)),COLUMN(F211)-2)+OFFSET(daily_original_wrong!$B$23, 1+2*(ROW(F211)-ROW($B$23)),COLUMN(F211)-2)</f>
        <v>0</v>
      </c>
      <c r="G211">
        <f ca="1">OFFSET(daily_original_wrong!$B$23, 2*(ROW(G211)-ROW($B$23)),COLUMN(G211)-2)+OFFSET(daily_original_wrong!$B$23, 1+2*(ROW(G211)-ROW($B$23)),COLUMN(G211)-2)</f>
        <v>0</v>
      </c>
      <c r="H211">
        <f ca="1">OFFSET(daily_original_wrong!$B$23, 2*(ROW(H211)-ROW($B$23)),COLUMN(H211)-2)+OFFSET(daily_original_wrong!$B$23, 1+2*(ROW(H211)-ROW($B$23)),COLUMN(H211)-2)</f>
        <v>0</v>
      </c>
      <c r="J211" t="str">
        <f t="shared" si="20"/>
        <v>[</v>
      </c>
      <c r="K211" t="str">
        <f t="shared" ca="1" si="21"/>
        <v>[0],</v>
      </c>
      <c r="L211" t="str">
        <f t="shared" ca="1" si="25"/>
        <v>[0],</v>
      </c>
      <c r="M211" t="str">
        <f t="shared" ca="1" si="25"/>
        <v>[0],</v>
      </c>
      <c r="N211" t="str">
        <f t="shared" ca="1" si="25"/>
        <v>[0],</v>
      </c>
      <c r="O211" t="str">
        <f t="shared" ca="1" si="25"/>
        <v>[0],</v>
      </c>
      <c r="P211" t="str">
        <f t="shared" ca="1" si="25"/>
        <v>[0],</v>
      </c>
      <c r="Q211" t="str">
        <f t="shared" ca="1" si="22"/>
        <v>[0]</v>
      </c>
      <c r="R211" t="str">
        <f t="shared" si="23"/>
        <v>]</v>
      </c>
      <c r="S211" t="str">
        <f t="shared" ca="1" si="24"/>
        <v>[[0],[0],[0],[0],[0],[0],[0]]</v>
      </c>
    </row>
    <row r="212" spans="1:19" x14ac:dyDescent="0.2">
      <c r="A212" s="1" t="d">
        <v>2026-03-14</v>
      </c>
      <c r="B212">
        <f ca="1">OFFSET(daily_original_wrong!$B$23, 2*(ROW(B212)-ROW($B$23)),COLUMN(B212)-2)+OFFSET(daily_original_wrong!$B$23, 1+2*(ROW(B212)-ROW($B$23)),COLUMN(B212)-2)</f>
        <v>0</v>
      </c>
      <c r="C212">
        <f ca="1">OFFSET(daily_original_wrong!$B$23, 2*(ROW(C212)-ROW($B$23)),COLUMN(C212)-2)+OFFSET(daily_original_wrong!$B$23, 1+2*(ROW(C212)-ROW($B$23)),COLUMN(C212)-2)</f>
        <v>0</v>
      </c>
      <c r="D212">
        <f ca="1">OFFSET(daily_original_wrong!$B$23, 2*(ROW(D212)-ROW($B$23)),COLUMN(D212)-2)+OFFSET(daily_original_wrong!$B$23, 1+2*(ROW(D212)-ROW($B$23)),COLUMN(D212)-2)</f>
        <v>0</v>
      </c>
      <c r="E212">
        <f ca="1">OFFSET(daily_original_wrong!$B$23, 2*(ROW(E212)-ROW($B$23)),COLUMN(E212)-2)+OFFSET(daily_original_wrong!$B$23, 1+2*(ROW(E212)-ROW($B$23)),COLUMN(E212)-2)</f>
        <v>0</v>
      </c>
      <c r="F212">
        <f ca="1">OFFSET(daily_original_wrong!$B$23, 2*(ROW(F212)-ROW($B$23)),COLUMN(F212)-2)+OFFSET(daily_original_wrong!$B$23, 1+2*(ROW(F212)-ROW($B$23)),COLUMN(F212)-2)</f>
        <v>0</v>
      </c>
      <c r="G212">
        <f ca="1">OFFSET(daily_original_wrong!$B$23, 2*(ROW(G212)-ROW($B$23)),COLUMN(G212)-2)+OFFSET(daily_original_wrong!$B$23, 1+2*(ROW(G212)-ROW($B$23)),COLUMN(G212)-2)</f>
        <v>0</v>
      </c>
      <c r="H212">
        <f ca="1">OFFSET(daily_original_wrong!$B$23, 2*(ROW(H212)-ROW($B$23)),COLUMN(H212)-2)+OFFSET(daily_original_wrong!$B$23, 1+2*(ROW(H212)-ROW($B$23)),COLUMN(H212)-2)</f>
        <v>0</v>
      </c>
      <c r="J212" t="str">
        <f t="shared" si="20"/>
        <v>[</v>
      </c>
      <c r="K212" t="str">
        <f t="shared" ca="1" si="21"/>
        <v>[0],</v>
      </c>
      <c r="L212" t="str">
        <f t="shared" ca="1" si="25"/>
        <v>[0],</v>
      </c>
      <c r="M212" t="str">
        <f t="shared" ca="1" si="25"/>
        <v>[0],</v>
      </c>
      <c r="N212" t="str">
        <f t="shared" ca="1" si="25"/>
        <v>[0],</v>
      </c>
      <c r="O212" t="str">
        <f t="shared" ca="1" si="25"/>
        <v>[0],</v>
      </c>
      <c r="P212" t="str">
        <f t="shared" ca="1" si="25"/>
        <v>[0],</v>
      </c>
      <c r="Q212" t="str">
        <f t="shared" ca="1" si="22"/>
        <v>[0]</v>
      </c>
      <c r="R212" t="str">
        <f t="shared" si="23"/>
        <v>]</v>
      </c>
      <c r="S212" t="str">
        <f t="shared" ca="1" si="24"/>
        <v>[[0],[0],[0],[0],[0],[0],[0]]</v>
      </c>
    </row>
    <row r="213" spans="1:19" x14ac:dyDescent="0.2">
      <c r="A213" s="1" t="d">
        <v>2026-03-15</v>
      </c>
      <c r="B213">
        <f ca="1">OFFSET(daily_original_wrong!$B$23, 2*(ROW(B213)-ROW($B$23)),COLUMN(B213)-2)+OFFSET(daily_original_wrong!$B$23, 1+2*(ROW(B213)-ROW($B$23)),COLUMN(B213)-2)</f>
        <v>0</v>
      </c>
      <c r="C213">
        <f ca="1">OFFSET(daily_original_wrong!$B$23, 2*(ROW(C213)-ROW($B$23)),COLUMN(C213)-2)+OFFSET(daily_original_wrong!$B$23, 1+2*(ROW(C213)-ROW($B$23)),COLUMN(C213)-2)</f>
        <v>0</v>
      </c>
      <c r="D213">
        <f ca="1">OFFSET(daily_original_wrong!$B$23, 2*(ROW(D213)-ROW($B$23)),COLUMN(D213)-2)+OFFSET(daily_original_wrong!$B$23, 1+2*(ROW(D213)-ROW($B$23)),COLUMN(D213)-2)</f>
        <v>0</v>
      </c>
      <c r="E213">
        <f ca="1">OFFSET(daily_original_wrong!$B$23, 2*(ROW(E213)-ROW($B$23)),COLUMN(E213)-2)+OFFSET(daily_original_wrong!$B$23, 1+2*(ROW(E213)-ROW($B$23)),COLUMN(E213)-2)</f>
        <v>0</v>
      </c>
      <c r="F213">
        <f ca="1">OFFSET(daily_original_wrong!$B$23, 2*(ROW(F213)-ROW($B$23)),COLUMN(F213)-2)+OFFSET(daily_original_wrong!$B$23, 1+2*(ROW(F213)-ROW($B$23)),COLUMN(F213)-2)</f>
        <v>0</v>
      </c>
      <c r="G213">
        <f ca="1">OFFSET(daily_original_wrong!$B$23, 2*(ROW(G213)-ROW($B$23)),COLUMN(G213)-2)+OFFSET(daily_original_wrong!$B$23, 1+2*(ROW(G213)-ROW($B$23)),COLUMN(G213)-2)</f>
        <v>0</v>
      </c>
      <c r="H213">
        <f ca="1">OFFSET(daily_original_wrong!$B$23, 2*(ROW(H213)-ROW($B$23)),COLUMN(H213)-2)+OFFSET(daily_original_wrong!$B$23, 1+2*(ROW(H213)-ROW($B$23)),COLUMN(H213)-2)</f>
        <v>0</v>
      </c>
      <c r="J213" t="str">
        <f t="shared" si="20"/>
        <v>[</v>
      </c>
      <c r="K213" t="str">
        <f t="shared" ca="1" si="21"/>
        <v>[0],</v>
      </c>
      <c r="L213" t="str">
        <f t="shared" ca="1" si="25"/>
        <v>[0],</v>
      </c>
      <c r="M213" t="str">
        <f t="shared" ca="1" si="25"/>
        <v>[0],</v>
      </c>
      <c r="N213" t="str">
        <f t="shared" ca="1" si="25"/>
        <v>[0],</v>
      </c>
      <c r="O213" t="str">
        <f t="shared" ca="1" si="25"/>
        <v>[0],</v>
      </c>
      <c r="P213" t="str">
        <f t="shared" ca="1" si="25"/>
        <v>[0],</v>
      </c>
      <c r="Q213" t="str">
        <f t="shared" ca="1" si="22"/>
        <v>[0]</v>
      </c>
      <c r="R213" t="str">
        <f t="shared" si="23"/>
        <v>]</v>
      </c>
      <c r="S213" t="str">
        <f t="shared" ca="1" si="24"/>
        <v>[[0],[0],[0],[0],[0],[0],[0]]</v>
      </c>
    </row>
    <row r="214" spans="1:19" x14ac:dyDescent="0.2">
      <c r="A214" s="1" t="d">
        <v>2026-03-16</v>
      </c>
      <c r="B214">
        <f ca="1">OFFSET(daily_original_wrong!$B$23, 2*(ROW(B214)-ROW($B$23)),COLUMN(B214)-2)+OFFSET(daily_original_wrong!$B$23, 1+2*(ROW(B214)-ROW($B$23)),COLUMN(B214)-2)</f>
        <v>0</v>
      </c>
      <c r="C214">
        <f ca="1">OFFSET(daily_original_wrong!$B$23, 2*(ROW(C214)-ROW($B$23)),COLUMN(C214)-2)+OFFSET(daily_original_wrong!$B$23, 1+2*(ROW(C214)-ROW($B$23)),COLUMN(C214)-2)</f>
        <v>0</v>
      </c>
      <c r="D214">
        <f ca="1">OFFSET(daily_original_wrong!$B$23, 2*(ROW(D214)-ROW($B$23)),COLUMN(D214)-2)+OFFSET(daily_original_wrong!$B$23, 1+2*(ROW(D214)-ROW($B$23)),COLUMN(D214)-2)</f>
        <v>0</v>
      </c>
      <c r="E214">
        <f ca="1">OFFSET(daily_original_wrong!$B$23, 2*(ROW(E214)-ROW($B$23)),COLUMN(E214)-2)+OFFSET(daily_original_wrong!$B$23, 1+2*(ROW(E214)-ROW($B$23)),COLUMN(E214)-2)</f>
        <v>0</v>
      </c>
      <c r="F214">
        <f ca="1">OFFSET(daily_original_wrong!$B$23, 2*(ROW(F214)-ROW($B$23)),COLUMN(F214)-2)+OFFSET(daily_original_wrong!$B$23, 1+2*(ROW(F214)-ROW($B$23)),COLUMN(F214)-2)</f>
        <v>0</v>
      </c>
      <c r="G214">
        <f ca="1">OFFSET(daily_original_wrong!$B$23, 2*(ROW(G214)-ROW($B$23)),COLUMN(G214)-2)+OFFSET(daily_original_wrong!$B$23, 1+2*(ROW(G214)-ROW($B$23)),COLUMN(G214)-2)</f>
        <v>0</v>
      </c>
      <c r="H214">
        <f ca="1">OFFSET(daily_original_wrong!$B$23, 2*(ROW(H214)-ROW($B$23)),COLUMN(H214)-2)+OFFSET(daily_original_wrong!$B$23, 1+2*(ROW(H214)-ROW($B$23)),COLUMN(H214)-2)</f>
        <v>0</v>
      </c>
      <c r="J214" t="str">
        <f t="shared" si="20"/>
        <v>[</v>
      </c>
      <c r="K214" t="str">
        <f t="shared" ca="1" si="21"/>
        <v>[0],</v>
      </c>
      <c r="L214" t="str">
        <f t="shared" ca="1" si="25"/>
        <v>[0],</v>
      </c>
      <c r="M214" t="str">
        <f t="shared" ca="1" si="25"/>
        <v>[0],</v>
      </c>
      <c r="N214" t="str">
        <f t="shared" ca="1" si="25"/>
        <v>[0],</v>
      </c>
      <c r="O214" t="str">
        <f t="shared" ca="1" si="25"/>
        <v>[0],</v>
      </c>
      <c r="P214" t="str">
        <f t="shared" ca="1" si="25"/>
        <v>[0],</v>
      </c>
      <c r="Q214" t="str">
        <f t="shared" ca="1" si="22"/>
        <v>[0]</v>
      </c>
      <c r="R214" t="str">
        <f t="shared" si="23"/>
        <v>]</v>
      </c>
      <c r="S214" t="str">
        <f t="shared" ca="1" si="24"/>
        <v>[[0],[0],[0],[0],[0],[0],[0]]</v>
      </c>
    </row>
    <row r="215" spans="1:19" x14ac:dyDescent="0.2">
      <c r="A215" s="1" t="d">
        <v>2026-03-17</v>
      </c>
      <c r="B215">
        <f ca="1">OFFSET(daily_original_wrong!$B$23, 2*(ROW(B215)-ROW($B$23)),COLUMN(B215)-2)+OFFSET(daily_original_wrong!$B$23, 1+2*(ROW(B215)-ROW($B$23)),COLUMN(B215)-2)</f>
        <v>0</v>
      </c>
      <c r="C215">
        <f ca="1">OFFSET(daily_original_wrong!$B$23, 2*(ROW(C215)-ROW($B$23)),COLUMN(C215)-2)+OFFSET(daily_original_wrong!$B$23, 1+2*(ROW(C215)-ROW($B$23)),COLUMN(C215)-2)</f>
        <v>0</v>
      </c>
      <c r="D215">
        <f ca="1">OFFSET(daily_original_wrong!$B$23, 2*(ROW(D215)-ROW($B$23)),COLUMN(D215)-2)+OFFSET(daily_original_wrong!$B$23, 1+2*(ROW(D215)-ROW($B$23)),COLUMN(D215)-2)</f>
        <v>0</v>
      </c>
      <c r="E215">
        <f ca="1">OFFSET(daily_original_wrong!$B$23, 2*(ROW(E215)-ROW($B$23)),COLUMN(E215)-2)+OFFSET(daily_original_wrong!$B$23, 1+2*(ROW(E215)-ROW($B$23)),COLUMN(E215)-2)</f>
        <v>0</v>
      </c>
      <c r="F215">
        <f ca="1">OFFSET(daily_original_wrong!$B$23, 2*(ROW(F215)-ROW($B$23)),COLUMN(F215)-2)+OFFSET(daily_original_wrong!$B$23, 1+2*(ROW(F215)-ROW($B$23)),COLUMN(F215)-2)</f>
        <v>0</v>
      </c>
      <c r="G215">
        <f ca="1">OFFSET(daily_original_wrong!$B$23, 2*(ROW(G215)-ROW($B$23)),COLUMN(G215)-2)+OFFSET(daily_original_wrong!$B$23, 1+2*(ROW(G215)-ROW($B$23)),COLUMN(G215)-2)</f>
        <v>0</v>
      </c>
      <c r="H215">
        <f ca="1">OFFSET(daily_original_wrong!$B$23, 2*(ROW(H215)-ROW($B$23)),COLUMN(H215)-2)+OFFSET(daily_original_wrong!$B$23, 1+2*(ROW(H215)-ROW($B$23)),COLUMN(H215)-2)</f>
        <v>0</v>
      </c>
      <c r="J215" t="str">
        <f t="shared" si="20"/>
        <v>[</v>
      </c>
      <c r="K215" t="str">
        <f t="shared" ca="1" si="21"/>
        <v>[0],</v>
      </c>
      <c r="L215" t="str">
        <f t="shared" ca="1" si="25"/>
        <v>[0],</v>
      </c>
      <c r="M215" t="str">
        <f t="shared" ca="1" si="25"/>
        <v>[0],</v>
      </c>
      <c r="N215" t="str">
        <f t="shared" ca="1" si="25"/>
        <v>[0],</v>
      </c>
      <c r="O215" t="str">
        <f t="shared" ca="1" si="25"/>
        <v>[0],</v>
      </c>
      <c r="P215" t="str">
        <f t="shared" ca="1" si="25"/>
        <v>[0],</v>
      </c>
      <c r="Q215" t="str">
        <f t="shared" ca="1" si="22"/>
        <v>[0]</v>
      </c>
      <c r="R215" t="str">
        <f t="shared" si="23"/>
        <v>]</v>
      </c>
      <c r="S215" t="str">
        <f t="shared" ca="1" si="24"/>
        <v>[[0],[0],[0],[0],[0],[0],[0]]</v>
      </c>
    </row>
    <row r="216" spans="1:19" x14ac:dyDescent="0.2">
      <c r="A216" s="1" t="d">
        <v>2026-03-18</v>
      </c>
      <c r="B216">
        <f ca="1">OFFSET(daily_original_wrong!$B$23, 2*(ROW(B216)-ROW($B$23)),COLUMN(B216)-2)+OFFSET(daily_original_wrong!$B$23, 1+2*(ROW(B216)-ROW($B$23)),COLUMN(B216)-2)</f>
        <v>0</v>
      </c>
      <c r="C216">
        <f ca="1">OFFSET(daily_original_wrong!$B$23, 2*(ROW(C216)-ROW($B$23)),COLUMN(C216)-2)+OFFSET(daily_original_wrong!$B$23, 1+2*(ROW(C216)-ROW($B$23)),COLUMN(C216)-2)</f>
        <v>0</v>
      </c>
      <c r="D216">
        <f ca="1">OFFSET(daily_original_wrong!$B$23, 2*(ROW(D216)-ROW($B$23)),COLUMN(D216)-2)+OFFSET(daily_original_wrong!$B$23, 1+2*(ROW(D216)-ROW($B$23)),COLUMN(D216)-2)</f>
        <v>0</v>
      </c>
      <c r="E216">
        <f ca="1">OFFSET(daily_original_wrong!$B$23, 2*(ROW(E216)-ROW($B$23)),COLUMN(E216)-2)+OFFSET(daily_original_wrong!$B$23, 1+2*(ROW(E216)-ROW($B$23)),COLUMN(E216)-2)</f>
        <v>0</v>
      </c>
      <c r="F216">
        <f ca="1">OFFSET(daily_original_wrong!$B$23, 2*(ROW(F216)-ROW($B$23)),COLUMN(F216)-2)+OFFSET(daily_original_wrong!$B$23, 1+2*(ROW(F216)-ROW($B$23)),COLUMN(F216)-2)</f>
        <v>0</v>
      </c>
      <c r="G216">
        <f ca="1">OFFSET(daily_original_wrong!$B$23, 2*(ROW(G216)-ROW($B$23)),COLUMN(G216)-2)+OFFSET(daily_original_wrong!$B$23, 1+2*(ROW(G216)-ROW($B$23)),COLUMN(G216)-2)</f>
        <v>0</v>
      </c>
      <c r="H216">
        <f ca="1">OFFSET(daily_original_wrong!$B$23, 2*(ROW(H216)-ROW($B$23)),COLUMN(H216)-2)+OFFSET(daily_original_wrong!$B$23, 1+2*(ROW(H216)-ROW($B$23)),COLUMN(H216)-2)</f>
        <v>0</v>
      </c>
      <c r="J216" t="str">
        <f t="shared" si="20"/>
        <v>[</v>
      </c>
      <c r="K216" t="str">
        <f t="shared" ca="1" si="21"/>
        <v>[0],</v>
      </c>
      <c r="L216" t="str">
        <f t="shared" ca="1" si="25"/>
        <v>[0],</v>
      </c>
      <c r="M216" t="str">
        <f t="shared" ca="1" si="25"/>
        <v>[0],</v>
      </c>
      <c r="N216" t="str">
        <f t="shared" ca="1" si="25"/>
        <v>[0],</v>
      </c>
      <c r="O216" t="str">
        <f t="shared" ca="1" si="25"/>
        <v>[0],</v>
      </c>
      <c r="P216" t="str">
        <f t="shared" ca="1" si="25"/>
        <v>[0],</v>
      </c>
      <c r="Q216" t="str">
        <f t="shared" ca="1" si="22"/>
        <v>[0]</v>
      </c>
      <c r="R216" t="str">
        <f t="shared" si="23"/>
        <v>]</v>
      </c>
      <c r="S216" t="str">
        <f t="shared" ca="1" si="24"/>
        <v>[[0],[0],[0],[0],[0],[0],[0]]</v>
      </c>
    </row>
    <row r="217" spans="1:19" x14ac:dyDescent="0.2">
      <c r="A217" s="1" t="d">
        <v>2026-03-19</v>
      </c>
      <c r="B217">
        <f ca="1">OFFSET(daily_original_wrong!$B$23, 2*(ROW(B217)-ROW($B$23)),COLUMN(B217)-2)+OFFSET(daily_original_wrong!$B$23, 1+2*(ROW(B217)-ROW($B$23)),COLUMN(B217)-2)</f>
        <v>0</v>
      </c>
      <c r="C217">
        <f ca="1">OFFSET(daily_original_wrong!$B$23, 2*(ROW(C217)-ROW($B$23)),COLUMN(C217)-2)+OFFSET(daily_original_wrong!$B$23, 1+2*(ROW(C217)-ROW($B$23)),COLUMN(C217)-2)</f>
        <v>0</v>
      </c>
      <c r="D217">
        <f ca="1">OFFSET(daily_original_wrong!$B$23, 2*(ROW(D217)-ROW($B$23)),COLUMN(D217)-2)+OFFSET(daily_original_wrong!$B$23, 1+2*(ROW(D217)-ROW($B$23)),COLUMN(D217)-2)</f>
        <v>0</v>
      </c>
      <c r="E217">
        <f ca="1">OFFSET(daily_original_wrong!$B$23, 2*(ROW(E217)-ROW($B$23)),COLUMN(E217)-2)+OFFSET(daily_original_wrong!$B$23, 1+2*(ROW(E217)-ROW($B$23)),COLUMN(E217)-2)</f>
        <v>0</v>
      </c>
      <c r="F217">
        <f ca="1">OFFSET(daily_original_wrong!$B$23, 2*(ROW(F217)-ROW($B$23)),COLUMN(F217)-2)+OFFSET(daily_original_wrong!$B$23, 1+2*(ROW(F217)-ROW($B$23)),COLUMN(F217)-2)</f>
        <v>0</v>
      </c>
      <c r="G217">
        <f ca="1">OFFSET(daily_original_wrong!$B$23, 2*(ROW(G217)-ROW($B$23)),COLUMN(G217)-2)+OFFSET(daily_original_wrong!$B$23, 1+2*(ROW(G217)-ROW($B$23)),COLUMN(G217)-2)</f>
        <v>0</v>
      </c>
      <c r="H217">
        <f ca="1">OFFSET(daily_original_wrong!$B$23, 2*(ROW(H217)-ROW($B$23)),COLUMN(H217)-2)+OFFSET(daily_original_wrong!$B$23, 1+2*(ROW(H217)-ROW($B$23)),COLUMN(H217)-2)</f>
        <v>0</v>
      </c>
      <c r="J217" t="str">
        <f t="shared" si="20"/>
        <v>[</v>
      </c>
      <c r="K217" t="str">
        <f t="shared" ca="1" si="21"/>
        <v>[0],</v>
      </c>
      <c r="L217" t="str">
        <f t="shared" ca="1" si="25"/>
        <v>[0],</v>
      </c>
      <c r="M217" t="str">
        <f t="shared" ca="1" si="25"/>
        <v>[0],</v>
      </c>
      <c r="N217" t="str">
        <f t="shared" ca="1" si="25"/>
        <v>[0],</v>
      </c>
      <c r="O217" t="str">
        <f t="shared" ca="1" si="25"/>
        <v>[0],</v>
      </c>
      <c r="P217" t="str">
        <f t="shared" ca="1" si="25"/>
        <v>[0],</v>
      </c>
      <c r="Q217" t="str">
        <f t="shared" ca="1" si="22"/>
        <v>[0]</v>
      </c>
      <c r="R217" t="str">
        <f t="shared" si="23"/>
        <v>]</v>
      </c>
      <c r="S217" t="str">
        <f t="shared" ca="1" si="24"/>
        <v>[[0],[0],[0],[0],[0],[0],[0]]</v>
      </c>
    </row>
    <row r="218" spans="1:19" x14ac:dyDescent="0.2">
      <c r="A218" s="1" t="d">
        <v>2026-03-20</v>
      </c>
      <c r="B218">
        <f ca="1">OFFSET(daily_original_wrong!$B$23, 2*(ROW(B218)-ROW($B$23)),COLUMN(B218)-2)+OFFSET(daily_original_wrong!$B$23, 1+2*(ROW(B218)-ROW($B$23)),COLUMN(B218)-2)</f>
        <v>0</v>
      </c>
      <c r="C218">
        <f ca="1">OFFSET(daily_original_wrong!$B$23, 2*(ROW(C218)-ROW($B$23)),COLUMN(C218)-2)+OFFSET(daily_original_wrong!$B$23, 1+2*(ROW(C218)-ROW($B$23)),COLUMN(C218)-2)</f>
        <v>0</v>
      </c>
      <c r="D218">
        <f ca="1">OFFSET(daily_original_wrong!$B$23, 2*(ROW(D218)-ROW($B$23)),COLUMN(D218)-2)+OFFSET(daily_original_wrong!$B$23, 1+2*(ROW(D218)-ROW($B$23)),COLUMN(D218)-2)</f>
        <v>0</v>
      </c>
      <c r="E218">
        <f ca="1">OFFSET(daily_original_wrong!$B$23, 2*(ROW(E218)-ROW($B$23)),COLUMN(E218)-2)+OFFSET(daily_original_wrong!$B$23, 1+2*(ROW(E218)-ROW($B$23)),COLUMN(E218)-2)</f>
        <v>0</v>
      </c>
      <c r="F218">
        <f ca="1">OFFSET(daily_original_wrong!$B$23, 2*(ROW(F218)-ROW($B$23)),COLUMN(F218)-2)+OFFSET(daily_original_wrong!$B$23, 1+2*(ROW(F218)-ROW($B$23)),COLUMN(F218)-2)</f>
        <v>0</v>
      </c>
      <c r="G218">
        <f ca="1">OFFSET(daily_original_wrong!$B$23, 2*(ROW(G218)-ROW($B$23)),COLUMN(G218)-2)+OFFSET(daily_original_wrong!$B$23, 1+2*(ROW(G218)-ROW($B$23)),COLUMN(G218)-2)</f>
        <v>0</v>
      </c>
      <c r="H218">
        <f ca="1">OFFSET(daily_original_wrong!$B$23, 2*(ROW(H218)-ROW($B$23)),COLUMN(H218)-2)+OFFSET(daily_original_wrong!$B$23, 1+2*(ROW(H218)-ROW($B$23)),COLUMN(H218)-2)</f>
        <v>0</v>
      </c>
      <c r="J218" t="str">
        <f t="shared" si="20"/>
        <v>[</v>
      </c>
      <c r="K218" t="str">
        <f t="shared" ca="1" si="21"/>
        <v>[0],</v>
      </c>
      <c r="L218" t="str">
        <f t="shared" ca="1" si="25"/>
        <v>[0],</v>
      </c>
      <c r="M218" t="str">
        <f t="shared" ca="1" si="25"/>
        <v>[0],</v>
      </c>
      <c r="N218" t="str">
        <f t="shared" ca="1" si="25"/>
        <v>[0],</v>
      </c>
      <c r="O218" t="str">
        <f t="shared" ca="1" si="25"/>
        <v>[0],</v>
      </c>
      <c r="P218" t="str">
        <f t="shared" ca="1" si="25"/>
        <v>[0],</v>
      </c>
      <c r="Q218" t="str">
        <f t="shared" ca="1" si="22"/>
        <v>[0]</v>
      </c>
      <c r="R218" t="str">
        <f t="shared" si="23"/>
        <v>]</v>
      </c>
      <c r="S218" t="str">
        <f t="shared" ca="1" si="24"/>
        <v>[[0],[0],[0],[0],[0],[0],[0]]</v>
      </c>
    </row>
    <row r="219" spans="1:19" x14ac:dyDescent="0.2">
      <c r="A219" s="1" t="d">
        <v>2026-03-21</v>
      </c>
      <c r="B219">
        <f ca="1">OFFSET(daily_original_wrong!$B$23, 2*(ROW(B219)-ROW($B$23)),COLUMN(B219)-2)+OFFSET(daily_original_wrong!$B$23, 1+2*(ROW(B219)-ROW($B$23)),COLUMN(B219)-2)</f>
        <v>0</v>
      </c>
      <c r="C219">
        <f ca="1">OFFSET(daily_original_wrong!$B$23, 2*(ROW(C219)-ROW($B$23)),COLUMN(C219)-2)+OFFSET(daily_original_wrong!$B$23, 1+2*(ROW(C219)-ROW($B$23)),COLUMN(C219)-2)</f>
        <v>0</v>
      </c>
      <c r="D219">
        <f ca="1">OFFSET(daily_original_wrong!$B$23, 2*(ROW(D219)-ROW($B$23)),COLUMN(D219)-2)+OFFSET(daily_original_wrong!$B$23, 1+2*(ROW(D219)-ROW($B$23)),COLUMN(D219)-2)</f>
        <v>0</v>
      </c>
      <c r="E219">
        <f ca="1">OFFSET(daily_original_wrong!$B$23, 2*(ROW(E219)-ROW($B$23)),COLUMN(E219)-2)+OFFSET(daily_original_wrong!$B$23, 1+2*(ROW(E219)-ROW($B$23)),COLUMN(E219)-2)</f>
        <v>0</v>
      </c>
      <c r="F219">
        <f ca="1">OFFSET(daily_original_wrong!$B$23, 2*(ROW(F219)-ROW($B$23)),COLUMN(F219)-2)+OFFSET(daily_original_wrong!$B$23, 1+2*(ROW(F219)-ROW($B$23)),COLUMN(F219)-2)</f>
        <v>0</v>
      </c>
      <c r="G219">
        <f ca="1">OFFSET(daily_original_wrong!$B$23, 2*(ROW(G219)-ROW($B$23)),COLUMN(G219)-2)+OFFSET(daily_original_wrong!$B$23, 1+2*(ROW(G219)-ROW($B$23)),COLUMN(G219)-2)</f>
        <v>0</v>
      </c>
      <c r="H219">
        <f ca="1">OFFSET(daily_original_wrong!$B$23, 2*(ROW(H219)-ROW($B$23)),COLUMN(H219)-2)+OFFSET(daily_original_wrong!$B$23, 1+2*(ROW(H219)-ROW($B$23)),COLUMN(H219)-2)</f>
        <v>0</v>
      </c>
      <c r="J219" t="str">
        <f t="shared" si="20"/>
        <v>[</v>
      </c>
      <c r="K219" t="str">
        <f t="shared" ca="1" si="21"/>
        <v>[0],</v>
      </c>
      <c r="L219" t="str">
        <f t="shared" ca="1" si="25"/>
        <v>[0],</v>
      </c>
      <c r="M219" t="str">
        <f t="shared" ca="1" si="25"/>
        <v>[0],</v>
      </c>
      <c r="N219" t="str">
        <f t="shared" ca="1" si="25"/>
        <v>[0],</v>
      </c>
      <c r="O219" t="str">
        <f t="shared" ca="1" si="25"/>
        <v>[0],</v>
      </c>
      <c r="P219" t="str">
        <f t="shared" ca="1" si="25"/>
        <v>[0],</v>
      </c>
      <c r="Q219" t="str">
        <f t="shared" ca="1" si="22"/>
        <v>[0]</v>
      </c>
      <c r="R219" t="str">
        <f t="shared" si="23"/>
        <v>]</v>
      </c>
      <c r="S219" t="str">
        <f t="shared" ca="1" si="24"/>
        <v>[[0],[0],[0],[0],[0],[0],[0]]</v>
      </c>
    </row>
    <row r="220" spans="1:19" x14ac:dyDescent="0.2">
      <c r="A220" s="1" t="d">
        <v>2026-03-22</v>
      </c>
      <c r="B220">
        <f ca="1">OFFSET(daily_original_wrong!$B$23, 2*(ROW(B220)-ROW($B$23)),COLUMN(B220)-2)+OFFSET(daily_original_wrong!$B$23, 1+2*(ROW(B220)-ROW($B$23)),COLUMN(B220)-2)</f>
        <v>0</v>
      </c>
      <c r="C220">
        <f ca="1">OFFSET(daily_original_wrong!$B$23, 2*(ROW(C220)-ROW($B$23)),COLUMN(C220)-2)+OFFSET(daily_original_wrong!$B$23, 1+2*(ROW(C220)-ROW($B$23)),COLUMN(C220)-2)</f>
        <v>0</v>
      </c>
      <c r="D220">
        <f ca="1">OFFSET(daily_original_wrong!$B$23, 2*(ROW(D220)-ROW($B$23)),COLUMN(D220)-2)+OFFSET(daily_original_wrong!$B$23, 1+2*(ROW(D220)-ROW($B$23)),COLUMN(D220)-2)</f>
        <v>0</v>
      </c>
      <c r="E220">
        <f ca="1">OFFSET(daily_original_wrong!$B$23, 2*(ROW(E220)-ROW($B$23)),COLUMN(E220)-2)+OFFSET(daily_original_wrong!$B$23, 1+2*(ROW(E220)-ROW($B$23)),COLUMN(E220)-2)</f>
        <v>0</v>
      </c>
      <c r="F220">
        <f ca="1">OFFSET(daily_original_wrong!$B$23, 2*(ROW(F220)-ROW($B$23)),COLUMN(F220)-2)+OFFSET(daily_original_wrong!$B$23, 1+2*(ROW(F220)-ROW($B$23)),COLUMN(F220)-2)</f>
        <v>0</v>
      </c>
      <c r="G220">
        <f ca="1">OFFSET(daily_original_wrong!$B$23, 2*(ROW(G220)-ROW($B$23)),COLUMN(G220)-2)+OFFSET(daily_original_wrong!$B$23, 1+2*(ROW(G220)-ROW($B$23)),COLUMN(G220)-2)</f>
        <v>0</v>
      </c>
      <c r="H220">
        <f ca="1">OFFSET(daily_original_wrong!$B$23, 2*(ROW(H220)-ROW($B$23)),COLUMN(H220)-2)+OFFSET(daily_original_wrong!$B$23, 1+2*(ROW(H220)-ROW($B$23)),COLUMN(H220)-2)</f>
        <v>0</v>
      </c>
      <c r="J220" t="str">
        <f t="shared" si="20"/>
        <v>[</v>
      </c>
      <c r="K220" t="str">
        <f t="shared" ca="1" si="21"/>
        <v>[0],</v>
      </c>
      <c r="L220" t="str">
        <f t="shared" ca="1" si="25"/>
        <v>[0],</v>
      </c>
      <c r="M220" t="str">
        <f t="shared" ca="1" si="25"/>
        <v>[0],</v>
      </c>
      <c r="N220" t="str">
        <f t="shared" ca="1" si="25"/>
        <v>[0],</v>
      </c>
      <c r="O220" t="str">
        <f t="shared" ca="1" si="25"/>
        <v>[0],</v>
      </c>
      <c r="P220" t="str">
        <f t="shared" ca="1" si="25"/>
        <v>[0],</v>
      </c>
      <c r="Q220" t="str">
        <f t="shared" ca="1" si="22"/>
        <v>[0]</v>
      </c>
      <c r="R220" t="str">
        <f t="shared" si="23"/>
        <v>]</v>
      </c>
      <c r="S220" t="str">
        <f t="shared" ca="1" si="24"/>
        <v>[[0],[0],[0],[0],[0],[0],[0]]</v>
      </c>
    </row>
    <row r="221" spans="1:19" x14ac:dyDescent="0.2">
      <c r="A221" s="1" t="d">
        <v>2026-03-23</v>
      </c>
      <c r="B221">
        <f ca="1">OFFSET(daily_original_wrong!$B$23, 2*(ROW(B221)-ROW($B$23)),COLUMN(B221)-2)+OFFSET(daily_original_wrong!$B$23, 1+2*(ROW(B221)-ROW($B$23)),COLUMN(B221)-2)</f>
        <v>0</v>
      </c>
      <c r="C221">
        <f ca="1">OFFSET(daily_original_wrong!$B$23, 2*(ROW(C221)-ROW($B$23)),COLUMN(C221)-2)+OFFSET(daily_original_wrong!$B$23, 1+2*(ROW(C221)-ROW($B$23)),COLUMN(C221)-2)</f>
        <v>0</v>
      </c>
      <c r="D221">
        <f ca="1">OFFSET(daily_original_wrong!$B$23, 2*(ROW(D221)-ROW($B$23)),COLUMN(D221)-2)+OFFSET(daily_original_wrong!$B$23, 1+2*(ROW(D221)-ROW($B$23)),COLUMN(D221)-2)</f>
        <v>0</v>
      </c>
      <c r="E221">
        <f ca="1">OFFSET(daily_original_wrong!$B$23, 2*(ROW(E221)-ROW($B$23)),COLUMN(E221)-2)+OFFSET(daily_original_wrong!$B$23, 1+2*(ROW(E221)-ROW($B$23)),COLUMN(E221)-2)</f>
        <v>0</v>
      </c>
      <c r="F221">
        <f ca="1">OFFSET(daily_original_wrong!$B$23, 2*(ROW(F221)-ROW($B$23)),COLUMN(F221)-2)+OFFSET(daily_original_wrong!$B$23, 1+2*(ROW(F221)-ROW($B$23)),COLUMN(F221)-2)</f>
        <v>0</v>
      </c>
      <c r="G221">
        <f ca="1">OFFSET(daily_original_wrong!$B$23, 2*(ROW(G221)-ROW($B$23)),COLUMN(G221)-2)+OFFSET(daily_original_wrong!$B$23, 1+2*(ROW(G221)-ROW($B$23)),COLUMN(G221)-2)</f>
        <v>0</v>
      </c>
      <c r="H221">
        <f ca="1">OFFSET(daily_original_wrong!$B$23, 2*(ROW(H221)-ROW($B$23)),COLUMN(H221)-2)+OFFSET(daily_original_wrong!$B$23, 1+2*(ROW(H221)-ROW($B$23)),COLUMN(H221)-2)</f>
        <v>0</v>
      </c>
      <c r="J221" t="str">
        <f t="shared" si="20"/>
        <v>[</v>
      </c>
      <c r="K221" t="str">
        <f t="shared" ca="1" si="21"/>
        <v>[0],</v>
      </c>
      <c r="L221" t="str">
        <f t="shared" ca="1" si="25"/>
        <v>[0],</v>
      </c>
      <c r="M221" t="str">
        <f t="shared" ca="1" si="25"/>
        <v>[0],</v>
      </c>
      <c r="N221" t="str">
        <f t="shared" ca="1" si="25"/>
        <v>[0],</v>
      </c>
      <c r="O221" t="str">
        <f t="shared" ca="1" si="25"/>
        <v>[0],</v>
      </c>
      <c r="P221" t="str">
        <f t="shared" ca="1" si="25"/>
        <v>[0],</v>
      </c>
      <c r="Q221" t="str">
        <f t="shared" ca="1" si="22"/>
        <v>[0]</v>
      </c>
      <c r="R221" t="str">
        <f t="shared" si="23"/>
        <v>]</v>
      </c>
      <c r="S221" t="str">
        <f t="shared" ca="1" si="24"/>
        <v>[[0],[0],[0],[0],[0],[0],[0]]</v>
      </c>
    </row>
    <row r="222" spans="1:19" x14ac:dyDescent="0.2">
      <c r="A222" s="1" t="d">
        <v>2026-03-24</v>
      </c>
      <c r="B222">
        <f ca="1">OFFSET(daily_original_wrong!$B$23, 2*(ROW(B222)-ROW($B$23)),COLUMN(B222)-2)+OFFSET(daily_original_wrong!$B$23, 1+2*(ROW(B222)-ROW($B$23)),COLUMN(B222)-2)</f>
        <v>0</v>
      </c>
      <c r="C222">
        <f ca="1">OFFSET(daily_original_wrong!$B$23, 2*(ROW(C222)-ROW($B$23)),COLUMN(C222)-2)+OFFSET(daily_original_wrong!$B$23, 1+2*(ROW(C222)-ROW($B$23)),COLUMN(C222)-2)</f>
        <v>0</v>
      </c>
      <c r="D222">
        <f ca="1">OFFSET(daily_original_wrong!$B$23, 2*(ROW(D222)-ROW($B$23)),COLUMN(D222)-2)+OFFSET(daily_original_wrong!$B$23, 1+2*(ROW(D222)-ROW($B$23)),COLUMN(D222)-2)</f>
        <v>0</v>
      </c>
      <c r="E222">
        <f ca="1">OFFSET(daily_original_wrong!$B$23, 2*(ROW(E222)-ROW($B$23)),COLUMN(E222)-2)+OFFSET(daily_original_wrong!$B$23, 1+2*(ROW(E222)-ROW($B$23)),COLUMN(E222)-2)</f>
        <v>0</v>
      </c>
      <c r="F222">
        <f ca="1">OFFSET(daily_original_wrong!$B$23, 2*(ROW(F222)-ROW($B$23)),COLUMN(F222)-2)+OFFSET(daily_original_wrong!$B$23, 1+2*(ROW(F222)-ROW($B$23)),COLUMN(F222)-2)</f>
        <v>0</v>
      </c>
      <c r="G222">
        <f ca="1">OFFSET(daily_original_wrong!$B$23, 2*(ROW(G222)-ROW($B$23)),COLUMN(G222)-2)+OFFSET(daily_original_wrong!$B$23, 1+2*(ROW(G222)-ROW($B$23)),COLUMN(G222)-2)</f>
        <v>0</v>
      </c>
      <c r="H222">
        <f ca="1">OFFSET(daily_original_wrong!$B$23, 2*(ROW(H222)-ROW($B$23)),COLUMN(H222)-2)+OFFSET(daily_original_wrong!$B$23, 1+2*(ROW(H222)-ROW($B$23)),COLUMN(H222)-2)</f>
        <v>0</v>
      </c>
      <c r="J222" t="str">
        <f t="shared" si="20"/>
        <v>[</v>
      </c>
      <c r="K222" t="str">
        <f t="shared" ca="1" si="21"/>
        <v>[0],</v>
      </c>
      <c r="L222" t="str">
        <f t="shared" ca="1" si="25"/>
        <v>[0],</v>
      </c>
      <c r="M222" t="str">
        <f t="shared" ca="1" si="25"/>
        <v>[0],</v>
      </c>
      <c r="N222" t="str">
        <f t="shared" ca="1" si="25"/>
        <v>[0],</v>
      </c>
      <c r="O222" t="str">
        <f t="shared" ca="1" si="25"/>
        <v>[0],</v>
      </c>
      <c r="P222" t="str">
        <f t="shared" ca="1" si="25"/>
        <v>[0],</v>
      </c>
      <c r="Q222" t="str">
        <f t="shared" ca="1" si="22"/>
        <v>[0]</v>
      </c>
      <c r="R222" t="str">
        <f t="shared" si="23"/>
        <v>]</v>
      </c>
      <c r="S222" t="str">
        <f t="shared" ca="1" si="24"/>
        <v>[[0],[0],[0],[0],[0],[0],[0]]</v>
      </c>
    </row>
    <row r="223" spans="1:19" x14ac:dyDescent="0.2">
      <c r="A223" s="1" t="d">
        <v>2026-03-25</v>
      </c>
      <c r="B223">
        <f ca="1">OFFSET(daily_original_wrong!$B$23, 2*(ROW(B223)-ROW($B$23)),COLUMN(B223)-2)+OFFSET(daily_original_wrong!$B$23, 1+2*(ROW(B223)-ROW($B$23)),COLUMN(B223)-2)</f>
        <v>0</v>
      </c>
      <c r="C223">
        <f ca="1">OFFSET(daily_original_wrong!$B$23, 2*(ROW(C223)-ROW($B$23)),COLUMN(C223)-2)+OFFSET(daily_original_wrong!$B$23, 1+2*(ROW(C223)-ROW($B$23)),COLUMN(C223)-2)</f>
        <v>0</v>
      </c>
      <c r="D223">
        <f ca="1">OFFSET(daily_original_wrong!$B$23, 2*(ROW(D223)-ROW($B$23)),COLUMN(D223)-2)+OFFSET(daily_original_wrong!$B$23, 1+2*(ROW(D223)-ROW($B$23)),COLUMN(D223)-2)</f>
        <v>0</v>
      </c>
      <c r="E223">
        <f ca="1">OFFSET(daily_original_wrong!$B$23, 2*(ROW(E223)-ROW($B$23)),COLUMN(E223)-2)+OFFSET(daily_original_wrong!$B$23, 1+2*(ROW(E223)-ROW($B$23)),COLUMN(E223)-2)</f>
        <v>0</v>
      </c>
      <c r="F223">
        <f ca="1">OFFSET(daily_original_wrong!$B$23, 2*(ROW(F223)-ROW($B$23)),COLUMN(F223)-2)+OFFSET(daily_original_wrong!$B$23, 1+2*(ROW(F223)-ROW($B$23)),COLUMN(F223)-2)</f>
        <v>0</v>
      </c>
      <c r="G223">
        <f ca="1">OFFSET(daily_original_wrong!$B$23, 2*(ROW(G223)-ROW($B$23)),COLUMN(G223)-2)+OFFSET(daily_original_wrong!$B$23, 1+2*(ROW(G223)-ROW($B$23)),COLUMN(G223)-2)</f>
        <v>0</v>
      </c>
      <c r="H223">
        <f ca="1">OFFSET(daily_original_wrong!$B$23, 2*(ROW(H223)-ROW($B$23)),COLUMN(H223)-2)+OFFSET(daily_original_wrong!$B$23, 1+2*(ROW(H223)-ROW($B$23)),COLUMN(H223)-2)</f>
        <v>0</v>
      </c>
      <c r="J223" t="str">
        <f t="shared" si="20"/>
        <v>[</v>
      </c>
      <c r="K223" t="str">
        <f t="shared" ca="1" si="21"/>
        <v>[0],</v>
      </c>
      <c r="L223" t="str">
        <f t="shared" ca="1" si="25"/>
        <v>[0],</v>
      </c>
      <c r="M223" t="str">
        <f t="shared" ca="1" si="25"/>
        <v>[0],</v>
      </c>
      <c r="N223" t="str">
        <f t="shared" ca="1" si="25"/>
        <v>[0],</v>
      </c>
      <c r="O223" t="str">
        <f t="shared" ca="1" si="25"/>
        <v>[0],</v>
      </c>
      <c r="P223" t="str">
        <f t="shared" ca="1" si="25"/>
        <v>[0],</v>
      </c>
      <c r="Q223" t="str">
        <f t="shared" ca="1" si="22"/>
        <v>[0]</v>
      </c>
      <c r="R223" t="str">
        <f t="shared" si="23"/>
        <v>]</v>
      </c>
      <c r="S223" t="str">
        <f t="shared" ca="1" si="24"/>
        <v>[[0],[0],[0],[0],[0],[0],[0]]</v>
      </c>
    </row>
    <row r="224" spans="1:19" x14ac:dyDescent="0.2">
      <c r="A224" s="1" t="d">
        <v>2026-03-26</v>
      </c>
      <c r="B224">
        <f ca="1">OFFSET(daily_original_wrong!$B$23, 2*(ROW(B224)-ROW($B$23)),COLUMN(B224)-2)+OFFSET(daily_original_wrong!$B$23, 1+2*(ROW(B224)-ROW($B$23)),COLUMN(B224)-2)</f>
        <v>0</v>
      </c>
      <c r="C224">
        <f ca="1">OFFSET(daily_original_wrong!$B$23, 2*(ROW(C224)-ROW($B$23)),COLUMN(C224)-2)+OFFSET(daily_original_wrong!$B$23, 1+2*(ROW(C224)-ROW($B$23)),COLUMN(C224)-2)</f>
        <v>0</v>
      </c>
      <c r="D224">
        <f ca="1">OFFSET(daily_original_wrong!$B$23, 2*(ROW(D224)-ROW($B$23)),COLUMN(D224)-2)+OFFSET(daily_original_wrong!$B$23, 1+2*(ROW(D224)-ROW($B$23)),COLUMN(D224)-2)</f>
        <v>0</v>
      </c>
      <c r="E224">
        <f ca="1">OFFSET(daily_original_wrong!$B$23, 2*(ROW(E224)-ROW($B$23)),COLUMN(E224)-2)+OFFSET(daily_original_wrong!$B$23, 1+2*(ROW(E224)-ROW($B$23)),COLUMN(E224)-2)</f>
        <v>0</v>
      </c>
      <c r="F224">
        <f ca="1">OFFSET(daily_original_wrong!$B$23, 2*(ROW(F224)-ROW($B$23)),COLUMN(F224)-2)+OFFSET(daily_original_wrong!$B$23, 1+2*(ROW(F224)-ROW($B$23)),COLUMN(F224)-2)</f>
        <v>0</v>
      </c>
      <c r="G224">
        <f ca="1">OFFSET(daily_original_wrong!$B$23, 2*(ROW(G224)-ROW($B$23)),COLUMN(G224)-2)+OFFSET(daily_original_wrong!$B$23, 1+2*(ROW(G224)-ROW($B$23)),COLUMN(G224)-2)</f>
        <v>0</v>
      </c>
      <c r="H224">
        <f ca="1">OFFSET(daily_original_wrong!$B$23, 2*(ROW(H224)-ROW($B$23)),COLUMN(H224)-2)+OFFSET(daily_original_wrong!$B$23, 1+2*(ROW(H224)-ROW($B$23)),COLUMN(H224)-2)</f>
        <v>0</v>
      </c>
      <c r="J224" t="str">
        <f t="shared" si="20"/>
        <v>[</v>
      </c>
      <c r="K224" t="str">
        <f t="shared" ca="1" si="21"/>
        <v>[0],</v>
      </c>
      <c r="L224" t="str">
        <f t="shared" ca="1" si="25"/>
        <v>[0],</v>
      </c>
      <c r="M224" t="str">
        <f t="shared" ca="1" si="25"/>
        <v>[0],</v>
      </c>
      <c r="N224" t="str">
        <f t="shared" ca="1" si="25"/>
        <v>[0],</v>
      </c>
      <c r="O224" t="str">
        <f t="shared" ca="1" si="25"/>
        <v>[0],</v>
      </c>
      <c r="P224" t="str">
        <f t="shared" ca="1" si="25"/>
        <v>[0],</v>
      </c>
      <c r="Q224" t="str">
        <f t="shared" ca="1" si="22"/>
        <v>[0]</v>
      </c>
      <c r="R224" t="str">
        <f t="shared" si="23"/>
        <v>]</v>
      </c>
      <c r="S224" t="str">
        <f t="shared" ca="1" si="24"/>
        <v>[[0],[0],[0],[0],[0],[0],[0]]</v>
      </c>
    </row>
    <row r="225" spans="1:19" x14ac:dyDescent="0.2">
      <c r="A225" s="1" t="d">
        <v>2026-03-27</v>
      </c>
      <c r="B225">
        <f ca="1">OFFSET(daily_original_wrong!$B$23, 2*(ROW(B225)-ROW($B$23)),COLUMN(B225)-2)+OFFSET(daily_original_wrong!$B$23, 1+2*(ROW(B225)-ROW($B$23)),COLUMN(B225)-2)</f>
        <v>0</v>
      </c>
      <c r="C225">
        <f ca="1">OFFSET(daily_original_wrong!$B$23, 2*(ROW(C225)-ROW($B$23)),COLUMN(C225)-2)+OFFSET(daily_original_wrong!$B$23, 1+2*(ROW(C225)-ROW($B$23)),COLUMN(C225)-2)</f>
        <v>0</v>
      </c>
      <c r="D225">
        <f ca="1">OFFSET(daily_original_wrong!$B$23, 2*(ROW(D225)-ROW($B$23)),COLUMN(D225)-2)+OFFSET(daily_original_wrong!$B$23, 1+2*(ROW(D225)-ROW($B$23)),COLUMN(D225)-2)</f>
        <v>0</v>
      </c>
      <c r="E225">
        <f ca="1">OFFSET(daily_original_wrong!$B$23, 2*(ROW(E225)-ROW($B$23)),COLUMN(E225)-2)+OFFSET(daily_original_wrong!$B$23, 1+2*(ROW(E225)-ROW($B$23)),COLUMN(E225)-2)</f>
        <v>0</v>
      </c>
      <c r="F225">
        <f ca="1">OFFSET(daily_original_wrong!$B$23, 2*(ROW(F225)-ROW($B$23)),COLUMN(F225)-2)+OFFSET(daily_original_wrong!$B$23, 1+2*(ROW(F225)-ROW($B$23)),COLUMN(F225)-2)</f>
        <v>0</v>
      </c>
      <c r="G225">
        <f ca="1">OFFSET(daily_original_wrong!$B$23, 2*(ROW(G225)-ROW($B$23)),COLUMN(G225)-2)+OFFSET(daily_original_wrong!$B$23, 1+2*(ROW(G225)-ROW($B$23)),COLUMN(G225)-2)</f>
        <v>0</v>
      </c>
      <c r="H225">
        <f ca="1">OFFSET(daily_original_wrong!$B$23, 2*(ROW(H225)-ROW($B$23)),COLUMN(H225)-2)+OFFSET(daily_original_wrong!$B$23, 1+2*(ROW(H225)-ROW($B$23)),COLUMN(H225)-2)</f>
        <v>0</v>
      </c>
      <c r="J225" t="str">
        <f t="shared" si="20"/>
        <v>[</v>
      </c>
      <c r="K225" t="str">
        <f t="shared" ca="1" si="21"/>
        <v>[0],</v>
      </c>
      <c r="L225" t="str">
        <f t="shared" ca="1" si="25"/>
        <v>[0],</v>
      </c>
      <c r="M225" t="str">
        <f t="shared" ca="1" si="25"/>
        <v>[0],</v>
      </c>
      <c r="N225" t="str">
        <f t="shared" ca="1" si="25"/>
        <v>[0],</v>
      </c>
      <c r="O225" t="str">
        <f t="shared" ca="1" si="25"/>
        <v>[0],</v>
      </c>
      <c r="P225" t="str">
        <f t="shared" ca="1" si="25"/>
        <v>[0],</v>
      </c>
      <c r="Q225" t="str">
        <f t="shared" ca="1" si="22"/>
        <v>[0]</v>
      </c>
      <c r="R225" t="str">
        <f t="shared" si="23"/>
        <v>]</v>
      </c>
      <c r="S225" t="str">
        <f t="shared" ca="1" si="24"/>
        <v>[[0],[0],[0],[0],[0],[0],[0]]</v>
      </c>
    </row>
    <row r="226" spans="1:19" x14ac:dyDescent="0.2">
      <c r="A226" s="1" t="d">
        <v>2026-03-28</v>
      </c>
      <c r="B226">
        <f ca="1">OFFSET(daily_original_wrong!$B$23, 2*(ROW(B226)-ROW($B$23)),COLUMN(B226)-2)+OFFSET(daily_original_wrong!$B$23, 1+2*(ROW(B226)-ROW($B$23)),COLUMN(B226)-2)</f>
        <v>0</v>
      </c>
      <c r="C226">
        <f ca="1">OFFSET(daily_original_wrong!$B$23, 2*(ROW(C226)-ROW($B$23)),COLUMN(C226)-2)+OFFSET(daily_original_wrong!$B$23, 1+2*(ROW(C226)-ROW($B$23)),COLUMN(C226)-2)</f>
        <v>0</v>
      </c>
      <c r="D226">
        <f ca="1">OFFSET(daily_original_wrong!$B$23, 2*(ROW(D226)-ROW($B$23)),COLUMN(D226)-2)+OFFSET(daily_original_wrong!$B$23, 1+2*(ROW(D226)-ROW($B$23)),COLUMN(D226)-2)</f>
        <v>0</v>
      </c>
      <c r="E226">
        <f ca="1">OFFSET(daily_original_wrong!$B$23, 2*(ROW(E226)-ROW($B$23)),COLUMN(E226)-2)+OFFSET(daily_original_wrong!$B$23, 1+2*(ROW(E226)-ROW($B$23)),COLUMN(E226)-2)</f>
        <v>0</v>
      </c>
      <c r="F226">
        <f ca="1">OFFSET(daily_original_wrong!$B$23, 2*(ROW(F226)-ROW($B$23)),COLUMN(F226)-2)+OFFSET(daily_original_wrong!$B$23, 1+2*(ROW(F226)-ROW($B$23)),COLUMN(F226)-2)</f>
        <v>0</v>
      </c>
      <c r="G226">
        <f ca="1">OFFSET(daily_original_wrong!$B$23, 2*(ROW(G226)-ROW($B$23)),COLUMN(G226)-2)+OFFSET(daily_original_wrong!$B$23, 1+2*(ROW(G226)-ROW($B$23)),COLUMN(G226)-2)</f>
        <v>0</v>
      </c>
      <c r="H226">
        <f ca="1">OFFSET(daily_original_wrong!$B$23, 2*(ROW(H226)-ROW($B$23)),COLUMN(H226)-2)+OFFSET(daily_original_wrong!$B$23, 1+2*(ROW(H226)-ROW($B$23)),COLUMN(H226)-2)</f>
        <v>0</v>
      </c>
      <c r="J226" t="str">
        <f t="shared" si="20"/>
        <v>[</v>
      </c>
      <c r="K226" t="str">
        <f t="shared" ca="1" si="21"/>
        <v>[0],</v>
      </c>
      <c r="L226" t="str">
        <f t="shared" ca="1" si="25"/>
        <v>[0],</v>
      </c>
      <c r="M226" t="str">
        <f t="shared" ca="1" si="25"/>
        <v>[0],</v>
      </c>
      <c r="N226" t="str">
        <f t="shared" ca="1" si="25"/>
        <v>[0],</v>
      </c>
      <c r="O226" t="str">
        <f t="shared" ca="1" si="25"/>
        <v>[0],</v>
      </c>
      <c r="P226" t="str">
        <f t="shared" ca="1" si="25"/>
        <v>[0],</v>
      </c>
      <c r="Q226" t="str">
        <f t="shared" ca="1" si="22"/>
        <v>[0]</v>
      </c>
      <c r="R226" t="str">
        <f t="shared" si="23"/>
        <v>]</v>
      </c>
      <c r="S226" t="str">
        <f t="shared" ca="1" si="24"/>
        <v>[[0],[0],[0],[0],[0],[0],[0]]</v>
      </c>
    </row>
    <row r="227" spans="1:19" x14ac:dyDescent="0.2">
      <c r="A227" s="1" t="d">
        <v>2026-03-29</v>
      </c>
      <c r="B227">
        <f ca="1">OFFSET(daily_original_wrong!$B$23, 2*(ROW(B227)-ROW($B$23)),COLUMN(B227)-2)+OFFSET(daily_original_wrong!$B$23, 1+2*(ROW(B227)-ROW($B$23)),COLUMN(B227)-2)</f>
        <v>0</v>
      </c>
      <c r="C227">
        <f ca="1">OFFSET(daily_original_wrong!$B$23, 2*(ROW(C227)-ROW($B$23)),COLUMN(C227)-2)+OFFSET(daily_original_wrong!$B$23, 1+2*(ROW(C227)-ROW($B$23)),COLUMN(C227)-2)</f>
        <v>0</v>
      </c>
      <c r="D227">
        <f ca="1">OFFSET(daily_original_wrong!$B$23, 2*(ROW(D227)-ROW($B$23)),COLUMN(D227)-2)+OFFSET(daily_original_wrong!$B$23, 1+2*(ROW(D227)-ROW($B$23)),COLUMN(D227)-2)</f>
        <v>0</v>
      </c>
      <c r="E227">
        <f ca="1">OFFSET(daily_original_wrong!$B$23, 2*(ROW(E227)-ROW($B$23)),COLUMN(E227)-2)+OFFSET(daily_original_wrong!$B$23, 1+2*(ROW(E227)-ROW($B$23)),COLUMN(E227)-2)</f>
        <v>0</v>
      </c>
      <c r="F227">
        <f ca="1">OFFSET(daily_original_wrong!$B$23, 2*(ROW(F227)-ROW($B$23)),COLUMN(F227)-2)+OFFSET(daily_original_wrong!$B$23, 1+2*(ROW(F227)-ROW($B$23)),COLUMN(F227)-2)</f>
        <v>0</v>
      </c>
      <c r="G227">
        <f ca="1">OFFSET(daily_original_wrong!$B$23, 2*(ROW(G227)-ROW($B$23)),COLUMN(G227)-2)+OFFSET(daily_original_wrong!$B$23, 1+2*(ROW(G227)-ROW($B$23)),COLUMN(G227)-2)</f>
        <v>0</v>
      </c>
      <c r="H227">
        <f ca="1">OFFSET(daily_original_wrong!$B$23, 2*(ROW(H227)-ROW($B$23)),COLUMN(H227)-2)+OFFSET(daily_original_wrong!$B$23, 1+2*(ROW(H227)-ROW($B$23)),COLUMN(H227)-2)</f>
        <v>0</v>
      </c>
      <c r="J227" t="str">
        <f t="shared" si="20"/>
        <v>[</v>
      </c>
      <c r="K227" t="str">
        <f t="shared" ca="1" si="21"/>
        <v>[0],</v>
      </c>
      <c r="L227" t="str">
        <f t="shared" ca="1" si="25"/>
        <v>[0],</v>
      </c>
      <c r="M227" t="str">
        <f t="shared" ca="1" si="25"/>
        <v>[0],</v>
      </c>
      <c r="N227" t="str">
        <f t="shared" ca="1" si="25"/>
        <v>[0],</v>
      </c>
      <c r="O227" t="str">
        <f t="shared" ca="1" si="25"/>
        <v>[0],</v>
      </c>
      <c r="P227" t="str">
        <f t="shared" ca="1" si="25"/>
        <v>[0],</v>
      </c>
      <c r="Q227" t="str">
        <f t="shared" ca="1" si="22"/>
        <v>[0]</v>
      </c>
      <c r="R227" t="str">
        <f t="shared" si="23"/>
        <v>]</v>
      </c>
      <c r="S227" t="str">
        <f t="shared" ca="1" si="24"/>
        <v>[[0],[0],[0],[0],[0],[0],[0]]</v>
      </c>
    </row>
    <row r="228" spans="1:19" x14ac:dyDescent="0.2">
      <c r="A228" s="1" t="d">
        <v>2026-03-30</v>
      </c>
      <c r="B228">
        <f ca="1">OFFSET(daily_original_wrong!$B$23, 2*(ROW(B228)-ROW($B$23)),COLUMN(B228)-2)+OFFSET(daily_original_wrong!$B$23, 1+2*(ROW(B228)-ROW($B$23)),COLUMN(B228)-2)</f>
        <v>0</v>
      </c>
      <c r="C228">
        <f ca="1">OFFSET(daily_original_wrong!$B$23, 2*(ROW(C228)-ROW($B$23)),COLUMN(C228)-2)+OFFSET(daily_original_wrong!$B$23, 1+2*(ROW(C228)-ROW($B$23)),COLUMN(C228)-2)</f>
        <v>0</v>
      </c>
      <c r="D228">
        <f ca="1">OFFSET(daily_original_wrong!$B$23, 2*(ROW(D228)-ROW($B$23)),COLUMN(D228)-2)+OFFSET(daily_original_wrong!$B$23, 1+2*(ROW(D228)-ROW($B$23)),COLUMN(D228)-2)</f>
        <v>0</v>
      </c>
      <c r="E228">
        <f ca="1">OFFSET(daily_original_wrong!$B$23, 2*(ROW(E228)-ROW($B$23)),COLUMN(E228)-2)+OFFSET(daily_original_wrong!$B$23, 1+2*(ROW(E228)-ROW($B$23)),COLUMN(E228)-2)</f>
        <v>0</v>
      </c>
      <c r="F228">
        <f ca="1">OFFSET(daily_original_wrong!$B$23, 2*(ROW(F228)-ROW($B$23)),COLUMN(F228)-2)+OFFSET(daily_original_wrong!$B$23, 1+2*(ROW(F228)-ROW($B$23)),COLUMN(F228)-2)</f>
        <v>0</v>
      </c>
      <c r="G228">
        <f ca="1">OFFSET(daily_original_wrong!$B$23, 2*(ROW(G228)-ROW($B$23)),COLUMN(G228)-2)+OFFSET(daily_original_wrong!$B$23, 1+2*(ROW(G228)-ROW($B$23)),COLUMN(G228)-2)</f>
        <v>0</v>
      </c>
      <c r="H228">
        <f ca="1">OFFSET(daily_original_wrong!$B$23, 2*(ROW(H228)-ROW($B$23)),COLUMN(H228)-2)+OFFSET(daily_original_wrong!$B$23, 1+2*(ROW(H228)-ROW($B$23)),COLUMN(H228)-2)</f>
        <v>0</v>
      </c>
      <c r="J228" t="str">
        <f t="shared" si="20"/>
        <v>[</v>
      </c>
      <c r="K228" t="str">
        <f t="shared" ca="1" si="21"/>
        <v>[0],</v>
      </c>
      <c r="L228" t="str">
        <f t="shared" ca="1" si="25"/>
        <v>[0],</v>
      </c>
      <c r="M228" t="str">
        <f t="shared" ca="1" si="25"/>
        <v>[0],</v>
      </c>
      <c r="N228" t="str">
        <f t="shared" ca="1" si="25"/>
        <v>[0],</v>
      </c>
      <c r="O228" t="str">
        <f t="shared" ca="1" si="25"/>
        <v>[0],</v>
      </c>
      <c r="P228" t="str">
        <f t="shared" ca="1" si="25"/>
        <v>[0],</v>
      </c>
      <c r="Q228" t="str">
        <f t="shared" ca="1" si="22"/>
        <v>[0]</v>
      </c>
      <c r="R228" t="str">
        <f t="shared" si="23"/>
        <v>]</v>
      </c>
      <c r="S228" t="str">
        <f t="shared" ca="1" si="24"/>
        <v>[[0],[0],[0],[0],[0],[0],[0]]</v>
      </c>
    </row>
    <row r="229" spans="1:19" x14ac:dyDescent="0.2">
      <c r="A229" s="1" t="d">
        <v>2026-03-31</v>
      </c>
      <c r="B229">
        <f ca="1">OFFSET(daily_original_wrong!$B$23, 2*(ROW(B229)-ROW($B$23)),COLUMN(B229)-2)+OFFSET(daily_original_wrong!$B$23, 1+2*(ROW(B229)-ROW($B$23)),COLUMN(B229)-2)</f>
        <v>0</v>
      </c>
      <c r="C229">
        <f ca="1">OFFSET(daily_original_wrong!$B$23, 2*(ROW(C229)-ROW($B$23)),COLUMN(C229)-2)+OFFSET(daily_original_wrong!$B$23, 1+2*(ROW(C229)-ROW($B$23)),COLUMN(C229)-2)</f>
        <v>0</v>
      </c>
      <c r="D229">
        <f ca="1">OFFSET(daily_original_wrong!$B$23, 2*(ROW(D229)-ROW($B$23)),COLUMN(D229)-2)+OFFSET(daily_original_wrong!$B$23, 1+2*(ROW(D229)-ROW($B$23)),COLUMN(D229)-2)</f>
        <v>0</v>
      </c>
      <c r="E229">
        <f ca="1">OFFSET(daily_original_wrong!$B$23, 2*(ROW(E229)-ROW($B$23)),COLUMN(E229)-2)+OFFSET(daily_original_wrong!$B$23, 1+2*(ROW(E229)-ROW($B$23)),COLUMN(E229)-2)</f>
        <v>0</v>
      </c>
      <c r="F229">
        <f ca="1">OFFSET(daily_original_wrong!$B$23, 2*(ROW(F229)-ROW($B$23)),COLUMN(F229)-2)+OFFSET(daily_original_wrong!$B$23, 1+2*(ROW(F229)-ROW($B$23)),COLUMN(F229)-2)</f>
        <v>0</v>
      </c>
      <c r="G229">
        <f ca="1">OFFSET(daily_original_wrong!$B$23, 2*(ROW(G229)-ROW($B$23)),COLUMN(G229)-2)+OFFSET(daily_original_wrong!$B$23, 1+2*(ROW(G229)-ROW($B$23)),COLUMN(G229)-2)</f>
        <v>0</v>
      </c>
      <c r="H229">
        <f ca="1">OFFSET(daily_original_wrong!$B$23, 2*(ROW(H229)-ROW($B$23)),COLUMN(H229)-2)+OFFSET(daily_original_wrong!$B$23, 1+2*(ROW(H229)-ROW($B$23)),COLUMN(H229)-2)</f>
        <v>0</v>
      </c>
      <c r="J229" t="str">
        <f t="shared" si="20"/>
        <v>[</v>
      </c>
      <c r="K229" t="str">
        <f t="shared" ca="1" si="21"/>
        <v>[0],</v>
      </c>
      <c r="L229" t="str">
        <f t="shared" ca="1" si="25"/>
        <v>[0],</v>
      </c>
      <c r="M229" t="str">
        <f t="shared" ca="1" si="25"/>
        <v>[0],</v>
      </c>
      <c r="N229" t="str">
        <f t="shared" ca="1" si="25"/>
        <v>[0],</v>
      </c>
      <c r="O229" t="str">
        <f t="shared" ca="1" si="25"/>
        <v>[0],</v>
      </c>
      <c r="P229" t="str">
        <f t="shared" ca="1" si="25"/>
        <v>[0],</v>
      </c>
      <c r="Q229" t="str">
        <f t="shared" ca="1" si="22"/>
        <v>[0]</v>
      </c>
      <c r="R229" t="str">
        <f t="shared" si="23"/>
        <v>]</v>
      </c>
      <c r="S229" t="str">
        <f t="shared" ca="1" si="24"/>
        <v>[[0],[0],[0],[0],[0],[0],[0]]</v>
      </c>
    </row>
    <row r="230" spans="1:19" x14ac:dyDescent="0.2">
      <c r="A230" s="1" t="d">
        <v>2026-04-01</v>
      </c>
      <c r="B230">
        <f ca="1">OFFSET(daily_original_wrong!$B$23, 2*(ROW(B230)-ROW($B$23)),COLUMN(B230)-2)+OFFSET(daily_original_wrong!$B$23, 1+2*(ROW(B230)-ROW($B$23)),COLUMN(B230)-2)</f>
        <v>0</v>
      </c>
      <c r="C230">
        <f ca="1">OFFSET(daily_original_wrong!$B$23, 2*(ROW(C230)-ROW($B$23)),COLUMN(C230)-2)+OFFSET(daily_original_wrong!$B$23, 1+2*(ROW(C230)-ROW($B$23)),COLUMN(C230)-2)</f>
        <v>0</v>
      </c>
      <c r="D230">
        <f ca="1">OFFSET(daily_original_wrong!$B$23, 2*(ROW(D230)-ROW($B$23)),COLUMN(D230)-2)+OFFSET(daily_original_wrong!$B$23, 1+2*(ROW(D230)-ROW($B$23)),COLUMN(D230)-2)</f>
        <v>0</v>
      </c>
      <c r="E230">
        <f ca="1">OFFSET(daily_original_wrong!$B$23, 2*(ROW(E230)-ROW($B$23)),COLUMN(E230)-2)+OFFSET(daily_original_wrong!$B$23, 1+2*(ROW(E230)-ROW($B$23)),COLUMN(E230)-2)</f>
        <v>0</v>
      </c>
      <c r="F230">
        <f ca="1">OFFSET(daily_original_wrong!$B$23, 2*(ROW(F230)-ROW($B$23)),COLUMN(F230)-2)+OFFSET(daily_original_wrong!$B$23, 1+2*(ROW(F230)-ROW($B$23)),COLUMN(F230)-2)</f>
        <v>0</v>
      </c>
      <c r="G230">
        <f ca="1">OFFSET(daily_original_wrong!$B$23, 2*(ROW(G230)-ROW($B$23)),COLUMN(G230)-2)+OFFSET(daily_original_wrong!$B$23, 1+2*(ROW(G230)-ROW($B$23)),COLUMN(G230)-2)</f>
        <v>0</v>
      </c>
      <c r="H230">
        <f ca="1">OFFSET(daily_original_wrong!$B$23, 2*(ROW(H230)-ROW($B$23)),COLUMN(H230)-2)+OFFSET(daily_original_wrong!$B$23, 1+2*(ROW(H230)-ROW($B$23)),COLUMN(H230)-2)</f>
        <v>0</v>
      </c>
      <c r="J230" t="str">
        <f t="shared" si="20"/>
        <v>[</v>
      </c>
      <c r="K230" t="str">
        <f t="shared" ca="1" si="21"/>
        <v>[0],</v>
      </c>
      <c r="L230" t="str">
        <f t="shared" ca="1" si="25"/>
        <v>[0],</v>
      </c>
      <c r="M230" t="str">
        <f t="shared" ca="1" si="25"/>
        <v>[0],</v>
      </c>
      <c r="N230" t="str">
        <f t="shared" ca="1" si="25"/>
        <v>[0],</v>
      </c>
      <c r="O230" t="str">
        <f t="shared" ca="1" si="25"/>
        <v>[0],</v>
      </c>
      <c r="P230" t="str">
        <f t="shared" ca="1" si="25"/>
        <v>[0],</v>
      </c>
      <c r="Q230" t="str">
        <f t="shared" ca="1" si="22"/>
        <v>[0]</v>
      </c>
      <c r="R230" t="str">
        <f t="shared" si="23"/>
        <v>]</v>
      </c>
      <c r="S230" t="str">
        <f t="shared" ca="1" si="24"/>
        <v>[[0],[0],[0],[0],[0],[0],[0]]</v>
      </c>
    </row>
    <row r="231" spans="1:19" x14ac:dyDescent="0.2">
      <c r="A231" s="1" t="d">
        <v>2026-04-02</v>
      </c>
      <c r="B231">
        <f ca="1">OFFSET(daily_original_wrong!$B$23, 2*(ROW(B231)-ROW($B$23)),COLUMN(B231)-2)+OFFSET(daily_original_wrong!$B$23, 1+2*(ROW(B231)-ROW($B$23)),COLUMN(B231)-2)</f>
        <v>0</v>
      </c>
      <c r="C231">
        <f ca="1">OFFSET(daily_original_wrong!$B$23, 2*(ROW(C231)-ROW($B$23)),COLUMN(C231)-2)+OFFSET(daily_original_wrong!$B$23, 1+2*(ROW(C231)-ROW($B$23)),COLUMN(C231)-2)</f>
        <v>0</v>
      </c>
      <c r="D231">
        <f ca="1">OFFSET(daily_original_wrong!$B$23, 2*(ROW(D231)-ROW($B$23)),COLUMN(D231)-2)+OFFSET(daily_original_wrong!$B$23, 1+2*(ROW(D231)-ROW($B$23)),COLUMN(D231)-2)</f>
        <v>0</v>
      </c>
      <c r="E231">
        <f ca="1">OFFSET(daily_original_wrong!$B$23, 2*(ROW(E231)-ROW($B$23)),COLUMN(E231)-2)+OFFSET(daily_original_wrong!$B$23, 1+2*(ROW(E231)-ROW($B$23)),COLUMN(E231)-2)</f>
        <v>0</v>
      </c>
      <c r="F231">
        <f ca="1">OFFSET(daily_original_wrong!$B$23, 2*(ROW(F231)-ROW($B$23)),COLUMN(F231)-2)+OFFSET(daily_original_wrong!$B$23, 1+2*(ROW(F231)-ROW($B$23)),COLUMN(F231)-2)</f>
        <v>0</v>
      </c>
      <c r="G231">
        <f ca="1">OFFSET(daily_original_wrong!$B$23, 2*(ROW(G231)-ROW($B$23)),COLUMN(G231)-2)+OFFSET(daily_original_wrong!$B$23, 1+2*(ROW(G231)-ROW($B$23)),COLUMN(G231)-2)</f>
        <v>0</v>
      </c>
      <c r="H231">
        <f ca="1">OFFSET(daily_original_wrong!$B$23, 2*(ROW(H231)-ROW($B$23)),COLUMN(H231)-2)+OFFSET(daily_original_wrong!$B$23, 1+2*(ROW(H231)-ROW($B$23)),COLUMN(H231)-2)</f>
        <v>0</v>
      </c>
      <c r="J231" t="str">
        <f t="shared" si="20"/>
        <v>[</v>
      </c>
      <c r="K231" t="str">
        <f t="shared" ca="1" si="21"/>
        <v>[0],</v>
      </c>
      <c r="L231" t="str">
        <f t="shared" ca="1" si="25"/>
        <v>[0],</v>
      </c>
      <c r="M231" t="str">
        <f t="shared" ca="1" si="25"/>
        <v>[0],</v>
      </c>
      <c r="N231" t="str">
        <f t="shared" ca="1" si="25"/>
        <v>[0],</v>
      </c>
      <c r="O231" t="str">
        <f t="shared" ca="1" si="25"/>
        <v>[0],</v>
      </c>
      <c r="P231" t="str">
        <f t="shared" ca="1" si="25"/>
        <v>[0],</v>
      </c>
      <c r="Q231" t="str">
        <f t="shared" ca="1" si="22"/>
        <v>[0]</v>
      </c>
      <c r="R231" t="str">
        <f t="shared" si="23"/>
        <v>]</v>
      </c>
      <c r="S231" t="str">
        <f t="shared" ca="1" si="24"/>
        <v>[[0],[0],[0],[0],[0],[0],[0]]</v>
      </c>
    </row>
    <row r="232" spans="1:19" x14ac:dyDescent="0.2">
      <c r="A232" s="1" t="d">
        <v>2026-04-03</v>
      </c>
      <c r="B232">
        <f ca="1">OFFSET(daily_original_wrong!$B$23, 2*(ROW(B232)-ROW($B$23)),COLUMN(B232)-2)+OFFSET(daily_original_wrong!$B$23, 1+2*(ROW(B232)-ROW($B$23)),COLUMN(B232)-2)</f>
        <v>0</v>
      </c>
      <c r="C232">
        <f ca="1">OFFSET(daily_original_wrong!$B$23, 2*(ROW(C232)-ROW($B$23)),COLUMN(C232)-2)+OFFSET(daily_original_wrong!$B$23, 1+2*(ROW(C232)-ROW($B$23)),COLUMN(C232)-2)</f>
        <v>0</v>
      </c>
      <c r="D232">
        <f ca="1">OFFSET(daily_original_wrong!$B$23, 2*(ROW(D232)-ROW($B$23)),COLUMN(D232)-2)+OFFSET(daily_original_wrong!$B$23, 1+2*(ROW(D232)-ROW($B$23)),COLUMN(D232)-2)</f>
        <v>0</v>
      </c>
      <c r="E232">
        <f ca="1">OFFSET(daily_original_wrong!$B$23, 2*(ROW(E232)-ROW($B$23)),COLUMN(E232)-2)+OFFSET(daily_original_wrong!$B$23, 1+2*(ROW(E232)-ROW($B$23)),COLUMN(E232)-2)</f>
        <v>0</v>
      </c>
      <c r="F232">
        <f ca="1">OFFSET(daily_original_wrong!$B$23, 2*(ROW(F232)-ROW($B$23)),COLUMN(F232)-2)+OFFSET(daily_original_wrong!$B$23, 1+2*(ROW(F232)-ROW($B$23)),COLUMN(F232)-2)</f>
        <v>0</v>
      </c>
      <c r="G232">
        <f ca="1">OFFSET(daily_original_wrong!$B$23, 2*(ROW(G232)-ROW($B$23)),COLUMN(G232)-2)+OFFSET(daily_original_wrong!$B$23, 1+2*(ROW(G232)-ROW($B$23)),COLUMN(G232)-2)</f>
        <v>0</v>
      </c>
      <c r="H232">
        <f ca="1">OFFSET(daily_original_wrong!$B$23, 2*(ROW(H232)-ROW($B$23)),COLUMN(H232)-2)+OFFSET(daily_original_wrong!$B$23, 1+2*(ROW(H232)-ROW($B$23)),COLUMN(H232)-2)</f>
        <v>0</v>
      </c>
      <c r="J232" t="str">
        <f t="shared" si="20"/>
        <v>[</v>
      </c>
      <c r="K232" t="str">
        <f t="shared" ca="1" si="21"/>
        <v>[0],</v>
      </c>
      <c r="L232" t="str">
        <f t="shared" ca="1" si="25"/>
        <v>[0],</v>
      </c>
      <c r="M232" t="str">
        <f t="shared" ca="1" si="25"/>
        <v>[0],</v>
      </c>
      <c r="N232" t="str">
        <f t="shared" ca="1" si="25"/>
        <v>[0],</v>
      </c>
      <c r="O232" t="str">
        <f t="shared" ca="1" si="25"/>
        <v>[0],</v>
      </c>
      <c r="P232" t="str">
        <f t="shared" ca="1" si="25"/>
        <v>[0],</v>
      </c>
      <c r="Q232" t="str">
        <f t="shared" ca="1" si="22"/>
        <v>[0]</v>
      </c>
      <c r="R232" t="str">
        <f t="shared" si="23"/>
        <v>]</v>
      </c>
      <c r="S232" t="str">
        <f t="shared" ca="1" si="24"/>
        <v>[[0],[0],[0],[0],[0],[0],[0]]</v>
      </c>
    </row>
    <row r="233" spans="1:19" x14ac:dyDescent="0.2">
      <c r="A233" s="1" t="d">
        <v>2026-04-04</v>
      </c>
      <c r="B233">
        <f ca="1">OFFSET(daily_original_wrong!$B$23, 2*(ROW(B233)-ROW($B$23)),COLUMN(B233)-2)+OFFSET(daily_original_wrong!$B$23, 1+2*(ROW(B233)-ROW($B$23)),COLUMN(B233)-2)</f>
        <v>0</v>
      </c>
      <c r="C233">
        <f ca="1">OFFSET(daily_original_wrong!$B$23, 2*(ROW(C233)-ROW($B$23)),COLUMN(C233)-2)+OFFSET(daily_original_wrong!$B$23, 1+2*(ROW(C233)-ROW($B$23)),COLUMN(C233)-2)</f>
        <v>0</v>
      </c>
      <c r="D233">
        <f ca="1">OFFSET(daily_original_wrong!$B$23, 2*(ROW(D233)-ROW($B$23)),COLUMN(D233)-2)+OFFSET(daily_original_wrong!$B$23, 1+2*(ROW(D233)-ROW($B$23)),COLUMN(D233)-2)</f>
        <v>0</v>
      </c>
      <c r="E233">
        <f ca="1">OFFSET(daily_original_wrong!$B$23, 2*(ROW(E233)-ROW($B$23)),COLUMN(E233)-2)+OFFSET(daily_original_wrong!$B$23, 1+2*(ROW(E233)-ROW($B$23)),COLUMN(E233)-2)</f>
        <v>0</v>
      </c>
      <c r="F233">
        <f ca="1">OFFSET(daily_original_wrong!$B$23, 2*(ROW(F233)-ROW($B$23)),COLUMN(F233)-2)+OFFSET(daily_original_wrong!$B$23, 1+2*(ROW(F233)-ROW($B$23)),COLUMN(F233)-2)</f>
        <v>0</v>
      </c>
      <c r="G233">
        <f ca="1">OFFSET(daily_original_wrong!$B$23, 2*(ROW(G233)-ROW($B$23)),COLUMN(G233)-2)+OFFSET(daily_original_wrong!$B$23, 1+2*(ROW(G233)-ROW($B$23)),COLUMN(G233)-2)</f>
        <v>0</v>
      </c>
      <c r="H233">
        <f ca="1">OFFSET(daily_original_wrong!$B$23, 2*(ROW(H233)-ROW($B$23)),COLUMN(H233)-2)+OFFSET(daily_original_wrong!$B$23, 1+2*(ROW(H233)-ROW($B$23)),COLUMN(H233)-2)</f>
        <v>0</v>
      </c>
      <c r="J233" t="str">
        <f t="shared" si="20"/>
        <v>[</v>
      </c>
      <c r="K233" t="str">
        <f t="shared" ca="1" si="21"/>
        <v>[0],</v>
      </c>
      <c r="L233" t="str">
        <f t="shared" ca="1" si="25"/>
        <v>[0],</v>
      </c>
      <c r="M233" t="str">
        <f t="shared" ca="1" si="25"/>
        <v>[0],</v>
      </c>
      <c r="N233" t="str">
        <f t="shared" ca="1" si="25"/>
        <v>[0],</v>
      </c>
      <c r="O233" t="str">
        <f t="shared" ca="1" si="25"/>
        <v>[0],</v>
      </c>
      <c r="P233" t="str">
        <f t="shared" ca="1" si="25"/>
        <v>[0],</v>
      </c>
      <c r="Q233" t="str">
        <f t="shared" ca="1" si="22"/>
        <v>[0]</v>
      </c>
      <c r="R233" t="str">
        <f t="shared" si="23"/>
        <v>]</v>
      </c>
      <c r="S233" t="str">
        <f t="shared" ca="1" si="24"/>
        <v>[[0],[0],[0],[0],[0],[0],[0]]</v>
      </c>
    </row>
    <row r="234" spans="1:19" x14ac:dyDescent="0.2">
      <c r="A234" s="1" t="d">
        <v>2026-04-05</v>
      </c>
      <c r="B234">
        <f ca="1">OFFSET(daily_original_wrong!$B$23, 2*(ROW(B234)-ROW($B$23)),COLUMN(B234)-2)+OFFSET(daily_original_wrong!$B$23, 1+2*(ROW(B234)-ROW($B$23)),COLUMN(B234)-2)</f>
        <v>0</v>
      </c>
      <c r="C234">
        <f ca="1">OFFSET(daily_original_wrong!$B$23, 2*(ROW(C234)-ROW($B$23)),COLUMN(C234)-2)+OFFSET(daily_original_wrong!$B$23, 1+2*(ROW(C234)-ROW($B$23)),COLUMN(C234)-2)</f>
        <v>0</v>
      </c>
      <c r="D234">
        <f ca="1">OFFSET(daily_original_wrong!$B$23, 2*(ROW(D234)-ROW($B$23)),COLUMN(D234)-2)+OFFSET(daily_original_wrong!$B$23, 1+2*(ROW(D234)-ROW($B$23)),COLUMN(D234)-2)</f>
        <v>0</v>
      </c>
      <c r="E234">
        <f ca="1">OFFSET(daily_original_wrong!$B$23, 2*(ROW(E234)-ROW($B$23)),COLUMN(E234)-2)+OFFSET(daily_original_wrong!$B$23, 1+2*(ROW(E234)-ROW($B$23)),COLUMN(E234)-2)</f>
        <v>0</v>
      </c>
      <c r="F234">
        <f ca="1">OFFSET(daily_original_wrong!$B$23, 2*(ROW(F234)-ROW($B$23)),COLUMN(F234)-2)+OFFSET(daily_original_wrong!$B$23, 1+2*(ROW(F234)-ROW($B$23)),COLUMN(F234)-2)</f>
        <v>0</v>
      </c>
      <c r="G234">
        <f ca="1">OFFSET(daily_original_wrong!$B$23, 2*(ROW(G234)-ROW($B$23)),COLUMN(G234)-2)+OFFSET(daily_original_wrong!$B$23, 1+2*(ROW(G234)-ROW($B$23)),COLUMN(G234)-2)</f>
        <v>0</v>
      </c>
      <c r="H234">
        <f ca="1">OFFSET(daily_original_wrong!$B$23, 2*(ROW(H234)-ROW($B$23)),COLUMN(H234)-2)+OFFSET(daily_original_wrong!$B$23, 1+2*(ROW(H234)-ROW($B$23)),COLUMN(H234)-2)</f>
        <v>0</v>
      </c>
      <c r="J234" t="str">
        <f t="shared" si="20"/>
        <v>[</v>
      </c>
      <c r="K234" t="str">
        <f t="shared" ca="1" si="21"/>
        <v>[0],</v>
      </c>
      <c r="L234" t="str">
        <f t="shared" ca="1" si="25"/>
        <v>[0],</v>
      </c>
      <c r="M234" t="str">
        <f t="shared" ca="1" si="25"/>
        <v>[0],</v>
      </c>
      <c r="N234" t="str">
        <f t="shared" ca="1" si="25"/>
        <v>[0],</v>
      </c>
      <c r="O234" t="str">
        <f t="shared" ca="1" si="25"/>
        <v>[0],</v>
      </c>
      <c r="P234" t="str">
        <f t="shared" ca="1" si="25"/>
        <v>[0],</v>
      </c>
      <c r="Q234" t="str">
        <f t="shared" ca="1" si="22"/>
        <v>[0]</v>
      </c>
      <c r="R234" t="str">
        <f t="shared" si="23"/>
        <v>]</v>
      </c>
      <c r="S234" t="str">
        <f t="shared" ca="1" si="24"/>
        <v>[[0],[0],[0],[0],[0],[0],[0]]</v>
      </c>
    </row>
    <row r="235" spans="1:19" x14ac:dyDescent="0.2">
      <c r="A235" s="1" t="d">
        <v>2026-04-06</v>
      </c>
      <c r="B235">
        <f ca="1">OFFSET(daily_original_wrong!$B$23, 2*(ROW(B235)-ROW($B$23)),COLUMN(B235)-2)+OFFSET(daily_original_wrong!$B$23, 1+2*(ROW(B235)-ROW($B$23)),COLUMN(B235)-2)</f>
        <v>0</v>
      </c>
      <c r="C235">
        <f ca="1">OFFSET(daily_original_wrong!$B$23, 2*(ROW(C235)-ROW($B$23)),COLUMN(C235)-2)+OFFSET(daily_original_wrong!$B$23, 1+2*(ROW(C235)-ROW($B$23)),COLUMN(C235)-2)</f>
        <v>0</v>
      </c>
      <c r="D235">
        <f ca="1">OFFSET(daily_original_wrong!$B$23, 2*(ROW(D235)-ROW($B$23)),COLUMN(D235)-2)+OFFSET(daily_original_wrong!$B$23, 1+2*(ROW(D235)-ROW($B$23)),COLUMN(D235)-2)</f>
        <v>0</v>
      </c>
      <c r="E235">
        <f ca="1">OFFSET(daily_original_wrong!$B$23, 2*(ROW(E235)-ROW($B$23)),COLUMN(E235)-2)+OFFSET(daily_original_wrong!$B$23, 1+2*(ROW(E235)-ROW($B$23)),COLUMN(E235)-2)</f>
        <v>0</v>
      </c>
      <c r="F235">
        <f ca="1">OFFSET(daily_original_wrong!$B$23, 2*(ROW(F235)-ROW($B$23)),COLUMN(F235)-2)+OFFSET(daily_original_wrong!$B$23, 1+2*(ROW(F235)-ROW($B$23)),COLUMN(F235)-2)</f>
        <v>0</v>
      </c>
      <c r="G235">
        <f ca="1">OFFSET(daily_original_wrong!$B$23, 2*(ROW(G235)-ROW($B$23)),COLUMN(G235)-2)+OFFSET(daily_original_wrong!$B$23, 1+2*(ROW(G235)-ROW($B$23)),COLUMN(G235)-2)</f>
        <v>0</v>
      </c>
      <c r="H235">
        <f ca="1">OFFSET(daily_original_wrong!$B$23, 2*(ROW(H235)-ROW($B$23)),COLUMN(H235)-2)+OFFSET(daily_original_wrong!$B$23, 1+2*(ROW(H235)-ROW($B$23)),COLUMN(H235)-2)</f>
        <v>0</v>
      </c>
      <c r="J235" t="str">
        <f t="shared" si="20"/>
        <v>[</v>
      </c>
      <c r="K235" t="str">
        <f t="shared" ca="1" si="21"/>
        <v>[0],</v>
      </c>
      <c r="L235" t="str">
        <f t="shared" ca="1" si="25"/>
        <v>[0],</v>
      </c>
      <c r="M235" t="str">
        <f t="shared" ca="1" si="25"/>
        <v>[0],</v>
      </c>
      <c r="N235" t="str">
        <f t="shared" ca="1" si="25"/>
        <v>[0],</v>
      </c>
      <c r="O235" t="str">
        <f t="shared" ca="1" si="25"/>
        <v>[0],</v>
      </c>
      <c r="P235" t="str">
        <f t="shared" ca="1" si="25"/>
        <v>[0],</v>
      </c>
      <c r="Q235" t="str">
        <f t="shared" ca="1" si="22"/>
        <v>[0]</v>
      </c>
      <c r="R235" t="str">
        <f t="shared" si="23"/>
        <v>]</v>
      </c>
      <c r="S235" t="str">
        <f t="shared" ca="1" si="24"/>
        <v>[[0],[0],[0],[0],[0],[0],[0]]</v>
      </c>
    </row>
    <row r="236" spans="1:19" x14ac:dyDescent="0.2">
      <c r="A236" s="1" t="d">
        <v>2026-04-07</v>
      </c>
      <c r="B236">
        <f ca="1">OFFSET(daily_original_wrong!$B$23, 2*(ROW(B236)-ROW($B$23)),COLUMN(B236)-2)+OFFSET(daily_original_wrong!$B$23, 1+2*(ROW(B236)-ROW($B$23)),COLUMN(B236)-2)</f>
        <v>0</v>
      </c>
      <c r="C236">
        <f ca="1">OFFSET(daily_original_wrong!$B$23, 2*(ROW(C236)-ROW($B$23)),COLUMN(C236)-2)+OFFSET(daily_original_wrong!$B$23, 1+2*(ROW(C236)-ROW($B$23)),COLUMN(C236)-2)</f>
        <v>0</v>
      </c>
      <c r="D236">
        <f ca="1">OFFSET(daily_original_wrong!$B$23, 2*(ROW(D236)-ROW($B$23)),COLUMN(D236)-2)+OFFSET(daily_original_wrong!$B$23, 1+2*(ROW(D236)-ROW($B$23)),COLUMN(D236)-2)</f>
        <v>0</v>
      </c>
      <c r="E236">
        <f ca="1">OFFSET(daily_original_wrong!$B$23, 2*(ROW(E236)-ROW($B$23)),COLUMN(E236)-2)+OFFSET(daily_original_wrong!$B$23, 1+2*(ROW(E236)-ROW($B$23)),COLUMN(E236)-2)</f>
        <v>0</v>
      </c>
      <c r="F236">
        <f ca="1">OFFSET(daily_original_wrong!$B$23, 2*(ROW(F236)-ROW($B$23)),COLUMN(F236)-2)+OFFSET(daily_original_wrong!$B$23, 1+2*(ROW(F236)-ROW($B$23)),COLUMN(F236)-2)</f>
        <v>0</v>
      </c>
      <c r="G236">
        <f ca="1">OFFSET(daily_original_wrong!$B$23, 2*(ROW(G236)-ROW($B$23)),COLUMN(G236)-2)+OFFSET(daily_original_wrong!$B$23, 1+2*(ROW(G236)-ROW($B$23)),COLUMN(G236)-2)</f>
        <v>0</v>
      </c>
      <c r="H236">
        <f ca="1">OFFSET(daily_original_wrong!$B$23, 2*(ROW(H236)-ROW($B$23)),COLUMN(H236)-2)+OFFSET(daily_original_wrong!$B$23, 1+2*(ROW(H236)-ROW($B$23)),COLUMN(H236)-2)</f>
        <v>0</v>
      </c>
      <c r="J236" t="str">
        <f t="shared" si="20"/>
        <v>[</v>
      </c>
      <c r="K236" t="str">
        <f t="shared" ca="1" si="21"/>
        <v>[0],</v>
      </c>
      <c r="L236" t="str">
        <f t="shared" ca="1" si="25"/>
        <v>[0],</v>
      </c>
      <c r="M236" t="str">
        <f t="shared" ca="1" si="25"/>
        <v>[0],</v>
      </c>
      <c r="N236" t="str">
        <f t="shared" ca="1" si="25"/>
        <v>[0],</v>
      </c>
      <c r="O236" t="str">
        <f t="shared" ca="1" si="25"/>
        <v>[0],</v>
      </c>
      <c r="P236" t="str">
        <f t="shared" ca="1" si="25"/>
        <v>[0],</v>
      </c>
      <c r="Q236" t="str">
        <f t="shared" ca="1" si="22"/>
        <v>[0]</v>
      </c>
      <c r="R236" t="str">
        <f t="shared" si="23"/>
        <v>]</v>
      </c>
      <c r="S236" t="str">
        <f t="shared" ca="1" si="24"/>
        <v>[[0],[0],[0],[0],[0],[0],[0]]</v>
      </c>
    </row>
    <row r="237" spans="1:19" x14ac:dyDescent="0.2">
      <c r="A237" s="1" t="d">
        <v>2026-04-08</v>
      </c>
      <c r="B237">
        <f ca="1">OFFSET(daily_original_wrong!$B$23, 2*(ROW(B237)-ROW($B$23)),COLUMN(B237)-2)+OFFSET(daily_original_wrong!$B$23, 1+2*(ROW(B237)-ROW($B$23)),COLUMN(B237)-2)</f>
        <v>0</v>
      </c>
      <c r="C237">
        <f ca="1">OFFSET(daily_original_wrong!$B$23, 2*(ROW(C237)-ROW($B$23)),COLUMN(C237)-2)+OFFSET(daily_original_wrong!$B$23, 1+2*(ROW(C237)-ROW($B$23)),COLUMN(C237)-2)</f>
        <v>0</v>
      </c>
      <c r="D237">
        <f ca="1">OFFSET(daily_original_wrong!$B$23, 2*(ROW(D237)-ROW($B$23)),COLUMN(D237)-2)+OFFSET(daily_original_wrong!$B$23, 1+2*(ROW(D237)-ROW($B$23)),COLUMN(D237)-2)</f>
        <v>0</v>
      </c>
      <c r="E237">
        <f ca="1">OFFSET(daily_original_wrong!$B$23, 2*(ROW(E237)-ROW($B$23)),COLUMN(E237)-2)+OFFSET(daily_original_wrong!$B$23, 1+2*(ROW(E237)-ROW($B$23)),COLUMN(E237)-2)</f>
        <v>0</v>
      </c>
      <c r="F237">
        <f ca="1">OFFSET(daily_original_wrong!$B$23, 2*(ROW(F237)-ROW($B$23)),COLUMN(F237)-2)+OFFSET(daily_original_wrong!$B$23, 1+2*(ROW(F237)-ROW($B$23)),COLUMN(F237)-2)</f>
        <v>0</v>
      </c>
      <c r="G237">
        <f ca="1">OFFSET(daily_original_wrong!$B$23, 2*(ROW(G237)-ROW($B$23)),COLUMN(G237)-2)+OFFSET(daily_original_wrong!$B$23, 1+2*(ROW(G237)-ROW($B$23)),COLUMN(G237)-2)</f>
        <v>0</v>
      </c>
      <c r="H237">
        <f ca="1">OFFSET(daily_original_wrong!$B$23, 2*(ROW(H237)-ROW($B$23)),COLUMN(H237)-2)+OFFSET(daily_original_wrong!$B$23, 1+2*(ROW(H237)-ROW($B$23)),COLUMN(H237)-2)</f>
        <v>0</v>
      </c>
      <c r="J237" t="str">
        <f t="shared" si="20"/>
        <v>[</v>
      </c>
      <c r="K237" t="str">
        <f t="shared" ca="1" si="21"/>
        <v>[0],</v>
      </c>
      <c r="L237" t="str">
        <f t="shared" ca="1" si="25"/>
        <v>[0],</v>
      </c>
      <c r="M237" t="str">
        <f t="shared" ca="1" si="25"/>
        <v>[0],</v>
      </c>
      <c r="N237" t="str">
        <f t="shared" ca="1" si="25"/>
        <v>[0],</v>
      </c>
      <c r="O237" t="str">
        <f t="shared" ca="1" si="25"/>
        <v>[0],</v>
      </c>
      <c r="P237" t="str">
        <f t="shared" ca="1" si="25"/>
        <v>[0],</v>
      </c>
      <c r="Q237" t="str">
        <f t="shared" ca="1" si="22"/>
        <v>[0]</v>
      </c>
      <c r="R237" t="str">
        <f t="shared" si="23"/>
        <v>]</v>
      </c>
      <c r="S237" t="str">
        <f t="shared" ca="1" si="24"/>
        <v>[[0],[0],[0],[0],[0],[0],[0]]</v>
      </c>
    </row>
    <row r="238" spans="1:19" x14ac:dyDescent="0.2">
      <c r="A238" s="1" t="d">
        <v>2026-04-09</v>
      </c>
      <c r="B238">
        <f ca="1">OFFSET(daily_original_wrong!$B$23, 2*(ROW(B238)-ROW($B$23)),COLUMN(B238)-2)+OFFSET(daily_original_wrong!$B$23, 1+2*(ROW(B238)-ROW($B$23)),COLUMN(B238)-2)</f>
        <v>0</v>
      </c>
      <c r="C238">
        <f ca="1">OFFSET(daily_original_wrong!$B$23, 2*(ROW(C238)-ROW($B$23)),COLUMN(C238)-2)+OFFSET(daily_original_wrong!$B$23, 1+2*(ROW(C238)-ROW($B$23)),COLUMN(C238)-2)</f>
        <v>0</v>
      </c>
      <c r="D238">
        <f ca="1">OFFSET(daily_original_wrong!$B$23, 2*(ROW(D238)-ROW($B$23)),COLUMN(D238)-2)+OFFSET(daily_original_wrong!$B$23, 1+2*(ROW(D238)-ROW($B$23)),COLUMN(D238)-2)</f>
        <v>0</v>
      </c>
      <c r="E238">
        <f ca="1">OFFSET(daily_original_wrong!$B$23, 2*(ROW(E238)-ROW($B$23)),COLUMN(E238)-2)+OFFSET(daily_original_wrong!$B$23, 1+2*(ROW(E238)-ROW($B$23)),COLUMN(E238)-2)</f>
        <v>0</v>
      </c>
      <c r="F238">
        <f ca="1">OFFSET(daily_original_wrong!$B$23, 2*(ROW(F238)-ROW($B$23)),COLUMN(F238)-2)+OFFSET(daily_original_wrong!$B$23, 1+2*(ROW(F238)-ROW($B$23)),COLUMN(F238)-2)</f>
        <v>0</v>
      </c>
      <c r="G238">
        <f ca="1">OFFSET(daily_original_wrong!$B$23, 2*(ROW(G238)-ROW($B$23)),COLUMN(G238)-2)+OFFSET(daily_original_wrong!$B$23, 1+2*(ROW(G238)-ROW($B$23)),COLUMN(G238)-2)</f>
        <v>0</v>
      </c>
      <c r="H238">
        <f ca="1">OFFSET(daily_original_wrong!$B$23, 2*(ROW(H238)-ROW($B$23)),COLUMN(H238)-2)+OFFSET(daily_original_wrong!$B$23, 1+2*(ROW(H238)-ROW($B$23)),COLUMN(H238)-2)</f>
        <v>0</v>
      </c>
      <c r="J238" t="str">
        <f t="shared" si="20"/>
        <v>[</v>
      </c>
      <c r="K238" t="str">
        <f t="shared" ca="1" si="21"/>
        <v>[0],</v>
      </c>
      <c r="L238" t="str">
        <f t="shared" ca="1" si="25"/>
        <v>[0],</v>
      </c>
      <c r="M238" t="str">
        <f t="shared" ca="1" si="25"/>
        <v>[0],</v>
      </c>
      <c r="N238" t="str">
        <f t="shared" ca="1" si="25"/>
        <v>[0],</v>
      </c>
      <c r="O238" t="str">
        <f t="shared" ca="1" si="25"/>
        <v>[0],</v>
      </c>
      <c r="P238" t="str">
        <f t="shared" ca="1" si="25"/>
        <v>[0],</v>
      </c>
      <c r="Q238" t="str">
        <f t="shared" ca="1" si="22"/>
        <v>[0]</v>
      </c>
      <c r="R238" t="str">
        <f t="shared" si="23"/>
        <v>]</v>
      </c>
      <c r="S238" t="str">
        <f t="shared" ca="1" si="24"/>
        <v>[[0],[0],[0],[0],[0],[0],[0]]</v>
      </c>
    </row>
    <row r="239" spans="1:19" x14ac:dyDescent="0.2">
      <c r="A239" s="1" t="d">
        <v>2026-04-10</v>
      </c>
      <c r="B239">
        <f ca="1">OFFSET(daily_original_wrong!$B$23, 2*(ROW(B239)-ROW($B$23)),COLUMN(B239)-2)+OFFSET(daily_original_wrong!$B$23, 1+2*(ROW(B239)-ROW($B$23)),COLUMN(B239)-2)</f>
        <v>0</v>
      </c>
      <c r="C239">
        <f ca="1">OFFSET(daily_original_wrong!$B$23, 2*(ROW(C239)-ROW($B$23)),COLUMN(C239)-2)+OFFSET(daily_original_wrong!$B$23, 1+2*(ROW(C239)-ROW($B$23)),COLUMN(C239)-2)</f>
        <v>0</v>
      </c>
      <c r="D239">
        <f ca="1">OFFSET(daily_original_wrong!$B$23, 2*(ROW(D239)-ROW($B$23)),COLUMN(D239)-2)+OFFSET(daily_original_wrong!$B$23, 1+2*(ROW(D239)-ROW($B$23)),COLUMN(D239)-2)</f>
        <v>0</v>
      </c>
      <c r="E239">
        <f ca="1">OFFSET(daily_original_wrong!$B$23, 2*(ROW(E239)-ROW($B$23)),COLUMN(E239)-2)+OFFSET(daily_original_wrong!$B$23, 1+2*(ROW(E239)-ROW($B$23)),COLUMN(E239)-2)</f>
        <v>0</v>
      </c>
      <c r="F239">
        <f ca="1">OFFSET(daily_original_wrong!$B$23, 2*(ROW(F239)-ROW($B$23)),COLUMN(F239)-2)+OFFSET(daily_original_wrong!$B$23, 1+2*(ROW(F239)-ROW($B$23)),COLUMN(F239)-2)</f>
        <v>0</v>
      </c>
      <c r="G239">
        <f ca="1">OFFSET(daily_original_wrong!$B$23, 2*(ROW(G239)-ROW($B$23)),COLUMN(G239)-2)+OFFSET(daily_original_wrong!$B$23, 1+2*(ROW(G239)-ROW($B$23)),COLUMN(G239)-2)</f>
        <v>0</v>
      </c>
      <c r="H239">
        <f ca="1">OFFSET(daily_original_wrong!$B$23, 2*(ROW(H239)-ROW($B$23)),COLUMN(H239)-2)+OFFSET(daily_original_wrong!$B$23, 1+2*(ROW(H239)-ROW($B$23)),COLUMN(H239)-2)</f>
        <v>0</v>
      </c>
      <c r="J239" t="str">
        <f t="shared" si="20"/>
        <v>[</v>
      </c>
      <c r="K239" t="str">
        <f t="shared" ca="1" si="21"/>
        <v>[0],</v>
      </c>
      <c r="L239" t="str">
        <f t="shared" ca="1" si="25"/>
        <v>[0],</v>
      </c>
      <c r="M239" t="str">
        <f t="shared" ca="1" si="25"/>
        <v>[0],</v>
      </c>
      <c r="N239" t="str">
        <f t="shared" ca="1" si="25"/>
        <v>[0],</v>
      </c>
      <c r="O239" t="str">
        <f t="shared" ca="1" si="25"/>
        <v>[0],</v>
      </c>
      <c r="P239" t="str">
        <f t="shared" ca="1" si="25"/>
        <v>[0],</v>
      </c>
      <c r="Q239" t="str">
        <f t="shared" ca="1" si="22"/>
        <v>[0]</v>
      </c>
      <c r="R239" t="str">
        <f t="shared" si="23"/>
        <v>]</v>
      </c>
      <c r="S239" t="str">
        <f t="shared" ca="1" si="24"/>
        <v>[[0],[0],[0],[0],[0],[0],[0]]</v>
      </c>
    </row>
    <row r="240" spans="1:19" x14ac:dyDescent="0.2">
      <c r="A240" s="1" t="d">
        <v>2026-04-11</v>
      </c>
      <c r="B240">
        <f ca="1">OFFSET(daily_original_wrong!$B$23, 2*(ROW(B240)-ROW($B$23)),COLUMN(B240)-2)+OFFSET(daily_original_wrong!$B$23, 1+2*(ROW(B240)-ROW($B$23)),COLUMN(B240)-2)</f>
        <v>0</v>
      </c>
      <c r="C240">
        <f ca="1">OFFSET(daily_original_wrong!$B$23, 2*(ROW(C240)-ROW($B$23)),COLUMN(C240)-2)+OFFSET(daily_original_wrong!$B$23, 1+2*(ROW(C240)-ROW($B$23)),COLUMN(C240)-2)</f>
        <v>0</v>
      </c>
      <c r="D240">
        <f ca="1">OFFSET(daily_original_wrong!$B$23, 2*(ROW(D240)-ROW($B$23)),COLUMN(D240)-2)+OFFSET(daily_original_wrong!$B$23, 1+2*(ROW(D240)-ROW($B$23)),COLUMN(D240)-2)</f>
        <v>0</v>
      </c>
      <c r="E240">
        <f ca="1">OFFSET(daily_original_wrong!$B$23, 2*(ROW(E240)-ROW($B$23)),COLUMN(E240)-2)+OFFSET(daily_original_wrong!$B$23, 1+2*(ROW(E240)-ROW($B$23)),COLUMN(E240)-2)</f>
        <v>0</v>
      </c>
      <c r="F240">
        <f ca="1">OFFSET(daily_original_wrong!$B$23, 2*(ROW(F240)-ROW($B$23)),COLUMN(F240)-2)+OFFSET(daily_original_wrong!$B$23, 1+2*(ROW(F240)-ROW($B$23)),COLUMN(F240)-2)</f>
        <v>0</v>
      </c>
      <c r="G240">
        <f ca="1">OFFSET(daily_original_wrong!$B$23, 2*(ROW(G240)-ROW($B$23)),COLUMN(G240)-2)+OFFSET(daily_original_wrong!$B$23, 1+2*(ROW(G240)-ROW($B$23)),COLUMN(G240)-2)</f>
        <v>0</v>
      </c>
      <c r="H240">
        <f ca="1">OFFSET(daily_original_wrong!$B$23, 2*(ROW(H240)-ROW($B$23)),COLUMN(H240)-2)+OFFSET(daily_original_wrong!$B$23, 1+2*(ROW(H240)-ROW($B$23)),COLUMN(H240)-2)</f>
        <v>0</v>
      </c>
      <c r="J240" t="str">
        <f t="shared" si="20"/>
        <v>[</v>
      </c>
      <c r="K240" t="str">
        <f t="shared" ca="1" si="21"/>
        <v>[0],</v>
      </c>
      <c r="L240" t="str">
        <f t="shared" ca="1" si="25"/>
        <v>[0],</v>
      </c>
      <c r="M240" t="str">
        <f t="shared" ca="1" si="25"/>
        <v>[0],</v>
      </c>
      <c r="N240" t="str">
        <f t="shared" ca="1" si="25"/>
        <v>[0],</v>
      </c>
      <c r="O240" t="str">
        <f t="shared" ca="1" si="25"/>
        <v>[0],</v>
      </c>
      <c r="P240" t="str">
        <f t="shared" ca="1" si="25"/>
        <v>[0],</v>
      </c>
      <c r="Q240" t="str">
        <f t="shared" ca="1" si="22"/>
        <v>[0]</v>
      </c>
      <c r="R240" t="str">
        <f t="shared" si="23"/>
        <v>]</v>
      </c>
      <c r="S240" t="str">
        <f t="shared" ca="1" si="24"/>
        <v>[[0],[0],[0],[0],[0],[0],[0]]</v>
      </c>
    </row>
    <row r="241" spans="1:19" x14ac:dyDescent="0.2">
      <c r="A241" s="1" t="d">
        <v>2026-04-12</v>
      </c>
      <c r="B241">
        <f ca="1">OFFSET(daily_original_wrong!$B$23, 2*(ROW(B241)-ROW($B$23)),COLUMN(B241)-2)+OFFSET(daily_original_wrong!$B$23, 1+2*(ROW(B241)-ROW($B$23)),COLUMN(B241)-2)</f>
        <v>0</v>
      </c>
      <c r="C241">
        <f ca="1">OFFSET(daily_original_wrong!$B$23, 2*(ROW(C241)-ROW($B$23)),COLUMN(C241)-2)+OFFSET(daily_original_wrong!$B$23, 1+2*(ROW(C241)-ROW($B$23)),COLUMN(C241)-2)</f>
        <v>0</v>
      </c>
      <c r="D241">
        <f ca="1">OFFSET(daily_original_wrong!$B$23, 2*(ROW(D241)-ROW($B$23)),COLUMN(D241)-2)+OFFSET(daily_original_wrong!$B$23, 1+2*(ROW(D241)-ROW($B$23)),COLUMN(D241)-2)</f>
        <v>0</v>
      </c>
      <c r="E241">
        <f ca="1">OFFSET(daily_original_wrong!$B$23, 2*(ROW(E241)-ROW($B$23)),COLUMN(E241)-2)+OFFSET(daily_original_wrong!$B$23, 1+2*(ROW(E241)-ROW($B$23)),COLUMN(E241)-2)</f>
        <v>0</v>
      </c>
      <c r="F241">
        <f ca="1">OFFSET(daily_original_wrong!$B$23, 2*(ROW(F241)-ROW($B$23)),COLUMN(F241)-2)+OFFSET(daily_original_wrong!$B$23, 1+2*(ROW(F241)-ROW($B$23)),COLUMN(F241)-2)</f>
        <v>0</v>
      </c>
      <c r="G241">
        <f ca="1">OFFSET(daily_original_wrong!$B$23, 2*(ROW(G241)-ROW($B$23)),COLUMN(G241)-2)+OFFSET(daily_original_wrong!$B$23, 1+2*(ROW(G241)-ROW($B$23)),COLUMN(G241)-2)</f>
        <v>0</v>
      </c>
      <c r="H241">
        <f ca="1">OFFSET(daily_original_wrong!$B$23, 2*(ROW(H241)-ROW($B$23)),COLUMN(H241)-2)+OFFSET(daily_original_wrong!$B$23, 1+2*(ROW(H241)-ROW($B$23)),COLUMN(H241)-2)</f>
        <v>0</v>
      </c>
      <c r="J241" t="str">
        <f t="shared" si="20"/>
        <v>[</v>
      </c>
      <c r="K241" t="str">
        <f t="shared" ca="1" si="21"/>
        <v>[0],</v>
      </c>
      <c r="L241" t="str">
        <f t="shared" ca="1" si="25"/>
        <v>[0],</v>
      </c>
      <c r="M241" t="str">
        <f t="shared" ca="1" si="25"/>
        <v>[0],</v>
      </c>
      <c r="N241" t="str">
        <f t="shared" ca="1" si="25"/>
        <v>[0],</v>
      </c>
      <c r="O241" t="str">
        <f t="shared" ca="1" si="25"/>
        <v>[0],</v>
      </c>
      <c r="P241" t="str">
        <f t="shared" ca="1" si="25"/>
        <v>[0],</v>
      </c>
      <c r="Q241" t="str">
        <f t="shared" ca="1" si="22"/>
        <v>[0]</v>
      </c>
      <c r="R241" t="str">
        <f t="shared" si="23"/>
        <v>]</v>
      </c>
      <c r="S241" t="str">
        <f t="shared" ca="1" si="24"/>
        <v>[[0],[0],[0],[0],[0],[0],[0]]</v>
      </c>
    </row>
    <row r="242" spans="1:19" x14ac:dyDescent="0.2">
      <c r="A242" s="1" t="d">
        <v>2026-04-13</v>
      </c>
      <c r="B242">
        <f ca="1">OFFSET(daily_original_wrong!$B$23, 2*(ROW(B242)-ROW($B$23)),COLUMN(B242)-2)+OFFSET(daily_original_wrong!$B$23, 1+2*(ROW(B242)-ROW($B$23)),COLUMN(B242)-2)</f>
        <v>0</v>
      </c>
      <c r="C242">
        <f ca="1">OFFSET(daily_original_wrong!$B$23, 2*(ROW(C242)-ROW($B$23)),COLUMN(C242)-2)+OFFSET(daily_original_wrong!$B$23, 1+2*(ROW(C242)-ROW($B$23)),COLUMN(C242)-2)</f>
        <v>0</v>
      </c>
      <c r="D242">
        <f ca="1">OFFSET(daily_original_wrong!$B$23, 2*(ROW(D242)-ROW($B$23)),COLUMN(D242)-2)+OFFSET(daily_original_wrong!$B$23, 1+2*(ROW(D242)-ROW($B$23)),COLUMN(D242)-2)</f>
        <v>0</v>
      </c>
      <c r="E242">
        <f ca="1">OFFSET(daily_original_wrong!$B$23, 2*(ROW(E242)-ROW($B$23)),COLUMN(E242)-2)+OFFSET(daily_original_wrong!$B$23, 1+2*(ROW(E242)-ROW($B$23)),COLUMN(E242)-2)</f>
        <v>0</v>
      </c>
      <c r="F242">
        <f ca="1">OFFSET(daily_original_wrong!$B$23, 2*(ROW(F242)-ROW($B$23)),COLUMN(F242)-2)+OFFSET(daily_original_wrong!$B$23, 1+2*(ROW(F242)-ROW($B$23)),COLUMN(F242)-2)</f>
        <v>0</v>
      </c>
      <c r="G242">
        <f ca="1">OFFSET(daily_original_wrong!$B$23, 2*(ROW(G242)-ROW($B$23)),COLUMN(G242)-2)+OFFSET(daily_original_wrong!$B$23, 1+2*(ROW(G242)-ROW($B$23)),COLUMN(G242)-2)</f>
        <v>0</v>
      </c>
      <c r="H242">
        <f ca="1">OFFSET(daily_original_wrong!$B$23, 2*(ROW(H242)-ROW($B$23)),COLUMN(H242)-2)+OFFSET(daily_original_wrong!$B$23, 1+2*(ROW(H242)-ROW($B$23)),COLUMN(H242)-2)</f>
        <v>0</v>
      </c>
      <c r="J242" t="str">
        <f t="shared" si="20"/>
        <v>[</v>
      </c>
      <c r="K242" t="str">
        <f t="shared" ca="1" si="21"/>
        <v>[0],</v>
      </c>
      <c r="L242" t="str">
        <f t="shared" ca="1" si="25"/>
        <v>[0],</v>
      </c>
      <c r="M242" t="str">
        <f t="shared" ca="1" si="25"/>
        <v>[0],</v>
      </c>
      <c r="N242" t="str">
        <f t="shared" ca="1" si="25"/>
        <v>[0],</v>
      </c>
      <c r="O242" t="str">
        <f t="shared" ca="1" si="25"/>
        <v>[0],</v>
      </c>
      <c r="P242" t="str">
        <f t="shared" ca="1" si="25"/>
        <v>[0],</v>
      </c>
      <c r="Q242" t="str">
        <f t="shared" ca="1" si="22"/>
        <v>[0]</v>
      </c>
      <c r="R242" t="str">
        <f t="shared" si="23"/>
        <v>]</v>
      </c>
      <c r="S242" t="str">
        <f t="shared" ca="1" si="24"/>
        <v>[[0],[0],[0],[0],[0],[0],[0]]</v>
      </c>
    </row>
    <row r="243" spans="1:19" x14ac:dyDescent="0.2">
      <c r="A243" s="1" t="d">
        <v>2026-04-14</v>
      </c>
      <c r="B243">
        <f ca="1">OFFSET(daily_original_wrong!$B$23, 2*(ROW(B243)-ROW($B$23)),COLUMN(B243)-2)+OFFSET(daily_original_wrong!$B$23, 1+2*(ROW(B243)-ROW($B$23)),COLUMN(B243)-2)</f>
        <v>0</v>
      </c>
      <c r="C243">
        <f ca="1">OFFSET(daily_original_wrong!$B$23, 2*(ROW(C243)-ROW($B$23)),COLUMN(C243)-2)+OFFSET(daily_original_wrong!$B$23, 1+2*(ROW(C243)-ROW($B$23)),COLUMN(C243)-2)</f>
        <v>0</v>
      </c>
      <c r="D243">
        <f ca="1">OFFSET(daily_original_wrong!$B$23, 2*(ROW(D243)-ROW($B$23)),COLUMN(D243)-2)+OFFSET(daily_original_wrong!$B$23, 1+2*(ROW(D243)-ROW($B$23)),COLUMN(D243)-2)</f>
        <v>0</v>
      </c>
      <c r="E243">
        <f ca="1">OFFSET(daily_original_wrong!$B$23, 2*(ROW(E243)-ROW($B$23)),COLUMN(E243)-2)+OFFSET(daily_original_wrong!$B$23, 1+2*(ROW(E243)-ROW($B$23)),COLUMN(E243)-2)</f>
        <v>0</v>
      </c>
      <c r="F243">
        <f ca="1">OFFSET(daily_original_wrong!$B$23, 2*(ROW(F243)-ROW($B$23)),COLUMN(F243)-2)+OFFSET(daily_original_wrong!$B$23, 1+2*(ROW(F243)-ROW($B$23)),COLUMN(F243)-2)</f>
        <v>0</v>
      </c>
      <c r="G243">
        <f ca="1">OFFSET(daily_original_wrong!$B$23, 2*(ROW(G243)-ROW($B$23)),COLUMN(G243)-2)+OFFSET(daily_original_wrong!$B$23, 1+2*(ROW(G243)-ROW($B$23)),COLUMN(G243)-2)</f>
        <v>0</v>
      </c>
      <c r="H243">
        <f ca="1">OFFSET(daily_original_wrong!$B$23, 2*(ROW(H243)-ROW($B$23)),COLUMN(H243)-2)+OFFSET(daily_original_wrong!$B$23, 1+2*(ROW(H243)-ROW($B$23)),COLUMN(H243)-2)</f>
        <v>0</v>
      </c>
      <c r="J243" t="str">
        <f t="shared" si="20"/>
        <v>[</v>
      </c>
      <c r="K243" t="str">
        <f t="shared" ca="1" si="21"/>
        <v>[0],</v>
      </c>
      <c r="L243" t="str">
        <f t="shared" ca="1" si="25"/>
        <v>[0],</v>
      </c>
      <c r="M243" t="str">
        <f t="shared" ca="1" si="25"/>
        <v>[0],</v>
      </c>
      <c r="N243" t="str">
        <f t="shared" ca="1" si="25"/>
        <v>[0],</v>
      </c>
      <c r="O243" t="str">
        <f t="shared" ca="1" si="25"/>
        <v>[0],</v>
      </c>
      <c r="P243" t="str">
        <f t="shared" ca="1" si="25"/>
        <v>[0],</v>
      </c>
      <c r="Q243" t="str">
        <f t="shared" ca="1" si="22"/>
        <v>[0]</v>
      </c>
      <c r="R243" t="str">
        <f t="shared" si="23"/>
        <v>]</v>
      </c>
      <c r="S243" t="str">
        <f t="shared" ca="1" si="24"/>
        <v>[[0],[0],[0],[0],[0],[0],[0]]</v>
      </c>
    </row>
    <row r="244" spans="1:19" x14ac:dyDescent="0.2">
      <c r="A244" s="1" t="d">
        <v>2026-04-15</v>
      </c>
      <c r="B244">
        <f ca="1">OFFSET(daily_original_wrong!$B$23, 2*(ROW(B244)-ROW($B$23)),COLUMN(B244)-2)+OFFSET(daily_original_wrong!$B$23, 1+2*(ROW(B244)-ROW($B$23)),COLUMN(B244)-2)</f>
        <v>0</v>
      </c>
      <c r="C244">
        <f ca="1">OFFSET(daily_original_wrong!$B$23, 2*(ROW(C244)-ROW($B$23)),COLUMN(C244)-2)+OFFSET(daily_original_wrong!$B$23, 1+2*(ROW(C244)-ROW($B$23)),COLUMN(C244)-2)</f>
        <v>0</v>
      </c>
      <c r="D244">
        <f ca="1">OFFSET(daily_original_wrong!$B$23, 2*(ROW(D244)-ROW($B$23)),COLUMN(D244)-2)+OFFSET(daily_original_wrong!$B$23, 1+2*(ROW(D244)-ROW($B$23)),COLUMN(D244)-2)</f>
        <v>0</v>
      </c>
      <c r="E244">
        <f ca="1">OFFSET(daily_original_wrong!$B$23, 2*(ROW(E244)-ROW($B$23)),COLUMN(E244)-2)+OFFSET(daily_original_wrong!$B$23, 1+2*(ROW(E244)-ROW($B$23)),COLUMN(E244)-2)</f>
        <v>0</v>
      </c>
      <c r="F244">
        <f ca="1">OFFSET(daily_original_wrong!$B$23, 2*(ROW(F244)-ROW($B$23)),COLUMN(F244)-2)+OFFSET(daily_original_wrong!$B$23, 1+2*(ROW(F244)-ROW($B$23)),COLUMN(F244)-2)</f>
        <v>0</v>
      </c>
      <c r="G244">
        <f ca="1">OFFSET(daily_original_wrong!$B$23, 2*(ROW(G244)-ROW($B$23)),COLUMN(G244)-2)+OFFSET(daily_original_wrong!$B$23, 1+2*(ROW(G244)-ROW($B$23)),COLUMN(G244)-2)</f>
        <v>0</v>
      </c>
      <c r="H244">
        <f ca="1">OFFSET(daily_original_wrong!$B$23, 2*(ROW(H244)-ROW($B$23)),COLUMN(H244)-2)+OFFSET(daily_original_wrong!$B$23, 1+2*(ROW(H244)-ROW($B$23)),COLUMN(H244)-2)</f>
        <v>0</v>
      </c>
      <c r="J244" t="str">
        <f t="shared" si="20"/>
        <v>[</v>
      </c>
      <c r="K244" t="str">
        <f t="shared" ca="1" si="21"/>
        <v>[0],</v>
      </c>
      <c r="L244" t="str">
        <f t="shared" ca="1" si="25"/>
        <v>[0],</v>
      </c>
      <c r="M244" t="str">
        <f t="shared" ca="1" si="25"/>
        <v>[0],</v>
      </c>
      <c r="N244" t="str">
        <f t="shared" ca="1" si="25"/>
        <v>[0],</v>
      </c>
      <c r="O244" t="str">
        <f t="shared" ca="1" si="25"/>
        <v>[0],</v>
      </c>
      <c r="P244" t="str">
        <f t="shared" ca="1" si="25"/>
        <v>[0],</v>
      </c>
      <c r="Q244" t="str">
        <f t="shared" ca="1" si="22"/>
        <v>[0]</v>
      </c>
      <c r="R244" t="str">
        <f t="shared" si="23"/>
        <v>]</v>
      </c>
      <c r="S244" t="str">
        <f t="shared" ca="1" si="24"/>
        <v>[[0],[0],[0],[0],[0],[0],[0]]</v>
      </c>
    </row>
    <row r="245" spans="1:19" x14ac:dyDescent="0.2">
      <c r="A245" s="1" t="d">
        <v>2026-04-16</v>
      </c>
      <c r="B245">
        <f ca="1">OFFSET(daily_original_wrong!$B$23, 2*(ROW(B245)-ROW($B$23)),COLUMN(B245)-2)+OFFSET(daily_original_wrong!$B$23, 1+2*(ROW(B245)-ROW($B$23)),COLUMN(B245)-2)</f>
        <v>0</v>
      </c>
      <c r="C245">
        <f ca="1">OFFSET(daily_original_wrong!$B$23, 2*(ROW(C245)-ROW($B$23)),COLUMN(C245)-2)+OFFSET(daily_original_wrong!$B$23, 1+2*(ROW(C245)-ROW($B$23)),COLUMN(C245)-2)</f>
        <v>0</v>
      </c>
      <c r="D245">
        <f ca="1">OFFSET(daily_original_wrong!$B$23, 2*(ROW(D245)-ROW($B$23)),COLUMN(D245)-2)+OFFSET(daily_original_wrong!$B$23, 1+2*(ROW(D245)-ROW($B$23)),COLUMN(D245)-2)</f>
        <v>0</v>
      </c>
      <c r="E245">
        <f ca="1">OFFSET(daily_original_wrong!$B$23, 2*(ROW(E245)-ROW($B$23)),COLUMN(E245)-2)+OFFSET(daily_original_wrong!$B$23, 1+2*(ROW(E245)-ROW($B$23)),COLUMN(E245)-2)</f>
        <v>0</v>
      </c>
      <c r="F245">
        <f ca="1">OFFSET(daily_original_wrong!$B$23, 2*(ROW(F245)-ROW($B$23)),COLUMN(F245)-2)+OFFSET(daily_original_wrong!$B$23, 1+2*(ROW(F245)-ROW($B$23)),COLUMN(F245)-2)</f>
        <v>0</v>
      </c>
      <c r="G245">
        <f ca="1">OFFSET(daily_original_wrong!$B$23, 2*(ROW(G245)-ROW($B$23)),COLUMN(G245)-2)+OFFSET(daily_original_wrong!$B$23, 1+2*(ROW(G245)-ROW($B$23)),COLUMN(G245)-2)</f>
        <v>0</v>
      </c>
      <c r="H245">
        <f ca="1">OFFSET(daily_original_wrong!$B$23, 2*(ROW(H245)-ROW($B$23)),COLUMN(H245)-2)+OFFSET(daily_original_wrong!$B$23, 1+2*(ROW(H245)-ROW($B$23)),COLUMN(H245)-2)</f>
        <v>0</v>
      </c>
      <c r="J245" t="str">
        <f t="shared" si="20"/>
        <v>[</v>
      </c>
      <c r="K245" t="str">
        <f t="shared" ca="1" si="21"/>
        <v>[0],</v>
      </c>
      <c r="L245" t="str">
        <f t="shared" ca="1" si="25"/>
        <v>[0],</v>
      </c>
      <c r="M245" t="str">
        <f t="shared" ca="1" si="25"/>
        <v>[0],</v>
      </c>
      <c r="N245" t="str">
        <f t="shared" ca="1" si="25"/>
        <v>[0],</v>
      </c>
      <c r="O245" t="str">
        <f t="shared" ca="1" si="25"/>
        <v>[0],</v>
      </c>
      <c r="P245" t="str">
        <f t="shared" ca="1" si="25"/>
        <v>[0],</v>
      </c>
      <c r="Q245" t="str">
        <f t="shared" ca="1" si="22"/>
        <v>[0]</v>
      </c>
      <c r="R245" t="str">
        <f t="shared" si="23"/>
        <v>]</v>
      </c>
      <c r="S245" t="str">
        <f t="shared" ca="1" si="24"/>
        <v>[[0],[0],[0],[0],[0],[0],[0]]</v>
      </c>
    </row>
    <row r="246" spans="1:19" x14ac:dyDescent="0.2">
      <c r="A246" s="1" t="d">
        <v>2026-04-17</v>
      </c>
      <c r="B246">
        <f ca="1">OFFSET(daily_original_wrong!$B$23, 2*(ROW(B246)-ROW($B$23)),COLUMN(B246)-2)+OFFSET(daily_original_wrong!$B$23, 1+2*(ROW(B246)-ROW($B$23)),COLUMN(B246)-2)</f>
        <v>0</v>
      </c>
      <c r="C246">
        <f ca="1">OFFSET(daily_original_wrong!$B$23, 2*(ROW(C246)-ROW($B$23)),COLUMN(C246)-2)+OFFSET(daily_original_wrong!$B$23, 1+2*(ROW(C246)-ROW($B$23)),COLUMN(C246)-2)</f>
        <v>0</v>
      </c>
      <c r="D246">
        <f ca="1">OFFSET(daily_original_wrong!$B$23, 2*(ROW(D246)-ROW($B$23)),COLUMN(D246)-2)+OFFSET(daily_original_wrong!$B$23, 1+2*(ROW(D246)-ROW($B$23)),COLUMN(D246)-2)</f>
        <v>0</v>
      </c>
      <c r="E246">
        <f ca="1">OFFSET(daily_original_wrong!$B$23, 2*(ROW(E246)-ROW($B$23)),COLUMN(E246)-2)+OFFSET(daily_original_wrong!$B$23, 1+2*(ROW(E246)-ROW($B$23)),COLUMN(E246)-2)</f>
        <v>0</v>
      </c>
      <c r="F246">
        <f ca="1">OFFSET(daily_original_wrong!$B$23, 2*(ROW(F246)-ROW($B$23)),COLUMN(F246)-2)+OFFSET(daily_original_wrong!$B$23, 1+2*(ROW(F246)-ROW($B$23)),COLUMN(F246)-2)</f>
        <v>0</v>
      </c>
      <c r="G246">
        <f ca="1">OFFSET(daily_original_wrong!$B$23, 2*(ROW(G246)-ROW($B$23)),COLUMN(G246)-2)+OFFSET(daily_original_wrong!$B$23, 1+2*(ROW(G246)-ROW($B$23)),COLUMN(G246)-2)</f>
        <v>0</v>
      </c>
      <c r="H246">
        <f ca="1">OFFSET(daily_original_wrong!$B$23, 2*(ROW(H246)-ROW($B$23)),COLUMN(H246)-2)+OFFSET(daily_original_wrong!$B$23, 1+2*(ROW(H246)-ROW($B$23)),COLUMN(H246)-2)</f>
        <v>0</v>
      </c>
      <c r="J246" t="str">
        <f t="shared" si="20"/>
        <v>[</v>
      </c>
      <c r="K246" t="str">
        <f t="shared" ca="1" si="21"/>
        <v>[0],</v>
      </c>
      <c r="L246" t="str">
        <f t="shared" ca="1" si="25"/>
        <v>[0],</v>
      </c>
      <c r="M246" t="str">
        <f t="shared" ca="1" si="25"/>
        <v>[0],</v>
      </c>
      <c r="N246" t="str">
        <f t="shared" ca="1" si="25"/>
        <v>[0],</v>
      </c>
      <c r="O246" t="str">
        <f t="shared" ca="1" si="25"/>
        <v>[0],</v>
      </c>
      <c r="P246" t="str">
        <f t="shared" ca="1" si="25"/>
        <v>[0],</v>
      </c>
      <c r="Q246" t="str">
        <f t="shared" ca="1" si="22"/>
        <v>[0]</v>
      </c>
      <c r="R246" t="str">
        <f t="shared" si="23"/>
        <v>]</v>
      </c>
      <c r="S246" t="str">
        <f t="shared" ca="1" si="24"/>
        <v>[[0],[0],[0],[0],[0],[0],[0]]</v>
      </c>
    </row>
    <row r="247" spans="1:19" x14ac:dyDescent="0.2">
      <c r="A247" s="1" t="d">
        <v>2026-04-18</v>
      </c>
      <c r="B247">
        <f ca="1">OFFSET(daily_original_wrong!$B$23, 2*(ROW(B247)-ROW($B$23)),COLUMN(B247)-2)+OFFSET(daily_original_wrong!$B$23, 1+2*(ROW(B247)-ROW($B$23)),COLUMN(B247)-2)</f>
        <v>0</v>
      </c>
      <c r="C247">
        <f ca="1">OFFSET(daily_original_wrong!$B$23, 2*(ROW(C247)-ROW($B$23)),COLUMN(C247)-2)+OFFSET(daily_original_wrong!$B$23, 1+2*(ROW(C247)-ROW($B$23)),COLUMN(C247)-2)</f>
        <v>0</v>
      </c>
      <c r="D247">
        <f ca="1">OFFSET(daily_original_wrong!$B$23, 2*(ROW(D247)-ROW($B$23)),COLUMN(D247)-2)+OFFSET(daily_original_wrong!$B$23, 1+2*(ROW(D247)-ROW($B$23)),COLUMN(D247)-2)</f>
        <v>0</v>
      </c>
      <c r="E247">
        <f ca="1">OFFSET(daily_original_wrong!$B$23, 2*(ROW(E247)-ROW($B$23)),COLUMN(E247)-2)+OFFSET(daily_original_wrong!$B$23, 1+2*(ROW(E247)-ROW($B$23)),COLUMN(E247)-2)</f>
        <v>0</v>
      </c>
      <c r="F247">
        <f ca="1">OFFSET(daily_original_wrong!$B$23, 2*(ROW(F247)-ROW($B$23)),COLUMN(F247)-2)+OFFSET(daily_original_wrong!$B$23, 1+2*(ROW(F247)-ROW($B$23)),COLUMN(F247)-2)</f>
        <v>0</v>
      </c>
      <c r="G247">
        <f ca="1">OFFSET(daily_original_wrong!$B$23, 2*(ROW(G247)-ROW($B$23)),COLUMN(G247)-2)+OFFSET(daily_original_wrong!$B$23, 1+2*(ROW(G247)-ROW($B$23)),COLUMN(G247)-2)</f>
        <v>0</v>
      </c>
      <c r="H247">
        <f ca="1">OFFSET(daily_original_wrong!$B$23, 2*(ROW(H247)-ROW($B$23)),COLUMN(H247)-2)+OFFSET(daily_original_wrong!$B$23, 1+2*(ROW(H247)-ROW($B$23)),COLUMN(H247)-2)</f>
        <v>0</v>
      </c>
      <c r="J247" t="str">
        <f t="shared" si="20"/>
        <v>[</v>
      </c>
      <c r="K247" t="str">
        <f t="shared" ca="1" si="21"/>
        <v>[0],</v>
      </c>
      <c r="L247" t="str">
        <f t="shared" ca="1" si="25"/>
        <v>[0],</v>
      </c>
      <c r="M247" t="str">
        <f t="shared" ca="1" si="25"/>
        <v>[0],</v>
      </c>
      <c r="N247" t="str">
        <f t="shared" ca="1" si="25"/>
        <v>[0],</v>
      </c>
      <c r="O247" t="str">
        <f t="shared" ca="1" si="25"/>
        <v>[0],</v>
      </c>
      <c r="P247" t="str">
        <f t="shared" ca="1" si="25"/>
        <v>[0],</v>
      </c>
      <c r="Q247" t="str">
        <f t="shared" ca="1" si="22"/>
        <v>[0]</v>
      </c>
      <c r="R247" t="str">
        <f t="shared" si="23"/>
        <v>]</v>
      </c>
      <c r="S247" t="str">
        <f t="shared" ca="1" si="24"/>
        <v>[[0],[0],[0],[0],[0],[0],[0]]</v>
      </c>
    </row>
    <row r="248" spans="1:19" x14ac:dyDescent="0.2">
      <c r="A248" s="1" t="d">
        <v>2026-04-19</v>
      </c>
      <c r="B248">
        <f ca="1">OFFSET(daily_original_wrong!$B$23, 2*(ROW(B248)-ROW($B$23)),COLUMN(B248)-2)+OFFSET(daily_original_wrong!$B$23, 1+2*(ROW(B248)-ROW($B$23)),COLUMN(B248)-2)</f>
        <v>0</v>
      </c>
      <c r="C248">
        <f ca="1">OFFSET(daily_original_wrong!$B$23, 2*(ROW(C248)-ROW($B$23)),COLUMN(C248)-2)+OFFSET(daily_original_wrong!$B$23, 1+2*(ROW(C248)-ROW($B$23)),COLUMN(C248)-2)</f>
        <v>0</v>
      </c>
      <c r="D248">
        <f ca="1">OFFSET(daily_original_wrong!$B$23, 2*(ROW(D248)-ROW($B$23)),COLUMN(D248)-2)+OFFSET(daily_original_wrong!$B$23, 1+2*(ROW(D248)-ROW($B$23)),COLUMN(D248)-2)</f>
        <v>0</v>
      </c>
      <c r="E248">
        <f ca="1">OFFSET(daily_original_wrong!$B$23, 2*(ROW(E248)-ROW($B$23)),COLUMN(E248)-2)+OFFSET(daily_original_wrong!$B$23, 1+2*(ROW(E248)-ROW($B$23)),COLUMN(E248)-2)</f>
        <v>0</v>
      </c>
      <c r="F248">
        <f ca="1">OFFSET(daily_original_wrong!$B$23, 2*(ROW(F248)-ROW($B$23)),COLUMN(F248)-2)+OFFSET(daily_original_wrong!$B$23, 1+2*(ROW(F248)-ROW($B$23)),COLUMN(F248)-2)</f>
        <v>0</v>
      </c>
      <c r="G248">
        <f ca="1">OFFSET(daily_original_wrong!$B$23, 2*(ROW(G248)-ROW($B$23)),COLUMN(G248)-2)+OFFSET(daily_original_wrong!$B$23, 1+2*(ROW(G248)-ROW($B$23)),COLUMN(G248)-2)</f>
        <v>0</v>
      </c>
      <c r="H248">
        <f ca="1">OFFSET(daily_original_wrong!$B$23, 2*(ROW(H248)-ROW($B$23)),COLUMN(H248)-2)+OFFSET(daily_original_wrong!$B$23, 1+2*(ROW(H248)-ROW($B$23)),COLUMN(H248)-2)</f>
        <v>0</v>
      </c>
      <c r="J248" t="str">
        <f t="shared" si="20"/>
        <v>[</v>
      </c>
      <c r="K248" t="str">
        <f t="shared" ca="1" si="21"/>
        <v>[0],</v>
      </c>
      <c r="L248" t="str">
        <f t="shared" ca="1" si="25"/>
        <v>[0],</v>
      </c>
      <c r="M248" t="str">
        <f t="shared" ca="1" si="25"/>
        <v>[0],</v>
      </c>
      <c r="N248" t="str">
        <f t="shared" ca="1" si="25"/>
        <v>[0],</v>
      </c>
      <c r="O248" t="str">
        <f t="shared" ca="1" si="25"/>
        <v>[0],</v>
      </c>
      <c r="P248" t="str">
        <f t="shared" ca="1" si="25"/>
        <v>[0],</v>
      </c>
      <c r="Q248" t="str">
        <f t="shared" ca="1" si="22"/>
        <v>[0]</v>
      </c>
      <c r="R248" t="str">
        <f t="shared" si="23"/>
        <v>]</v>
      </c>
      <c r="S248" t="str">
        <f t="shared" ca="1" si="24"/>
        <v>[[0],[0],[0],[0],[0],[0],[0]]</v>
      </c>
    </row>
    <row r="249" spans="1:19" x14ac:dyDescent="0.2">
      <c r="A249" s="1" t="d">
        <v>2026-04-20</v>
      </c>
      <c r="B249">
        <f ca="1">OFFSET(daily_original_wrong!$B$23, 2*(ROW(B249)-ROW($B$23)),COLUMN(B249)-2)+OFFSET(daily_original_wrong!$B$23, 1+2*(ROW(B249)-ROW($B$23)),COLUMN(B249)-2)</f>
        <v>0</v>
      </c>
      <c r="C249">
        <f ca="1">OFFSET(daily_original_wrong!$B$23, 2*(ROW(C249)-ROW($B$23)),COLUMN(C249)-2)+OFFSET(daily_original_wrong!$B$23, 1+2*(ROW(C249)-ROW($B$23)),COLUMN(C249)-2)</f>
        <v>0</v>
      </c>
      <c r="D249">
        <f ca="1">OFFSET(daily_original_wrong!$B$23, 2*(ROW(D249)-ROW($B$23)),COLUMN(D249)-2)+OFFSET(daily_original_wrong!$B$23, 1+2*(ROW(D249)-ROW($B$23)),COLUMN(D249)-2)</f>
        <v>0</v>
      </c>
      <c r="E249">
        <f ca="1">OFFSET(daily_original_wrong!$B$23, 2*(ROW(E249)-ROW($B$23)),COLUMN(E249)-2)+OFFSET(daily_original_wrong!$B$23, 1+2*(ROW(E249)-ROW($B$23)),COLUMN(E249)-2)</f>
        <v>0</v>
      </c>
      <c r="F249">
        <f ca="1">OFFSET(daily_original_wrong!$B$23, 2*(ROW(F249)-ROW($B$23)),COLUMN(F249)-2)+OFFSET(daily_original_wrong!$B$23, 1+2*(ROW(F249)-ROW($B$23)),COLUMN(F249)-2)</f>
        <v>0</v>
      </c>
      <c r="G249">
        <f ca="1">OFFSET(daily_original_wrong!$B$23, 2*(ROW(G249)-ROW($B$23)),COLUMN(G249)-2)+OFFSET(daily_original_wrong!$B$23, 1+2*(ROW(G249)-ROW($B$23)),COLUMN(G249)-2)</f>
        <v>0</v>
      </c>
      <c r="H249">
        <f ca="1">OFFSET(daily_original_wrong!$B$23, 2*(ROW(H249)-ROW($B$23)),COLUMN(H249)-2)+OFFSET(daily_original_wrong!$B$23, 1+2*(ROW(H249)-ROW($B$23)),COLUMN(H249)-2)</f>
        <v>0</v>
      </c>
      <c r="J249" t="str">
        <f t="shared" si="20"/>
        <v>[</v>
      </c>
      <c r="K249" t="str">
        <f t="shared" ca="1" si="21"/>
        <v>[0],</v>
      </c>
      <c r="L249" t="str">
        <f t="shared" ca="1" si="25"/>
        <v>[0],</v>
      </c>
      <c r="M249" t="str">
        <f t="shared" ca="1" si="25"/>
        <v>[0],</v>
      </c>
      <c r="N249" t="str">
        <f t="shared" ca="1" si="25"/>
        <v>[0],</v>
      </c>
      <c r="O249" t="str">
        <f t="shared" ca="1" si="25"/>
        <v>[0],</v>
      </c>
      <c r="P249" t="str">
        <f t="shared" ca="1" si="25"/>
        <v>[0],</v>
      </c>
      <c r="Q249" t="str">
        <f t="shared" ca="1" si="22"/>
        <v>[0]</v>
      </c>
      <c r="R249" t="str">
        <f t="shared" si="23"/>
        <v>]</v>
      </c>
      <c r="S249" t="str">
        <f t="shared" ca="1" si="24"/>
        <v>[[0],[0],[0],[0],[0],[0],[0]]</v>
      </c>
    </row>
    <row r="250" spans="1:19" x14ac:dyDescent="0.2">
      <c r="A250" s="1" t="d">
        <v>2026-04-21</v>
      </c>
      <c r="B250">
        <f ca="1">OFFSET(daily_original_wrong!$B$23, 2*(ROW(B250)-ROW($B$23)),COLUMN(B250)-2)+OFFSET(daily_original_wrong!$B$23, 1+2*(ROW(B250)-ROW($B$23)),COLUMN(B250)-2)</f>
        <v>0</v>
      </c>
      <c r="C250">
        <f ca="1">OFFSET(daily_original_wrong!$B$23, 2*(ROW(C250)-ROW($B$23)),COLUMN(C250)-2)+OFFSET(daily_original_wrong!$B$23, 1+2*(ROW(C250)-ROW($B$23)),COLUMN(C250)-2)</f>
        <v>0</v>
      </c>
      <c r="D250">
        <f ca="1">OFFSET(daily_original_wrong!$B$23, 2*(ROW(D250)-ROW($B$23)),COLUMN(D250)-2)+OFFSET(daily_original_wrong!$B$23, 1+2*(ROW(D250)-ROW($B$23)),COLUMN(D250)-2)</f>
        <v>0</v>
      </c>
      <c r="E250">
        <f ca="1">OFFSET(daily_original_wrong!$B$23, 2*(ROW(E250)-ROW($B$23)),COLUMN(E250)-2)+OFFSET(daily_original_wrong!$B$23, 1+2*(ROW(E250)-ROW($B$23)),COLUMN(E250)-2)</f>
        <v>0</v>
      </c>
      <c r="F250">
        <f ca="1">OFFSET(daily_original_wrong!$B$23, 2*(ROW(F250)-ROW($B$23)),COLUMN(F250)-2)+OFFSET(daily_original_wrong!$B$23, 1+2*(ROW(F250)-ROW($B$23)),COLUMN(F250)-2)</f>
        <v>0</v>
      </c>
      <c r="G250">
        <f ca="1">OFFSET(daily_original_wrong!$B$23, 2*(ROW(G250)-ROW($B$23)),COLUMN(G250)-2)+OFFSET(daily_original_wrong!$B$23, 1+2*(ROW(G250)-ROW($B$23)),COLUMN(G250)-2)</f>
        <v>0</v>
      </c>
      <c r="H250">
        <f ca="1">OFFSET(daily_original_wrong!$B$23, 2*(ROW(H250)-ROW($B$23)),COLUMN(H250)-2)+OFFSET(daily_original_wrong!$B$23, 1+2*(ROW(H250)-ROW($B$23)),COLUMN(H250)-2)</f>
        <v>0</v>
      </c>
      <c r="J250" t="str">
        <f t="shared" si="20"/>
        <v>[</v>
      </c>
      <c r="K250" t="str">
        <f t="shared" ca="1" si="21"/>
        <v>[0],</v>
      </c>
      <c r="L250" t="str">
        <f t="shared" ca="1" si="25"/>
        <v>[0],</v>
      </c>
      <c r="M250" t="str">
        <f t="shared" ca="1" si="25"/>
        <v>[0],</v>
      </c>
      <c r="N250" t="str">
        <f t="shared" ca="1" si="25"/>
        <v>[0],</v>
      </c>
      <c r="O250" t="str">
        <f t="shared" ca="1" si="25"/>
        <v>[0],</v>
      </c>
      <c r="P250" t="str">
        <f t="shared" ca="1" si="25"/>
        <v>[0],</v>
      </c>
      <c r="Q250" t="str">
        <f t="shared" ca="1" si="22"/>
        <v>[0]</v>
      </c>
      <c r="R250" t="str">
        <f t="shared" si="23"/>
        <v>]</v>
      </c>
      <c r="S250" t="str">
        <f t="shared" ca="1" si="24"/>
        <v>[[0],[0],[0],[0],[0],[0],[0]]</v>
      </c>
    </row>
    <row r="251" spans="1:19" x14ac:dyDescent="0.2">
      <c r="A251" s="1" t="d">
        <v>2026-04-22</v>
      </c>
      <c r="B251">
        <f ca="1">OFFSET(daily_original_wrong!$B$23, 2*(ROW(B251)-ROW($B$23)),COLUMN(B251)-2)+OFFSET(daily_original_wrong!$B$23, 1+2*(ROW(B251)-ROW($B$23)),COLUMN(B251)-2)</f>
        <v>0</v>
      </c>
      <c r="C251">
        <f ca="1">OFFSET(daily_original_wrong!$B$23, 2*(ROW(C251)-ROW($B$23)),COLUMN(C251)-2)+OFFSET(daily_original_wrong!$B$23, 1+2*(ROW(C251)-ROW($B$23)),COLUMN(C251)-2)</f>
        <v>0</v>
      </c>
      <c r="D251">
        <f ca="1">OFFSET(daily_original_wrong!$B$23, 2*(ROW(D251)-ROW($B$23)),COLUMN(D251)-2)+OFFSET(daily_original_wrong!$B$23, 1+2*(ROW(D251)-ROW($B$23)),COLUMN(D251)-2)</f>
        <v>0</v>
      </c>
      <c r="E251">
        <f ca="1">OFFSET(daily_original_wrong!$B$23, 2*(ROW(E251)-ROW($B$23)),COLUMN(E251)-2)+OFFSET(daily_original_wrong!$B$23, 1+2*(ROW(E251)-ROW($B$23)),COLUMN(E251)-2)</f>
        <v>0</v>
      </c>
      <c r="F251">
        <f ca="1">OFFSET(daily_original_wrong!$B$23, 2*(ROW(F251)-ROW($B$23)),COLUMN(F251)-2)+OFFSET(daily_original_wrong!$B$23, 1+2*(ROW(F251)-ROW($B$23)),COLUMN(F251)-2)</f>
        <v>0</v>
      </c>
      <c r="G251">
        <f ca="1">OFFSET(daily_original_wrong!$B$23, 2*(ROW(G251)-ROW($B$23)),COLUMN(G251)-2)+OFFSET(daily_original_wrong!$B$23, 1+2*(ROW(G251)-ROW($B$23)),COLUMN(G251)-2)</f>
        <v>0</v>
      </c>
      <c r="H251">
        <f ca="1">OFFSET(daily_original_wrong!$B$23, 2*(ROW(H251)-ROW($B$23)),COLUMN(H251)-2)+OFFSET(daily_original_wrong!$B$23, 1+2*(ROW(H251)-ROW($B$23)),COLUMN(H251)-2)</f>
        <v>0</v>
      </c>
      <c r="J251" t="str">
        <f t="shared" si="20"/>
        <v>[</v>
      </c>
      <c r="K251" t="str">
        <f t="shared" ca="1" si="21"/>
        <v>[0],</v>
      </c>
      <c r="L251" t="str">
        <f t="shared" ca="1" si="25"/>
        <v>[0],</v>
      </c>
      <c r="M251" t="str">
        <f t="shared" ca="1" si="25"/>
        <v>[0],</v>
      </c>
      <c r="N251" t="str">
        <f t="shared" ca="1" si="25"/>
        <v>[0],</v>
      </c>
      <c r="O251" t="str">
        <f t="shared" ca="1" si="25"/>
        <v>[0],</v>
      </c>
      <c r="P251" t="str">
        <f t="shared" ca="1" si="25"/>
        <v>[0],</v>
      </c>
      <c r="Q251" t="str">
        <f t="shared" ca="1" si="22"/>
        <v>[0]</v>
      </c>
      <c r="R251" t="str">
        <f t="shared" si="23"/>
        <v>]</v>
      </c>
      <c r="S251" t="str">
        <f t="shared" ca="1" si="24"/>
        <v>[[0],[0],[0],[0],[0],[0],[0]]</v>
      </c>
    </row>
    <row r="252" spans="1:19" x14ac:dyDescent="0.2">
      <c r="A252" s="1" t="d">
        <v>2026-04-23</v>
      </c>
      <c r="B252">
        <f ca="1">OFFSET(daily_original_wrong!$B$23, 2*(ROW(B252)-ROW($B$23)),COLUMN(B252)-2)+OFFSET(daily_original_wrong!$B$23, 1+2*(ROW(B252)-ROW($B$23)),COLUMN(B252)-2)</f>
        <v>0</v>
      </c>
      <c r="C252">
        <f ca="1">OFFSET(daily_original_wrong!$B$23, 2*(ROW(C252)-ROW($B$23)),COLUMN(C252)-2)+OFFSET(daily_original_wrong!$B$23, 1+2*(ROW(C252)-ROW($B$23)),COLUMN(C252)-2)</f>
        <v>0</v>
      </c>
      <c r="D252">
        <f ca="1">OFFSET(daily_original_wrong!$B$23, 2*(ROW(D252)-ROW($B$23)),COLUMN(D252)-2)+OFFSET(daily_original_wrong!$B$23, 1+2*(ROW(D252)-ROW($B$23)),COLUMN(D252)-2)</f>
        <v>0</v>
      </c>
      <c r="E252">
        <f ca="1">OFFSET(daily_original_wrong!$B$23, 2*(ROW(E252)-ROW($B$23)),COLUMN(E252)-2)+OFFSET(daily_original_wrong!$B$23, 1+2*(ROW(E252)-ROW($B$23)),COLUMN(E252)-2)</f>
        <v>0</v>
      </c>
      <c r="F252">
        <f ca="1">OFFSET(daily_original_wrong!$B$23, 2*(ROW(F252)-ROW($B$23)),COLUMN(F252)-2)+OFFSET(daily_original_wrong!$B$23, 1+2*(ROW(F252)-ROW($B$23)),COLUMN(F252)-2)</f>
        <v>0</v>
      </c>
      <c r="G252">
        <f ca="1">OFFSET(daily_original_wrong!$B$23, 2*(ROW(G252)-ROW($B$23)),COLUMN(G252)-2)+OFFSET(daily_original_wrong!$B$23, 1+2*(ROW(G252)-ROW($B$23)),COLUMN(G252)-2)</f>
        <v>0</v>
      </c>
      <c r="H252">
        <f ca="1">OFFSET(daily_original_wrong!$B$23, 2*(ROW(H252)-ROW($B$23)),COLUMN(H252)-2)+OFFSET(daily_original_wrong!$B$23, 1+2*(ROW(H252)-ROW($B$23)),COLUMN(H252)-2)</f>
        <v>0</v>
      </c>
      <c r="J252" t="str">
        <f t="shared" si="20"/>
        <v>[</v>
      </c>
      <c r="K252" t="str">
        <f t="shared" ca="1" si="21"/>
        <v>[0],</v>
      </c>
      <c r="L252" t="str">
        <f t="shared" ca="1" si="25"/>
        <v>[0],</v>
      </c>
      <c r="M252" t="str">
        <f t="shared" ca="1" si="25"/>
        <v>[0],</v>
      </c>
      <c r="N252" t="str">
        <f t="shared" ca="1" si="25"/>
        <v>[0],</v>
      </c>
      <c r="O252" t="str">
        <f t="shared" ca="1" si="25"/>
        <v>[0],</v>
      </c>
      <c r="P252" t="str">
        <f t="shared" ca="1" si="25"/>
        <v>[0],</v>
      </c>
      <c r="Q252" t="str">
        <f t="shared" ca="1" si="22"/>
        <v>[0]</v>
      </c>
      <c r="R252" t="str">
        <f t="shared" si="23"/>
        <v>]</v>
      </c>
      <c r="S252" t="str">
        <f t="shared" ca="1" si="24"/>
        <v>[[0],[0],[0],[0],[0],[0],[0]]</v>
      </c>
    </row>
    <row r="253" spans="1:19" x14ac:dyDescent="0.2">
      <c r="A253" s="1" t="d">
        <v>2026-04-24</v>
      </c>
      <c r="B253">
        <f ca="1">OFFSET(daily_original_wrong!$B$23, 2*(ROW(B253)-ROW($B$23)),COLUMN(B253)-2)+OFFSET(daily_original_wrong!$B$23, 1+2*(ROW(B253)-ROW($B$23)),COLUMN(B253)-2)</f>
        <v>0</v>
      </c>
      <c r="C253">
        <f ca="1">OFFSET(daily_original_wrong!$B$23, 2*(ROW(C253)-ROW($B$23)),COLUMN(C253)-2)+OFFSET(daily_original_wrong!$B$23, 1+2*(ROW(C253)-ROW($B$23)),COLUMN(C253)-2)</f>
        <v>0</v>
      </c>
      <c r="D253">
        <f ca="1">OFFSET(daily_original_wrong!$B$23, 2*(ROW(D253)-ROW($B$23)),COLUMN(D253)-2)+OFFSET(daily_original_wrong!$B$23, 1+2*(ROW(D253)-ROW($B$23)),COLUMN(D253)-2)</f>
        <v>0</v>
      </c>
      <c r="E253">
        <f ca="1">OFFSET(daily_original_wrong!$B$23, 2*(ROW(E253)-ROW($B$23)),COLUMN(E253)-2)+OFFSET(daily_original_wrong!$B$23, 1+2*(ROW(E253)-ROW($B$23)),COLUMN(E253)-2)</f>
        <v>0</v>
      </c>
      <c r="F253">
        <f ca="1">OFFSET(daily_original_wrong!$B$23, 2*(ROW(F253)-ROW($B$23)),COLUMN(F253)-2)+OFFSET(daily_original_wrong!$B$23, 1+2*(ROW(F253)-ROW($B$23)),COLUMN(F253)-2)</f>
        <v>0</v>
      </c>
      <c r="G253">
        <f ca="1">OFFSET(daily_original_wrong!$B$23, 2*(ROW(G253)-ROW($B$23)),COLUMN(G253)-2)+OFFSET(daily_original_wrong!$B$23, 1+2*(ROW(G253)-ROW($B$23)),COLUMN(G253)-2)</f>
        <v>0</v>
      </c>
      <c r="H253">
        <f ca="1">OFFSET(daily_original_wrong!$B$23, 2*(ROW(H253)-ROW($B$23)),COLUMN(H253)-2)+OFFSET(daily_original_wrong!$B$23, 1+2*(ROW(H253)-ROW($B$23)),COLUMN(H253)-2)</f>
        <v>0</v>
      </c>
      <c r="J253" t="str">
        <f t="shared" si="20"/>
        <v>[</v>
      </c>
      <c r="K253" t="str">
        <f t="shared" ca="1" si="21"/>
        <v>[0],</v>
      </c>
      <c r="L253" t="str">
        <f t="shared" ca="1" si="25"/>
        <v>[0],</v>
      </c>
      <c r="M253" t="str">
        <f t="shared" ca="1" si="25"/>
        <v>[0],</v>
      </c>
      <c r="N253" t="str">
        <f t="shared" ca="1" si="25"/>
        <v>[0],</v>
      </c>
      <c r="O253" t="str">
        <f t="shared" ca="1" si="25"/>
        <v>[0],</v>
      </c>
      <c r="P253" t="str">
        <f t="shared" ca="1" si="25"/>
        <v>[0],</v>
      </c>
      <c r="Q253" t="str">
        <f t="shared" ca="1" si="22"/>
        <v>[0]</v>
      </c>
      <c r="R253" t="str">
        <f t="shared" si="23"/>
        <v>]</v>
      </c>
      <c r="S253" t="str">
        <f t="shared" ca="1" si="24"/>
        <v>[[0],[0],[0],[0],[0],[0],[0]]</v>
      </c>
    </row>
    <row r="254" spans="1:19" x14ac:dyDescent="0.2">
      <c r="A254" s="1" t="d">
        <v>2026-04-25</v>
      </c>
      <c r="B254">
        <f ca="1">OFFSET(daily_original_wrong!$B$23, 2*(ROW(B254)-ROW($B$23)),COLUMN(B254)-2)+OFFSET(daily_original_wrong!$B$23, 1+2*(ROW(B254)-ROW($B$23)),COLUMN(B254)-2)</f>
        <v>0</v>
      </c>
      <c r="C254">
        <f ca="1">OFFSET(daily_original_wrong!$B$23, 2*(ROW(C254)-ROW($B$23)),COLUMN(C254)-2)+OFFSET(daily_original_wrong!$B$23, 1+2*(ROW(C254)-ROW($B$23)),COLUMN(C254)-2)</f>
        <v>0</v>
      </c>
      <c r="D254">
        <f ca="1">OFFSET(daily_original_wrong!$B$23, 2*(ROW(D254)-ROW($B$23)),COLUMN(D254)-2)+OFFSET(daily_original_wrong!$B$23, 1+2*(ROW(D254)-ROW($B$23)),COLUMN(D254)-2)</f>
        <v>0</v>
      </c>
      <c r="E254">
        <f ca="1">OFFSET(daily_original_wrong!$B$23, 2*(ROW(E254)-ROW($B$23)),COLUMN(E254)-2)+OFFSET(daily_original_wrong!$B$23, 1+2*(ROW(E254)-ROW($B$23)),COLUMN(E254)-2)</f>
        <v>0</v>
      </c>
      <c r="F254">
        <f ca="1">OFFSET(daily_original_wrong!$B$23, 2*(ROW(F254)-ROW($B$23)),COLUMN(F254)-2)+OFFSET(daily_original_wrong!$B$23, 1+2*(ROW(F254)-ROW($B$23)),COLUMN(F254)-2)</f>
        <v>0</v>
      </c>
      <c r="G254">
        <f ca="1">OFFSET(daily_original_wrong!$B$23, 2*(ROW(G254)-ROW($B$23)),COLUMN(G254)-2)+OFFSET(daily_original_wrong!$B$23, 1+2*(ROW(G254)-ROW($B$23)),COLUMN(G254)-2)</f>
        <v>0</v>
      </c>
      <c r="H254">
        <f ca="1">OFFSET(daily_original_wrong!$B$23, 2*(ROW(H254)-ROW($B$23)),COLUMN(H254)-2)+OFFSET(daily_original_wrong!$B$23, 1+2*(ROW(H254)-ROW($B$23)),COLUMN(H254)-2)</f>
        <v>0</v>
      </c>
      <c r="J254" t="str">
        <f t="shared" si="20"/>
        <v>[</v>
      </c>
      <c r="K254" t="str">
        <f t="shared" ca="1" si="21"/>
        <v>[0],</v>
      </c>
      <c r="L254" t="str">
        <f t="shared" ca="1" si="25"/>
        <v>[0],</v>
      </c>
      <c r="M254" t="str">
        <f t="shared" ca="1" si="25"/>
        <v>[0],</v>
      </c>
      <c r="N254" t="str">
        <f t="shared" ca="1" si="25"/>
        <v>[0],</v>
      </c>
      <c r="O254" t="str">
        <f t="shared" ca="1" si="25"/>
        <v>[0],</v>
      </c>
      <c r="P254" t="str">
        <f t="shared" ca="1" si="25"/>
        <v>[0],</v>
      </c>
      <c r="Q254" t="str">
        <f t="shared" ca="1" si="22"/>
        <v>[0]</v>
      </c>
      <c r="R254" t="str">
        <f t="shared" si="23"/>
        <v>]</v>
      </c>
      <c r="S254" t="str">
        <f t="shared" ca="1" si="24"/>
        <v>[[0],[0],[0],[0],[0],[0],[0]]</v>
      </c>
    </row>
    <row r="255" spans="1:19" x14ac:dyDescent="0.2">
      <c r="A255" s="1" t="d">
        <v>2026-04-26</v>
      </c>
      <c r="B255">
        <f ca="1">OFFSET(daily_original_wrong!$B$23, 2*(ROW(B255)-ROW($B$23)),COLUMN(B255)-2)+OFFSET(daily_original_wrong!$B$23, 1+2*(ROW(B255)-ROW($B$23)),COLUMN(B255)-2)</f>
        <v>0</v>
      </c>
      <c r="C255">
        <f ca="1">OFFSET(daily_original_wrong!$B$23, 2*(ROW(C255)-ROW($B$23)),COLUMN(C255)-2)+OFFSET(daily_original_wrong!$B$23, 1+2*(ROW(C255)-ROW($B$23)),COLUMN(C255)-2)</f>
        <v>0</v>
      </c>
      <c r="D255">
        <f ca="1">OFFSET(daily_original_wrong!$B$23, 2*(ROW(D255)-ROW($B$23)),COLUMN(D255)-2)+OFFSET(daily_original_wrong!$B$23, 1+2*(ROW(D255)-ROW($B$23)),COLUMN(D255)-2)</f>
        <v>0</v>
      </c>
      <c r="E255">
        <f ca="1">OFFSET(daily_original_wrong!$B$23, 2*(ROW(E255)-ROW($B$23)),COLUMN(E255)-2)+OFFSET(daily_original_wrong!$B$23, 1+2*(ROW(E255)-ROW($B$23)),COLUMN(E255)-2)</f>
        <v>0</v>
      </c>
      <c r="F255">
        <f ca="1">OFFSET(daily_original_wrong!$B$23, 2*(ROW(F255)-ROW($B$23)),COLUMN(F255)-2)+OFFSET(daily_original_wrong!$B$23, 1+2*(ROW(F255)-ROW($B$23)),COLUMN(F255)-2)</f>
        <v>0</v>
      </c>
      <c r="G255">
        <f ca="1">OFFSET(daily_original_wrong!$B$23, 2*(ROW(G255)-ROW($B$23)),COLUMN(G255)-2)+OFFSET(daily_original_wrong!$B$23, 1+2*(ROW(G255)-ROW($B$23)),COLUMN(G255)-2)</f>
        <v>0</v>
      </c>
      <c r="H255">
        <f ca="1">OFFSET(daily_original_wrong!$B$23, 2*(ROW(H255)-ROW($B$23)),COLUMN(H255)-2)+OFFSET(daily_original_wrong!$B$23, 1+2*(ROW(H255)-ROW($B$23)),COLUMN(H255)-2)</f>
        <v>0</v>
      </c>
      <c r="J255" t="str">
        <f t="shared" si="20"/>
        <v>[</v>
      </c>
      <c r="K255" t="str">
        <f t="shared" ca="1" si="21"/>
        <v>[0],</v>
      </c>
      <c r="L255" t="str">
        <f t="shared" ca="1" si="25"/>
        <v>[0],</v>
      </c>
      <c r="M255" t="str">
        <f t="shared" ca="1" si="25"/>
        <v>[0],</v>
      </c>
      <c r="N255" t="str">
        <f t="shared" ca="1" si="25"/>
        <v>[0],</v>
      </c>
      <c r="O255" t="str">
        <f t="shared" ca="1" si="25"/>
        <v>[0],</v>
      </c>
      <c r="P255" t="str">
        <f t="shared" ca="1" si="25"/>
        <v>[0],</v>
      </c>
      <c r="Q255" t="str">
        <f t="shared" ca="1" si="22"/>
        <v>[0]</v>
      </c>
      <c r="R255" t="str">
        <f t="shared" si="23"/>
        <v>]</v>
      </c>
      <c r="S255" t="str">
        <f t="shared" ca="1" si="24"/>
        <v>[[0],[0],[0],[0],[0],[0],[0]]</v>
      </c>
    </row>
    <row r="256" spans="1:19" x14ac:dyDescent="0.2">
      <c r="A256" s="1" t="d">
        <v>2026-04-27</v>
      </c>
      <c r="B256">
        <f ca="1">OFFSET(daily_original_wrong!$B$23, 2*(ROW(B256)-ROW($B$23)),COLUMN(B256)-2)+OFFSET(daily_original_wrong!$B$23, 1+2*(ROW(B256)-ROW($B$23)),COLUMN(B256)-2)</f>
        <v>0</v>
      </c>
      <c r="C256">
        <f ca="1">OFFSET(daily_original_wrong!$B$23, 2*(ROW(C256)-ROW($B$23)),COLUMN(C256)-2)+OFFSET(daily_original_wrong!$B$23, 1+2*(ROW(C256)-ROW($B$23)),COLUMN(C256)-2)</f>
        <v>0</v>
      </c>
      <c r="D256">
        <f ca="1">OFFSET(daily_original_wrong!$B$23, 2*(ROW(D256)-ROW($B$23)),COLUMN(D256)-2)+OFFSET(daily_original_wrong!$B$23, 1+2*(ROW(D256)-ROW($B$23)),COLUMN(D256)-2)</f>
        <v>0</v>
      </c>
      <c r="E256">
        <f ca="1">OFFSET(daily_original_wrong!$B$23, 2*(ROW(E256)-ROW($B$23)),COLUMN(E256)-2)+OFFSET(daily_original_wrong!$B$23, 1+2*(ROW(E256)-ROW($B$23)),COLUMN(E256)-2)</f>
        <v>0</v>
      </c>
      <c r="F256">
        <f ca="1">OFFSET(daily_original_wrong!$B$23, 2*(ROW(F256)-ROW($B$23)),COLUMN(F256)-2)+OFFSET(daily_original_wrong!$B$23, 1+2*(ROW(F256)-ROW($B$23)),COLUMN(F256)-2)</f>
        <v>0</v>
      </c>
      <c r="G256">
        <f ca="1">OFFSET(daily_original_wrong!$B$23, 2*(ROW(G256)-ROW($B$23)),COLUMN(G256)-2)+OFFSET(daily_original_wrong!$B$23, 1+2*(ROW(G256)-ROW($B$23)),COLUMN(G256)-2)</f>
        <v>0</v>
      </c>
      <c r="H256">
        <f ca="1">OFFSET(daily_original_wrong!$B$23, 2*(ROW(H256)-ROW($B$23)),COLUMN(H256)-2)+OFFSET(daily_original_wrong!$B$23, 1+2*(ROW(H256)-ROW($B$23)),COLUMN(H256)-2)</f>
        <v>0</v>
      </c>
      <c r="J256" t="str">
        <f t="shared" si="20"/>
        <v>[</v>
      </c>
      <c r="K256" t="str">
        <f t="shared" ca="1" si="21"/>
        <v>[0],</v>
      </c>
      <c r="L256" t="str">
        <f t="shared" ca="1" si="25"/>
        <v>[0],</v>
      </c>
      <c r="M256" t="str">
        <f t="shared" ca="1" si="25"/>
        <v>[0],</v>
      </c>
      <c r="N256" t="str">
        <f t="shared" ca="1" si="25"/>
        <v>[0],</v>
      </c>
      <c r="O256" t="str">
        <f t="shared" ca="1" si="25"/>
        <v>[0],</v>
      </c>
      <c r="P256" t="str">
        <f t="shared" ca="1" si="25"/>
        <v>[0],</v>
      </c>
      <c r="Q256" t="str">
        <f t="shared" ca="1" si="22"/>
        <v>[0]</v>
      </c>
      <c r="R256" t="str">
        <f t="shared" si="23"/>
        <v>]</v>
      </c>
      <c r="S256" t="str">
        <f t="shared" ca="1" si="24"/>
        <v>[[0],[0],[0],[0],[0],[0],[0]]</v>
      </c>
    </row>
    <row r="257" spans="1:19" x14ac:dyDescent="0.2">
      <c r="A257" s="1" t="d">
        <v>2026-04-28</v>
      </c>
      <c r="B257">
        <f ca="1">OFFSET(daily_original_wrong!$B$23, 2*(ROW(B257)-ROW($B$23)),COLUMN(B257)-2)+OFFSET(daily_original_wrong!$B$23, 1+2*(ROW(B257)-ROW($B$23)),COLUMN(B257)-2)</f>
        <v>0</v>
      </c>
      <c r="C257">
        <f ca="1">OFFSET(daily_original_wrong!$B$23, 2*(ROW(C257)-ROW($B$23)),COLUMN(C257)-2)+OFFSET(daily_original_wrong!$B$23, 1+2*(ROW(C257)-ROW($B$23)),COLUMN(C257)-2)</f>
        <v>0</v>
      </c>
      <c r="D257">
        <f ca="1">OFFSET(daily_original_wrong!$B$23, 2*(ROW(D257)-ROW($B$23)),COLUMN(D257)-2)+OFFSET(daily_original_wrong!$B$23, 1+2*(ROW(D257)-ROW($B$23)),COLUMN(D257)-2)</f>
        <v>0</v>
      </c>
      <c r="E257">
        <f ca="1">OFFSET(daily_original_wrong!$B$23, 2*(ROW(E257)-ROW($B$23)),COLUMN(E257)-2)+OFFSET(daily_original_wrong!$B$23, 1+2*(ROW(E257)-ROW($B$23)),COLUMN(E257)-2)</f>
        <v>0</v>
      </c>
      <c r="F257">
        <f ca="1">OFFSET(daily_original_wrong!$B$23, 2*(ROW(F257)-ROW($B$23)),COLUMN(F257)-2)+OFFSET(daily_original_wrong!$B$23, 1+2*(ROW(F257)-ROW($B$23)),COLUMN(F257)-2)</f>
        <v>0</v>
      </c>
      <c r="G257">
        <f ca="1">OFFSET(daily_original_wrong!$B$23, 2*(ROW(G257)-ROW($B$23)),COLUMN(G257)-2)+OFFSET(daily_original_wrong!$B$23, 1+2*(ROW(G257)-ROW($B$23)),COLUMN(G257)-2)</f>
        <v>0</v>
      </c>
      <c r="H257">
        <f ca="1">OFFSET(daily_original_wrong!$B$23, 2*(ROW(H257)-ROW($B$23)),COLUMN(H257)-2)+OFFSET(daily_original_wrong!$B$23, 1+2*(ROW(H257)-ROW($B$23)),COLUMN(H257)-2)</f>
        <v>0</v>
      </c>
      <c r="J257" t="str">
        <f t="shared" si="20"/>
        <v>[</v>
      </c>
      <c r="K257" t="str">
        <f t="shared" ca="1" si="21"/>
        <v>[0],</v>
      </c>
      <c r="L257" t="str">
        <f t="shared" ca="1" si="25"/>
        <v>[0],</v>
      </c>
      <c r="M257" t="str">
        <f t="shared" ca="1" si="25"/>
        <v>[0],</v>
      </c>
      <c r="N257" t="str">
        <f t="shared" ca="1" si="25"/>
        <v>[0],</v>
      </c>
      <c r="O257" t="str">
        <f t="shared" ca="1" si="25"/>
        <v>[0],</v>
      </c>
      <c r="P257" t="str">
        <f t="shared" ca="1" si="25"/>
        <v>[0],</v>
      </c>
      <c r="Q257" t="str">
        <f t="shared" ca="1" si="22"/>
        <v>[0]</v>
      </c>
      <c r="R257" t="str">
        <f t="shared" si="23"/>
        <v>]</v>
      </c>
      <c r="S257" t="str">
        <f t="shared" ca="1" si="24"/>
        <v>[[0],[0],[0],[0],[0],[0],[0]]</v>
      </c>
    </row>
    <row r="258" spans="1:19" x14ac:dyDescent="0.2">
      <c r="A258" s="1" t="d">
        <v>2026-04-29</v>
      </c>
      <c r="B258">
        <f ca="1">OFFSET(daily_original_wrong!$B$23, 2*(ROW(B258)-ROW($B$23)),COLUMN(B258)-2)+OFFSET(daily_original_wrong!$B$23, 1+2*(ROW(B258)-ROW($B$23)),COLUMN(B258)-2)</f>
        <v>0</v>
      </c>
      <c r="C258">
        <f ca="1">OFFSET(daily_original_wrong!$B$23, 2*(ROW(C258)-ROW($B$23)),COLUMN(C258)-2)+OFFSET(daily_original_wrong!$B$23, 1+2*(ROW(C258)-ROW($B$23)),COLUMN(C258)-2)</f>
        <v>0</v>
      </c>
      <c r="D258">
        <f ca="1">OFFSET(daily_original_wrong!$B$23, 2*(ROW(D258)-ROW($B$23)),COLUMN(D258)-2)+OFFSET(daily_original_wrong!$B$23, 1+2*(ROW(D258)-ROW($B$23)),COLUMN(D258)-2)</f>
        <v>0</v>
      </c>
      <c r="E258">
        <f ca="1">OFFSET(daily_original_wrong!$B$23, 2*(ROW(E258)-ROW($B$23)),COLUMN(E258)-2)+OFFSET(daily_original_wrong!$B$23, 1+2*(ROW(E258)-ROW($B$23)),COLUMN(E258)-2)</f>
        <v>0</v>
      </c>
      <c r="F258">
        <f ca="1">OFFSET(daily_original_wrong!$B$23, 2*(ROW(F258)-ROW($B$23)),COLUMN(F258)-2)+OFFSET(daily_original_wrong!$B$23, 1+2*(ROW(F258)-ROW($B$23)),COLUMN(F258)-2)</f>
        <v>0</v>
      </c>
      <c r="G258">
        <f ca="1">OFFSET(daily_original_wrong!$B$23, 2*(ROW(G258)-ROW($B$23)),COLUMN(G258)-2)+OFFSET(daily_original_wrong!$B$23, 1+2*(ROW(G258)-ROW($B$23)),COLUMN(G258)-2)</f>
        <v>0</v>
      </c>
      <c r="H258">
        <f ca="1">OFFSET(daily_original_wrong!$B$23, 2*(ROW(H258)-ROW($B$23)),COLUMN(H258)-2)+OFFSET(daily_original_wrong!$B$23, 1+2*(ROW(H258)-ROW($B$23)),COLUMN(H258)-2)</f>
        <v>0</v>
      </c>
      <c r="J258" t="str">
        <f t="shared" si="20"/>
        <v>[</v>
      </c>
      <c r="K258" t="str">
        <f t="shared" ca="1" si="21"/>
        <v>[0],</v>
      </c>
      <c r="L258" t="str">
        <f t="shared" ref="L258:P302" ca="1" si="26">"["&amp;C258&amp;"],"</f>
        <v>[0],</v>
      </c>
      <c r="M258" t="str">
        <f t="shared" ca="1" si="26"/>
        <v>[0],</v>
      </c>
      <c r="N258" t="str">
        <f t="shared" ca="1" si="26"/>
        <v>[0],</v>
      </c>
      <c r="O258" t="str">
        <f t="shared" ca="1" si="26"/>
        <v>[0],</v>
      </c>
      <c r="P258" t="str">
        <f t="shared" ca="1" si="26"/>
        <v>[0],</v>
      </c>
      <c r="Q258" t="str">
        <f t="shared" ca="1" si="22"/>
        <v>[0]</v>
      </c>
      <c r="R258" t="str">
        <f t="shared" si="23"/>
        <v>]</v>
      </c>
      <c r="S258" t="str">
        <f t="shared" ca="1" si="24"/>
        <v>[[0],[0],[0],[0],[0],[0],[0]]</v>
      </c>
    </row>
    <row r="259" spans="1:19" x14ac:dyDescent="0.2">
      <c r="A259" s="1" t="d">
        <v>2026-04-30</v>
      </c>
      <c r="B259">
        <f ca="1">OFFSET(daily_original_wrong!$B$23, 2*(ROW(B259)-ROW($B$23)),COLUMN(B259)-2)+OFFSET(daily_original_wrong!$B$23, 1+2*(ROW(B259)-ROW($B$23)),COLUMN(B259)-2)</f>
        <v>0</v>
      </c>
      <c r="C259">
        <f ca="1">OFFSET(daily_original_wrong!$B$23, 2*(ROW(C259)-ROW($B$23)),COLUMN(C259)-2)+OFFSET(daily_original_wrong!$B$23, 1+2*(ROW(C259)-ROW($B$23)),COLUMN(C259)-2)</f>
        <v>0</v>
      </c>
      <c r="D259">
        <f ca="1">OFFSET(daily_original_wrong!$B$23, 2*(ROW(D259)-ROW($B$23)),COLUMN(D259)-2)+OFFSET(daily_original_wrong!$B$23, 1+2*(ROW(D259)-ROW($B$23)),COLUMN(D259)-2)</f>
        <v>0</v>
      </c>
      <c r="E259">
        <f ca="1">OFFSET(daily_original_wrong!$B$23, 2*(ROW(E259)-ROW($B$23)),COLUMN(E259)-2)+OFFSET(daily_original_wrong!$B$23, 1+2*(ROW(E259)-ROW($B$23)),COLUMN(E259)-2)</f>
        <v>0</v>
      </c>
      <c r="F259">
        <f ca="1">OFFSET(daily_original_wrong!$B$23, 2*(ROW(F259)-ROW($B$23)),COLUMN(F259)-2)+OFFSET(daily_original_wrong!$B$23, 1+2*(ROW(F259)-ROW($B$23)),COLUMN(F259)-2)</f>
        <v>0</v>
      </c>
      <c r="G259">
        <f ca="1">OFFSET(daily_original_wrong!$B$23, 2*(ROW(G259)-ROW($B$23)),COLUMN(G259)-2)+OFFSET(daily_original_wrong!$B$23, 1+2*(ROW(G259)-ROW($B$23)),COLUMN(G259)-2)</f>
        <v>0</v>
      </c>
      <c r="H259">
        <f ca="1">OFFSET(daily_original_wrong!$B$23, 2*(ROW(H259)-ROW($B$23)),COLUMN(H259)-2)+OFFSET(daily_original_wrong!$B$23, 1+2*(ROW(H259)-ROW($B$23)),COLUMN(H259)-2)</f>
        <v>0</v>
      </c>
      <c r="J259" t="str">
        <f t="shared" ref="J259:J302" si="27">"["</f>
        <v>[</v>
      </c>
      <c r="K259" t="str">
        <f t="shared" ref="K259:K302" ca="1" si="28">"["&amp;B259/2&amp;"],"</f>
        <v>[0],</v>
      </c>
      <c r="L259" t="str">
        <f t="shared" ca="1" si="26"/>
        <v>[0],</v>
      </c>
      <c r="M259" t="str">
        <f t="shared" ca="1" si="26"/>
        <v>[0],</v>
      </c>
      <c r="N259" t="str">
        <f t="shared" ca="1" si="26"/>
        <v>[0],</v>
      </c>
      <c r="O259" t="str">
        <f t="shared" ca="1" si="26"/>
        <v>[0],</v>
      </c>
      <c r="P259" t="str">
        <f t="shared" ca="1" si="26"/>
        <v>[0],</v>
      </c>
      <c r="Q259" t="str">
        <f t="shared" ref="Q259:Q302" ca="1" si="29">"["&amp;H259&amp;"]"</f>
        <v>[0]</v>
      </c>
      <c r="R259" t="str">
        <f t="shared" ref="R259:R302" si="30">"]"</f>
        <v>]</v>
      </c>
      <c r="S259" t="str">
        <f t="shared" ref="S259:S302" ca="1" si="31">J259&amp;K259&amp;L259&amp;M259&amp;N259&amp;O259&amp;P259&amp;Q259&amp;R259</f>
        <v>[[0],[0],[0],[0],[0],[0],[0]]</v>
      </c>
    </row>
    <row r="260" spans="1:19" x14ac:dyDescent="0.2">
      <c r="A260" s="1" t="d">
        <v>2026-05-01</v>
      </c>
      <c r="B260">
        <f ca="1">OFFSET(daily_original_wrong!$B$23, 2*(ROW(B260)-ROW($B$23)),COLUMN(B260)-2)+OFFSET(daily_original_wrong!$B$23, 1+2*(ROW(B260)-ROW($B$23)),COLUMN(B260)-2)</f>
        <v>0</v>
      </c>
      <c r="C260">
        <f ca="1">OFFSET(daily_original_wrong!$B$23, 2*(ROW(C260)-ROW($B$23)),COLUMN(C260)-2)+OFFSET(daily_original_wrong!$B$23, 1+2*(ROW(C260)-ROW($B$23)),COLUMN(C260)-2)</f>
        <v>0</v>
      </c>
      <c r="D260">
        <f ca="1">OFFSET(daily_original_wrong!$B$23, 2*(ROW(D260)-ROW($B$23)),COLUMN(D260)-2)+OFFSET(daily_original_wrong!$B$23, 1+2*(ROW(D260)-ROW($B$23)),COLUMN(D260)-2)</f>
        <v>0</v>
      </c>
      <c r="E260">
        <f ca="1">OFFSET(daily_original_wrong!$B$23, 2*(ROW(E260)-ROW($B$23)),COLUMN(E260)-2)+OFFSET(daily_original_wrong!$B$23, 1+2*(ROW(E260)-ROW($B$23)),COLUMN(E260)-2)</f>
        <v>0</v>
      </c>
      <c r="F260">
        <f ca="1">OFFSET(daily_original_wrong!$B$23, 2*(ROW(F260)-ROW($B$23)),COLUMN(F260)-2)+OFFSET(daily_original_wrong!$B$23, 1+2*(ROW(F260)-ROW($B$23)),COLUMN(F260)-2)</f>
        <v>0</v>
      </c>
      <c r="G260">
        <f ca="1">OFFSET(daily_original_wrong!$B$23, 2*(ROW(G260)-ROW($B$23)),COLUMN(G260)-2)+OFFSET(daily_original_wrong!$B$23, 1+2*(ROW(G260)-ROW($B$23)),COLUMN(G260)-2)</f>
        <v>0</v>
      </c>
      <c r="H260">
        <f ca="1">OFFSET(daily_original_wrong!$B$23, 2*(ROW(H260)-ROW($B$23)),COLUMN(H260)-2)+OFFSET(daily_original_wrong!$B$23, 1+2*(ROW(H260)-ROW($B$23)),COLUMN(H260)-2)</f>
        <v>0</v>
      </c>
      <c r="J260" t="str">
        <f t="shared" si="27"/>
        <v>[</v>
      </c>
      <c r="K260" t="str">
        <f t="shared" ca="1" si="28"/>
        <v>[0],</v>
      </c>
      <c r="L260" t="str">
        <f t="shared" ca="1" si="26"/>
        <v>[0],</v>
      </c>
      <c r="M260" t="str">
        <f t="shared" ca="1" si="26"/>
        <v>[0],</v>
      </c>
      <c r="N260" t="str">
        <f t="shared" ca="1" si="26"/>
        <v>[0],</v>
      </c>
      <c r="O260" t="str">
        <f t="shared" ca="1" si="26"/>
        <v>[0],</v>
      </c>
      <c r="P260" t="str">
        <f t="shared" ca="1" si="26"/>
        <v>[0],</v>
      </c>
      <c r="Q260" t="str">
        <f t="shared" ca="1" si="29"/>
        <v>[0]</v>
      </c>
      <c r="R260" t="str">
        <f t="shared" si="30"/>
        <v>]</v>
      </c>
      <c r="S260" t="str">
        <f t="shared" ca="1" si="31"/>
        <v>[[0],[0],[0],[0],[0],[0],[0]]</v>
      </c>
    </row>
    <row r="261" spans="1:19" x14ac:dyDescent="0.2">
      <c r="A261" s="1" t="d">
        <v>2026-05-02</v>
      </c>
      <c r="B261">
        <f ca="1">OFFSET(daily_original_wrong!$B$23, 2*(ROW(B261)-ROW($B$23)),COLUMN(B261)-2)+OFFSET(daily_original_wrong!$B$23, 1+2*(ROW(B261)-ROW($B$23)),COLUMN(B261)-2)</f>
        <v>0</v>
      </c>
      <c r="C261">
        <f ca="1">OFFSET(daily_original_wrong!$B$23, 2*(ROW(C261)-ROW($B$23)),COLUMN(C261)-2)+OFFSET(daily_original_wrong!$B$23, 1+2*(ROW(C261)-ROW($B$23)),COLUMN(C261)-2)</f>
        <v>0</v>
      </c>
      <c r="D261">
        <f ca="1">OFFSET(daily_original_wrong!$B$23, 2*(ROW(D261)-ROW($B$23)),COLUMN(D261)-2)+OFFSET(daily_original_wrong!$B$23, 1+2*(ROW(D261)-ROW($B$23)),COLUMN(D261)-2)</f>
        <v>0</v>
      </c>
      <c r="E261">
        <f ca="1">OFFSET(daily_original_wrong!$B$23, 2*(ROW(E261)-ROW($B$23)),COLUMN(E261)-2)+OFFSET(daily_original_wrong!$B$23, 1+2*(ROW(E261)-ROW($B$23)),COLUMN(E261)-2)</f>
        <v>0</v>
      </c>
      <c r="F261">
        <f ca="1">OFFSET(daily_original_wrong!$B$23, 2*(ROW(F261)-ROW($B$23)),COLUMN(F261)-2)+OFFSET(daily_original_wrong!$B$23, 1+2*(ROW(F261)-ROW($B$23)),COLUMN(F261)-2)</f>
        <v>0</v>
      </c>
      <c r="G261">
        <f ca="1">OFFSET(daily_original_wrong!$B$23, 2*(ROW(G261)-ROW($B$23)),COLUMN(G261)-2)+OFFSET(daily_original_wrong!$B$23, 1+2*(ROW(G261)-ROW($B$23)),COLUMN(G261)-2)</f>
        <v>0</v>
      </c>
      <c r="H261">
        <f ca="1">OFFSET(daily_original_wrong!$B$23, 2*(ROW(H261)-ROW($B$23)),COLUMN(H261)-2)+OFFSET(daily_original_wrong!$B$23, 1+2*(ROW(H261)-ROW($B$23)),COLUMN(H261)-2)</f>
        <v>0</v>
      </c>
      <c r="J261" t="str">
        <f t="shared" si="27"/>
        <v>[</v>
      </c>
      <c r="K261" t="str">
        <f t="shared" ca="1" si="28"/>
        <v>[0],</v>
      </c>
      <c r="L261" t="str">
        <f t="shared" ca="1" si="26"/>
        <v>[0],</v>
      </c>
      <c r="M261" t="str">
        <f t="shared" ca="1" si="26"/>
        <v>[0],</v>
      </c>
      <c r="N261" t="str">
        <f t="shared" ca="1" si="26"/>
        <v>[0],</v>
      </c>
      <c r="O261" t="str">
        <f t="shared" ca="1" si="26"/>
        <v>[0],</v>
      </c>
      <c r="P261" t="str">
        <f t="shared" ca="1" si="26"/>
        <v>[0],</v>
      </c>
      <c r="Q261" t="str">
        <f t="shared" ca="1" si="29"/>
        <v>[0]</v>
      </c>
      <c r="R261" t="str">
        <f t="shared" si="30"/>
        <v>]</v>
      </c>
      <c r="S261" t="str">
        <f t="shared" ca="1" si="31"/>
        <v>[[0],[0],[0],[0],[0],[0],[0]]</v>
      </c>
    </row>
    <row r="262" spans="1:19" x14ac:dyDescent="0.2">
      <c r="A262" s="1" t="d">
        <v>2026-05-03</v>
      </c>
      <c r="B262">
        <f ca="1">OFFSET(daily_original_wrong!$B$23, 2*(ROW(B262)-ROW($B$23)),COLUMN(B262)-2)+OFFSET(daily_original_wrong!$B$23, 1+2*(ROW(B262)-ROW($B$23)),COLUMN(B262)-2)</f>
        <v>0</v>
      </c>
      <c r="C262">
        <f ca="1">OFFSET(daily_original_wrong!$B$23, 2*(ROW(C262)-ROW($B$23)),COLUMN(C262)-2)+OFFSET(daily_original_wrong!$B$23, 1+2*(ROW(C262)-ROW($B$23)),COLUMN(C262)-2)</f>
        <v>0</v>
      </c>
      <c r="D262">
        <f ca="1">OFFSET(daily_original_wrong!$B$23, 2*(ROW(D262)-ROW($B$23)),COLUMN(D262)-2)+OFFSET(daily_original_wrong!$B$23, 1+2*(ROW(D262)-ROW($B$23)),COLUMN(D262)-2)</f>
        <v>0</v>
      </c>
      <c r="E262">
        <f ca="1">OFFSET(daily_original_wrong!$B$23, 2*(ROW(E262)-ROW($B$23)),COLUMN(E262)-2)+OFFSET(daily_original_wrong!$B$23, 1+2*(ROW(E262)-ROW($B$23)),COLUMN(E262)-2)</f>
        <v>0</v>
      </c>
      <c r="F262">
        <f ca="1">OFFSET(daily_original_wrong!$B$23, 2*(ROW(F262)-ROW($B$23)),COLUMN(F262)-2)+OFFSET(daily_original_wrong!$B$23, 1+2*(ROW(F262)-ROW($B$23)),COLUMN(F262)-2)</f>
        <v>0</v>
      </c>
      <c r="G262">
        <f ca="1">OFFSET(daily_original_wrong!$B$23, 2*(ROW(G262)-ROW($B$23)),COLUMN(G262)-2)+OFFSET(daily_original_wrong!$B$23, 1+2*(ROW(G262)-ROW($B$23)),COLUMN(G262)-2)</f>
        <v>0</v>
      </c>
      <c r="H262">
        <f ca="1">OFFSET(daily_original_wrong!$B$23, 2*(ROW(H262)-ROW($B$23)),COLUMN(H262)-2)+OFFSET(daily_original_wrong!$B$23, 1+2*(ROW(H262)-ROW($B$23)),COLUMN(H262)-2)</f>
        <v>0</v>
      </c>
      <c r="J262" t="str">
        <f t="shared" si="27"/>
        <v>[</v>
      </c>
      <c r="K262" t="str">
        <f t="shared" ca="1" si="28"/>
        <v>[0],</v>
      </c>
      <c r="L262" t="str">
        <f t="shared" ca="1" si="26"/>
        <v>[0],</v>
      </c>
      <c r="M262" t="str">
        <f t="shared" ca="1" si="26"/>
        <v>[0],</v>
      </c>
      <c r="N262" t="str">
        <f t="shared" ca="1" si="26"/>
        <v>[0],</v>
      </c>
      <c r="O262" t="str">
        <f t="shared" ca="1" si="26"/>
        <v>[0],</v>
      </c>
      <c r="P262" t="str">
        <f t="shared" ca="1" si="26"/>
        <v>[0],</v>
      </c>
      <c r="Q262" t="str">
        <f t="shared" ca="1" si="29"/>
        <v>[0]</v>
      </c>
      <c r="R262" t="str">
        <f t="shared" si="30"/>
        <v>]</v>
      </c>
      <c r="S262" t="str">
        <f t="shared" ca="1" si="31"/>
        <v>[[0],[0],[0],[0],[0],[0],[0]]</v>
      </c>
    </row>
    <row r="263" spans="1:19" x14ac:dyDescent="0.2">
      <c r="A263" s="1" t="d">
        <v>2026-05-04</v>
      </c>
      <c r="B263">
        <f ca="1">OFFSET(daily_original_wrong!$B$23, 2*(ROW(B263)-ROW($B$23)),COLUMN(B263)-2)+OFFSET(daily_original_wrong!$B$23, 1+2*(ROW(B263)-ROW($B$23)),COLUMN(B263)-2)</f>
        <v>0</v>
      </c>
      <c r="C263">
        <f ca="1">OFFSET(daily_original_wrong!$B$23, 2*(ROW(C263)-ROW($B$23)),COLUMN(C263)-2)+OFFSET(daily_original_wrong!$B$23, 1+2*(ROW(C263)-ROW($B$23)),COLUMN(C263)-2)</f>
        <v>0</v>
      </c>
      <c r="D263">
        <f ca="1">OFFSET(daily_original_wrong!$B$23, 2*(ROW(D263)-ROW($B$23)),COLUMN(D263)-2)+OFFSET(daily_original_wrong!$B$23, 1+2*(ROW(D263)-ROW($B$23)),COLUMN(D263)-2)</f>
        <v>0</v>
      </c>
      <c r="E263">
        <f ca="1">OFFSET(daily_original_wrong!$B$23, 2*(ROW(E263)-ROW($B$23)),COLUMN(E263)-2)+OFFSET(daily_original_wrong!$B$23, 1+2*(ROW(E263)-ROW($B$23)),COLUMN(E263)-2)</f>
        <v>0</v>
      </c>
      <c r="F263">
        <f ca="1">OFFSET(daily_original_wrong!$B$23, 2*(ROW(F263)-ROW($B$23)),COLUMN(F263)-2)+OFFSET(daily_original_wrong!$B$23, 1+2*(ROW(F263)-ROW($B$23)),COLUMN(F263)-2)</f>
        <v>0</v>
      </c>
      <c r="G263">
        <f ca="1">OFFSET(daily_original_wrong!$B$23, 2*(ROW(G263)-ROW($B$23)),COLUMN(G263)-2)+OFFSET(daily_original_wrong!$B$23, 1+2*(ROW(G263)-ROW($B$23)),COLUMN(G263)-2)</f>
        <v>0</v>
      </c>
      <c r="H263">
        <f ca="1">OFFSET(daily_original_wrong!$B$23, 2*(ROW(H263)-ROW($B$23)),COLUMN(H263)-2)+OFFSET(daily_original_wrong!$B$23, 1+2*(ROW(H263)-ROW($B$23)),COLUMN(H263)-2)</f>
        <v>0</v>
      </c>
      <c r="J263" t="str">
        <f t="shared" si="27"/>
        <v>[</v>
      </c>
      <c r="K263" t="str">
        <f t="shared" ca="1" si="28"/>
        <v>[0],</v>
      </c>
      <c r="L263" t="str">
        <f t="shared" ca="1" si="26"/>
        <v>[0],</v>
      </c>
      <c r="M263" t="str">
        <f t="shared" ca="1" si="26"/>
        <v>[0],</v>
      </c>
      <c r="N263" t="str">
        <f t="shared" ca="1" si="26"/>
        <v>[0],</v>
      </c>
      <c r="O263" t="str">
        <f t="shared" ca="1" si="26"/>
        <v>[0],</v>
      </c>
      <c r="P263" t="str">
        <f t="shared" ca="1" si="26"/>
        <v>[0],</v>
      </c>
      <c r="Q263" t="str">
        <f t="shared" ca="1" si="29"/>
        <v>[0]</v>
      </c>
      <c r="R263" t="str">
        <f t="shared" si="30"/>
        <v>]</v>
      </c>
      <c r="S263" t="str">
        <f t="shared" ca="1" si="31"/>
        <v>[[0],[0],[0],[0],[0],[0],[0]]</v>
      </c>
    </row>
    <row r="264" spans="1:19" x14ac:dyDescent="0.2">
      <c r="A264" s="1" t="d">
        <v>2026-05-05</v>
      </c>
      <c r="B264">
        <f ca="1">OFFSET(daily_original_wrong!$B$23, 2*(ROW(B264)-ROW($B$23)),COLUMN(B264)-2)+OFFSET(daily_original_wrong!$B$23, 1+2*(ROW(B264)-ROW($B$23)),COLUMN(B264)-2)</f>
        <v>0</v>
      </c>
      <c r="C264">
        <f ca="1">OFFSET(daily_original_wrong!$B$23, 2*(ROW(C264)-ROW($B$23)),COLUMN(C264)-2)+OFFSET(daily_original_wrong!$B$23, 1+2*(ROW(C264)-ROW($B$23)),COLUMN(C264)-2)</f>
        <v>0</v>
      </c>
      <c r="D264">
        <f ca="1">OFFSET(daily_original_wrong!$B$23, 2*(ROW(D264)-ROW($B$23)),COLUMN(D264)-2)+OFFSET(daily_original_wrong!$B$23, 1+2*(ROW(D264)-ROW($B$23)),COLUMN(D264)-2)</f>
        <v>0</v>
      </c>
      <c r="E264">
        <f ca="1">OFFSET(daily_original_wrong!$B$23, 2*(ROW(E264)-ROW($B$23)),COLUMN(E264)-2)+OFFSET(daily_original_wrong!$B$23, 1+2*(ROW(E264)-ROW($B$23)),COLUMN(E264)-2)</f>
        <v>0</v>
      </c>
      <c r="F264">
        <f ca="1">OFFSET(daily_original_wrong!$B$23, 2*(ROW(F264)-ROW($B$23)),COLUMN(F264)-2)+OFFSET(daily_original_wrong!$B$23, 1+2*(ROW(F264)-ROW($B$23)),COLUMN(F264)-2)</f>
        <v>0</v>
      </c>
      <c r="G264">
        <f ca="1">OFFSET(daily_original_wrong!$B$23, 2*(ROW(G264)-ROW($B$23)),COLUMN(G264)-2)+OFFSET(daily_original_wrong!$B$23, 1+2*(ROW(G264)-ROW($B$23)),COLUMN(G264)-2)</f>
        <v>0</v>
      </c>
      <c r="H264">
        <f ca="1">OFFSET(daily_original_wrong!$B$23, 2*(ROW(H264)-ROW($B$23)),COLUMN(H264)-2)+OFFSET(daily_original_wrong!$B$23, 1+2*(ROW(H264)-ROW($B$23)),COLUMN(H264)-2)</f>
        <v>0</v>
      </c>
      <c r="J264" t="str">
        <f t="shared" si="27"/>
        <v>[</v>
      </c>
      <c r="K264" t="str">
        <f t="shared" ca="1" si="28"/>
        <v>[0],</v>
      </c>
      <c r="L264" t="str">
        <f t="shared" ca="1" si="26"/>
        <v>[0],</v>
      </c>
      <c r="M264" t="str">
        <f t="shared" ca="1" si="26"/>
        <v>[0],</v>
      </c>
      <c r="N264" t="str">
        <f t="shared" ca="1" si="26"/>
        <v>[0],</v>
      </c>
      <c r="O264" t="str">
        <f t="shared" ca="1" si="26"/>
        <v>[0],</v>
      </c>
      <c r="P264" t="str">
        <f t="shared" ca="1" si="26"/>
        <v>[0],</v>
      </c>
      <c r="Q264" t="str">
        <f t="shared" ca="1" si="29"/>
        <v>[0]</v>
      </c>
      <c r="R264" t="str">
        <f t="shared" si="30"/>
        <v>]</v>
      </c>
      <c r="S264" t="str">
        <f t="shared" ca="1" si="31"/>
        <v>[[0],[0],[0],[0],[0],[0],[0]]</v>
      </c>
    </row>
    <row r="265" spans="1:19" x14ac:dyDescent="0.2">
      <c r="A265" s="1" t="d">
        <v>2026-05-06</v>
      </c>
      <c r="B265">
        <f ca="1">OFFSET(daily_original_wrong!$B$23, 2*(ROW(B265)-ROW($B$23)),COLUMN(B265)-2)+OFFSET(daily_original_wrong!$B$23, 1+2*(ROW(B265)-ROW($B$23)),COLUMN(B265)-2)</f>
        <v>0</v>
      </c>
      <c r="C265">
        <f ca="1">OFFSET(daily_original_wrong!$B$23, 2*(ROW(C265)-ROW($B$23)),COLUMN(C265)-2)+OFFSET(daily_original_wrong!$B$23, 1+2*(ROW(C265)-ROW($B$23)),COLUMN(C265)-2)</f>
        <v>0</v>
      </c>
      <c r="D265">
        <f ca="1">OFFSET(daily_original_wrong!$B$23, 2*(ROW(D265)-ROW($B$23)),COLUMN(D265)-2)+OFFSET(daily_original_wrong!$B$23, 1+2*(ROW(D265)-ROW($B$23)),COLUMN(D265)-2)</f>
        <v>0</v>
      </c>
      <c r="E265">
        <f ca="1">OFFSET(daily_original_wrong!$B$23, 2*(ROW(E265)-ROW($B$23)),COLUMN(E265)-2)+OFFSET(daily_original_wrong!$B$23, 1+2*(ROW(E265)-ROW($B$23)),COLUMN(E265)-2)</f>
        <v>0</v>
      </c>
      <c r="F265">
        <f ca="1">OFFSET(daily_original_wrong!$B$23, 2*(ROW(F265)-ROW($B$23)),COLUMN(F265)-2)+OFFSET(daily_original_wrong!$B$23, 1+2*(ROW(F265)-ROW($B$23)),COLUMN(F265)-2)</f>
        <v>0</v>
      </c>
      <c r="G265">
        <f ca="1">OFFSET(daily_original_wrong!$B$23, 2*(ROW(G265)-ROW($B$23)),COLUMN(G265)-2)+OFFSET(daily_original_wrong!$B$23, 1+2*(ROW(G265)-ROW($B$23)),COLUMN(G265)-2)</f>
        <v>0</v>
      </c>
      <c r="H265">
        <f ca="1">OFFSET(daily_original_wrong!$B$23, 2*(ROW(H265)-ROW($B$23)),COLUMN(H265)-2)+OFFSET(daily_original_wrong!$B$23, 1+2*(ROW(H265)-ROW($B$23)),COLUMN(H265)-2)</f>
        <v>0</v>
      </c>
      <c r="J265" t="str">
        <f t="shared" si="27"/>
        <v>[</v>
      </c>
      <c r="K265" t="str">
        <f t="shared" ca="1" si="28"/>
        <v>[0],</v>
      </c>
      <c r="L265" t="str">
        <f t="shared" ca="1" si="26"/>
        <v>[0],</v>
      </c>
      <c r="M265" t="str">
        <f t="shared" ca="1" si="26"/>
        <v>[0],</v>
      </c>
      <c r="N265" t="str">
        <f t="shared" ca="1" si="26"/>
        <v>[0],</v>
      </c>
      <c r="O265" t="str">
        <f t="shared" ca="1" si="26"/>
        <v>[0],</v>
      </c>
      <c r="P265" t="str">
        <f t="shared" ca="1" si="26"/>
        <v>[0],</v>
      </c>
      <c r="Q265" t="str">
        <f t="shared" ca="1" si="29"/>
        <v>[0]</v>
      </c>
      <c r="R265" t="str">
        <f t="shared" si="30"/>
        <v>]</v>
      </c>
      <c r="S265" t="str">
        <f t="shared" ca="1" si="31"/>
        <v>[[0],[0],[0],[0],[0],[0],[0]]</v>
      </c>
    </row>
    <row r="266" spans="1:19" x14ac:dyDescent="0.2">
      <c r="A266" s="1" t="d">
        <v>2026-05-07</v>
      </c>
      <c r="B266">
        <f ca="1">OFFSET(daily_original_wrong!$B$23, 2*(ROW(B266)-ROW($B$23)),COLUMN(B266)-2)+OFFSET(daily_original_wrong!$B$23, 1+2*(ROW(B266)-ROW($B$23)),COLUMN(B266)-2)</f>
        <v>0</v>
      </c>
      <c r="C266">
        <f ca="1">OFFSET(daily_original_wrong!$B$23, 2*(ROW(C266)-ROW($B$23)),COLUMN(C266)-2)+OFFSET(daily_original_wrong!$B$23, 1+2*(ROW(C266)-ROW($B$23)),COLUMN(C266)-2)</f>
        <v>0</v>
      </c>
      <c r="D266">
        <f ca="1">OFFSET(daily_original_wrong!$B$23, 2*(ROW(D266)-ROW($B$23)),COLUMN(D266)-2)+OFFSET(daily_original_wrong!$B$23, 1+2*(ROW(D266)-ROW($B$23)),COLUMN(D266)-2)</f>
        <v>0</v>
      </c>
      <c r="E266">
        <f ca="1">OFFSET(daily_original_wrong!$B$23, 2*(ROW(E266)-ROW($B$23)),COLUMN(E266)-2)+OFFSET(daily_original_wrong!$B$23, 1+2*(ROW(E266)-ROW($B$23)),COLUMN(E266)-2)</f>
        <v>0</v>
      </c>
      <c r="F266">
        <f ca="1">OFFSET(daily_original_wrong!$B$23, 2*(ROW(F266)-ROW($B$23)),COLUMN(F266)-2)+OFFSET(daily_original_wrong!$B$23, 1+2*(ROW(F266)-ROW($B$23)),COLUMN(F266)-2)</f>
        <v>0</v>
      </c>
      <c r="G266">
        <f ca="1">OFFSET(daily_original_wrong!$B$23, 2*(ROW(G266)-ROW($B$23)),COLUMN(G266)-2)+OFFSET(daily_original_wrong!$B$23, 1+2*(ROW(G266)-ROW($B$23)),COLUMN(G266)-2)</f>
        <v>0</v>
      </c>
      <c r="H266">
        <f ca="1">OFFSET(daily_original_wrong!$B$23, 2*(ROW(H266)-ROW($B$23)),COLUMN(H266)-2)+OFFSET(daily_original_wrong!$B$23, 1+2*(ROW(H266)-ROW($B$23)),COLUMN(H266)-2)</f>
        <v>0</v>
      </c>
      <c r="J266" t="str">
        <f t="shared" si="27"/>
        <v>[</v>
      </c>
      <c r="K266" t="str">
        <f t="shared" ca="1" si="28"/>
        <v>[0],</v>
      </c>
      <c r="L266" t="str">
        <f t="shared" ca="1" si="26"/>
        <v>[0],</v>
      </c>
      <c r="M266" t="str">
        <f t="shared" ca="1" si="26"/>
        <v>[0],</v>
      </c>
      <c r="N266" t="str">
        <f t="shared" ca="1" si="26"/>
        <v>[0],</v>
      </c>
      <c r="O266" t="str">
        <f t="shared" ca="1" si="26"/>
        <v>[0],</v>
      </c>
      <c r="P266" t="str">
        <f t="shared" ca="1" si="26"/>
        <v>[0],</v>
      </c>
      <c r="Q266" t="str">
        <f t="shared" ca="1" si="29"/>
        <v>[0]</v>
      </c>
      <c r="R266" t="str">
        <f t="shared" si="30"/>
        <v>]</v>
      </c>
      <c r="S266" t="str">
        <f t="shared" ca="1" si="31"/>
        <v>[[0],[0],[0],[0],[0],[0],[0]]</v>
      </c>
    </row>
    <row r="267" spans="1:19" x14ac:dyDescent="0.2">
      <c r="A267" s="1" t="d">
        <v>2026-05-08</v>
      </c>
      <c r="B267">
        <f ca="1">OFFSET(daily_original_wrong!$B$23, 2*(ROW(B267)-ROW($B$23)),COLUMN(B267)-2)+OFFSET(daily_original_wrong!$B$23, 1+2*(ROW(B267)-ROW($B$23)),COLUMN(B267)-2)</f>
        <v>0</v>
      </c>
      <c r="C267">
        <f ca="1">OFFSET(daily_original_wrong!$B$23, 2*(ROW(C267)-ROW($B$23)),COLUMN(C267)-2)+OFFSET(daily_original_wrong!$B$23, 1+2*(ROW(C267)-ROW($B$23)),COLUMN(C267)-2)</f>
        <v>0</v>
      </c>
      <c r="D267">
        <f ca="1">OFFSET(daily_original_wrong!$B$23, 2*(ROW(D267)-ROW($B$23)),COLUMN(D267)-2)+OFFSET(daily_original_wrong!$B$23, 1+2*(ROW(D267)-ROW($B$23)),COLUMN(D267)-2)</f>
        <v>0</v>
      </c>
      <c r="E267">
        <f ca="1">OFFSET(daily_original_wrong!$B$23, 2*(ROW(E267)-ROW($B$23)),COLUMN(E267)-2)+OFFSET(daily_original_wrong!$B$23, 1+2*(ROW(E267)-ROW($B$23)),COLUMN(E267)-2)</f>
        <v>0</v>
      </c>
      <c r="F267">
        <f ca="1">OFFSET(daily_original_wrong!$B$23, 2*(ROW(F267)-ROW($B$23)),COLUMN(F267)-2)+OFFSET(daily_original_wrong!$B$23, 1+2*(ROW(F267)-ROW($B$23)),COLUMN(F267)-2)</f>
        <v>0</v>
      </c>
      <c r="G267">
        <f ca="1">OFFSET(daily_original_wrong!$B$23, 2*(ROW(G267)-ROW($B$23)),COLUMN(G267)-2)+OFFSET(daily_original_wrong!$B$23, 1+2*(ROW(G267)-ROW($B$23)),COLUMN(G267)-2)</f>
        <v>0</v>
      </c>
      <c r="H267">
        <f ca="1">OFFSET(daily_original_wrong!$B$23, 2*(ROW(H267)-ROW($B$23)),COLUMN(H267)-2)+OFFSET(daily_original_wrong!$B$23, 1+2*(ROW(H267)-ROW($B$23)),COLUMN(H267)-2)</f>
        <v>0</v>
      </c>
      <c r="J267" t="str">
        <f t="shared" si="27"/>
        <v>[</v>
      </c>
      <c r="K267" t="str">
        <f t="shared" ca="1" si="28"/>
        <v>[0],</v>
      </c>
      <c r="L267" t="str">
        <f t="shared" ca="1" si="26"/>
        <v>[0],</v>
      </c>
      <c r="M267" t="str">
        <f t="shared" ca="1" si="26"/>
        <v>[0],</v>
      </c>
      <c r="N267" t="str">
        <f t="shared" ca="1" si="26"/>
        <v>[0],</v>
      </c>
      <c r="O267" t="str">
        <f t="shared" ca="1" si="26"/>
        <v>[0],</v>
      </c>
      <c r="P267" t="str">
        <f t="shared" ca="1" si="26"/>
        <v>[0],</v>
      </c>
      <c r="Q267" t="str">
        <f t="shared" ca="1" si="29"/>
        <v>[0]</v>
      </c>
      <c r="R267" t="str">
        <f t="shared" si="30"/>
        <v>]</v>
      </c>
      <c r="S267" t="str">
        <f t="shared" ca="1" si="31"/>
        <v>[[0],[0],[0],[0],[0],[0],[0]]</v>
      </c>
    </row>
    <row r="268" spans="1:19" x14ac:dyDescent="0.2">
      <c r="A268" s="1" t="d">
        <v>2026-05-09</v>
      </c>
      <c r="B268">
        <f ca="1">OFFSET(daily_original_wrong!$B$23, 2*(ROW(B268)-ROW($B$23)),COLUMN(B268)-2)+OFFSET(daily_original_wrong!$B$23, 1+2*(ROW(B268)-ROW($B$23)),COLUMN(B268)-2)</f>
        <v>0</v>
      </c>
      <c r="C268">
        <f ca="1">OFFSET(daily_original_wrong!$B$23, 2*(ROW(C268)-ROW($B$23)),COLUMN(C268)-2)+OFFSET(daily_original_wrong!$B$23, 1+2*(ROW(C268)-ROW($B$23)),COLUMN(C268)-2)</f>
        <v>0</v>
      </c>
      <c r="D268">
        <f ca="1">OFFSET(daily_original_wrong!$B$23, 2*(ROW(D268)-ROW($B$23)),COLUMN(D268)-2)+OFFSET(daily_original_wrong!$B$23, 1+2*(ROW(D268)-ROW($B$23)),COLUMN(D268)-2)</f>
        <v>0</v>
      </c>
      <c r="E268">
        <f ca="1">OFFSET(daily_original_wrong!$B$23, 2*(ROW(E268)-ROW($B$23)),COLUMN(E268)-2)+OFFSET(daily_original_wrong!$B$23, 1+2*(ROW(E268)-ROW($B$23)),COLUMN(E268)-2)</f>
        <v>0</v>
      </c>
      <c r="F268">
        <f ca="1">OFFSET(daily_original_wrong!$B$23, 2*(ROW(F268)-ROW($B$23)),COLUMN(F268)-2)+OFFSET(daily_original_wrong!$B$23, 1+2*(ROW(F268)-ROW($B$23)),COLUMN(F268)-2)</f>
        <v>0</v>
      </c>
      <c r="G268">
        <f ca="1">OFFSET(daily_original_wrong!$B$23, 2*(ROW(G268)-ROW($B$23)),COLUMN(G268)-2)+OFFSET(daily_original_wrong!$B$23, 1+2*(ROW(G268)-ROW($B$23)),COLUMN(G268)-2)</f>
        <v>0</v>
      </c>
      <c r="H268">
        <f ca="1">OFFSET(daily_original_wrong!$B$23, 2*(ROW(H268)-ROW($B$23)),COLUMN(H268)-2)+OFFSET(daily_original_wrong!$B$23, 1+2*(ROW(H268)-ROW($B$23)),COLUMN(H268)-2)</f>
        <v>0</v>
      </c>
      <c r="J268" t="str">
        <f t="shared" si="27"/>
        <v>[</v>
      </c>
      <c r="K268" t="str">
        <f t="shared" ca="1" si="28"/>
        <v>[0],</v>
      </c>
      <c r="L268" t="str">
        <f t="shared" ca="1" si="26"/>
        <v>[0],</v>
      </c>
      <c r="M268" t="str">
        <f t="shared" ca="1" si="26"/>
        <v>[0],</v>
      </c>
      <c r="N268" t="str">
        <f t="shared" ca="1" si="26"/>
        <v>[0],</v>
      </c>
      <c r="O268" t="str">
        <f t="shared" ca="1" si="26"/>
        <v>[0],</v>
      </c>
      <c r="P268" t="str">
        <f t="shared" ca="1" si="26"/>
        <v>[0],</v>
      </c>
      <c r="Q268" t="str">
        <f t="shared" ca="1" si="29"/>
        <v>[0]</v>
      </c>
      <c r="R268" t="str">
        <f t="shared" si="30"/>
        <v>]</v>
      </c>
      <c r="S268" t="str">
        <f t="shared" ca="1" si="31"/>
        <v>[[0],[0],[0],[0],[0],[0],[0]]</v>
      </c>
    </row>
    <row r="269" spans="1:19" x14ac:dyDescent="0.2">
      <c r="A269" s="1" t="d">
        <v>2026-05-10</v>
      </c>
      <c r="B269">
        <f ca="1">OFFSET(daily_original_wrong!$B$23, 2*(ROW(B269)-ROW($B$23)),COLUMN(B269)-2)+OFFSET(daily_original_wrong!$B$23, 1+2*(ROW(B269)-ROW($B$23)),COLUMN(B269)-2)</f>
        <v>0</v>
      </c>
      <c r="C269">
        <f ca="1">OFFSET(daily_original_wrong!$B$23, 2*(ROW(C269)-ROW($B$23)),COLUMN(C269)-2)+OFFSET(daily_original_wrong!$B$23, 1+2*(ROW(C269)-ROW($B$23)),COLUMN(C269)-2)</f>
        <v>0</v>
      </c>
      <c r="D269">
        <f ca="1">OFFSET(daily_original_wrong!$B$23, 2*(ROW(D269)-ROW($B$23)),COLUMN(D269)-2)+OFFSET(daily_original_wrong!$B$23, 1+2*(ROW(D269)-ROW($B$23)),COLUMN(D269)-2)</f>
        <v>0</v>
      </c>
      <c r="E269">
        <f ca="1">OFFSET(daily_original_wrong!$B$23, 2*(ROW(E269)-ROW($B$23)),COLUMN(E269)-2)+OFFSET(daily_original_wrong!$B$23, 1+2*(ROW(E269)-ROW($B$23)),COLUMN(E269)-2)</f>
        <v>0</v>
      </c>
      <c r="F269">
        <f ca="1">OFFSET(daily_original_wrong!$B$23, 2*(ROW(F269)-ROW($B$23)),COLUMN(F269)-2)+OFFSET(daily_original_wrong!$B$23, 1+2*(ROW(F269)-ROW($B$23)),COLUMN(F269)-2)</f>
        <v>0</v>
      </c>
      <c r="G269">
        <f ca="1">OFFSET(daily_original_wrong!$B$23, 2*(ROW(G269)-ROW($B$23)),COLUMN(G269)-2)+OFFSET(daily_original_wrong!$B$23, 1+2*(ROW(G269)-ROW($B$23)),COLUMN(G269)-2)</f>
        <v>0</v>
      </c>
      <c r="H269">
        <f ca="1">OFFSET(daily_original_wrong!$B$23, 2*(ROW(H269)-ROW($B$23)),COLUMN(H269)-2)+OFFSET(daily_original_wrong!$B$23, 1+2*(ROW(H269)-ROW($B$23)),COLUMN(H269)-2)</f>
        <v>0</v>
      </c>
      <c r="J269" t="str">
        <f t="shared" si="27"/>
        <v>[</v>
      </c>
      <c r="K269" t="str">
        <f t="shared" ca="1" si="28"/>
        <v>[0],</v>
      </c>
      <c r="L269" t="str">
        <f t="shared" ca="1" si="26"/>
        <v>[0],</v>
      </c>
      <c r="M269" t="str">
        <f t="shared" ca="1" si="26"/>
        <v>[0],</v>
      </c>
      <c r="N269" t="str">
        <f t="shared" ca="1" si="26"/>
        <v>[0],</v>
      </c>
      <c r="O269" t="str">
        <f t="shared" ca="1" si="26"/>
        <v>[0],</v>
      </c>
      <c r="P269" t="str">
        <f t="shared" ca="1" si="26"/>
        <v>[0],</v>
      </c>
      <c r="Q269" t="str">
        <f t="shared" ca="1" si="29"/>
        <v>[0]</v>
      </c>
      <c r="R269" t="str">
        <f t="shared" si="30"/>
        <v>]</v>
      </c>
      <c r="S269" t="str">
        <f t="shared" ca="1" si="31"/>
        <v>[[0],[0],[0],[0],[0],[0],[0]]</v>
      </c>
    </row>
    <row r="270" spans="1:19" x14ac:dyDescent="0.2">
      <c r="A270" s="1" t="d">
        <v>2026-05-11</v>
      </c>
      <c r="B270">
        <f ca="1">OFFSET(daily_original_wrong!$B$23, 2*(ROW(B270)-ROW($B$23)),COLUMN(B270)-2)+OFFSET(daily_original_wrong!$B$23, 1+2*(ROW(B270)-ROW($B$23)),COLUMN(B270)-2)</f>
        <v>0</v>
      </c>
      <c r="C270">
        <f ca="1">OFFSET(daily_original_wrong!$B$23, 2*(ROW(C270)-ROW($B$23)),COLUMN(C270)-2)+OFFSET(daily_original_wrong!$B$23, 1+2*(ROW(C270)-ROW($B$23)),COLUMN(C270)-2)</f>
        <v>0</v>
      </c>
      <c r="D270">
        <f ca="1">OFFSET(daily_original_wrong!$B$23, 2*(ROW(D270)-ROW($B$23)),COLUMN(D270)-2)+OFFSET(daily_original_wrong!$B$23, 1+2*(ROW(D270)-ROW($B$23)),COLUMN(D270)-2)</f>
        <v>0</v>
      </c>
      <c r="E270">
        <f ca="1">OFFSET(daily_original_wrong!$B$23, 2*(ROW(E270)-ROW($B$23)),COLUMN(E270)-2)+OFFSET(daily_original_wrong!$B$23, 1+2*(ROW(E270)-ROW($B$23)),COLUMN(E270)-2)</f>
        <v>0</v>
      </c>
      <c r="F270">
        <f ca="1">OFFSET(daily_original_wrong!$B$23, 2*(ROW(F270)-ROW($B$23)),COLUMN(F270)-2)+OFFSET(daily_original_wrong!$B$23, 1+2*(ROW(F270)-ROW($B$23)),COLUMN(F270)-2)</f>
        <v>0</v>
      </c>
      <c r="G270">
        <f ca="1">OFFSET(daily_original_wrong!$B$23, 2*(ROW(G270)-ROW($B$23)),COLUMN(G270)-2)+OFFSET(daily_original_wrong!$B$23, 1+2*(ROW(G270)-ROW($B$23)),COLUMN(G270)-2)</f>
        <v>0</v>
      </c>
      <c r="H270">
        <f ca="1">OFFSET(daily_original_wrong!$B$23, 2*(ROW(H270)-ROW($B$23)),COLUMN(H270)-2)+OFFSET(daily_original_wrong!$B$23, 1+2*(ROW(H270)-ROW($B$23)),COLUMN(H270)-2)</f>
        <v>0</v>
      </c>
      <c r="J270" t="str">
        <f t="shared" si="27"/>
        <v>[</v>
      </c>
      <c r="K270" t="str">
        <f t="shared" ca="1" si="28"/>
        <v>[0],</v>
      </c>
      <c r="L270" t="str">
        <f t="shared" ca="1" si="26"/>
        <v>[0],</v>
      </c>
      <c r="M270" t="str">
        <f t="shared" ca="1" si="26"/>
        <v>[0],</v>
      </c>
      <c r="N270" t="str">
        <f t="shared" ca="1" si="26"/>
        <v>[0],</v>
      </c>
      <c r="O270" t="str">
        <f t="shared" ca="1" si="26"/>
        <v>[0],</v>
      </c>
      <c r="P270" t="str">
        <f t="shared" ca="1" si="26"/>
        <v>[0],</v>
      </c>
      <c r="Q270" t="str">
        <f t="shared" ca="1" si="29"/>
        <v>[0]</v>
      </c>
      <c r="R270" t="str">
        <f t="shared" si="30"/>
        <v>]</v>
      </c>
      <c r="S270" t="str">
        <f t="shared" ca="1" si="31"/>
        <v>[[0],[0],[0],[0],[0],[0],[0]]</v>
      </c>
    </row>
    <row r="271" spans="1:19" x14ac:dyDescent="0.2">
      <c r="A271" s="1" t="d">
        <v>2026-05-12</v>
      </c>
      <c r="B271">
        <f ca="1">OFFSET(daily_original_wrong!$B$23, 2*(ROW(B271)-ROW($B$23)),COLUMN(B271)-2)+OFFSET(daily_original_wrong!$B$23, 1+2*(ROW(B271)-ROW($B$23)),COLUMN(B271)-2)</f>
        <v>0</v>
      </c>
      <c r="C271">
        <f ca="1">OFFSET(daily_original_wrong!$B$23, 2*(ROW(C271)-ROW($B$23)),COLUMN(C271)-2)+OFFSET(daily_original_wrong!$B$23, 1+2*(ROW(C271)-ROW($B$23)),COLUMN(C271)-2)</f>
        <v>0</v>
      </c>
      <c r="D271">
        <f ca="1">OFFSET(daily_original_wrong!$B$23, 2*(ROW(D271)-ROW($B$23)),COLUMN(D271)-2)+OFFSET(daily_original_wrong!$B$23, 1+2*(ROW(D271)-ROW($B$23)),COLUMN(D271)-2)</f>
        <v>0</v>
      </c>
      <c r="E271">
        <f ca="1">OFFSET(daily_original_wrong!$B$23, 2*(ROW(E271)-ROW($B$23)),COLUMN(E271)-2)+OFFSET(daily_original_wrong!$B$23, 1+2*(ROW(E271)-ROW($B$23)),COLUMN(E271)-2)</f>
        <v>0</v>
      </c>
      <c r="F271">
        <f ca="1">OFFSET(daily_original_wrong!$B$23, 2*(ROW(F271)-ROW($B$23)),COLUMN(F271)-2)+OFFSET(daily_original_wrong!$B$23, 1+2*(ROW(F271)-ROW($B$23)),COLUMN(F271)-2)</f>
        <v>0</v>
      </c>
      <c r="G271">
        <f ca="1">OFFSET(daily_original_wrong!$B$23, 2*(ROW(G271)-ROW($B$23)),COLUMN(G271)-2)+OFFSET(daily_original_wrong!$B$23, 1+2*(ROW(G271)-ROW($B$23)),COLUMN(G271)-2)</f>
        <v>0</v>
      </c>
      <c r="H271">
        <f ca="1">OFFSET(daily_original_wrong!$B$23, 2*(ROW(H271)-ROW($B$23)),COLUMN(H271)-2)+OFFSET(daily_original_wrong!$B$23, 1+2*(ROW(H271)-ROW($B$23)),COLUMN(H271)-2)</f>
        <v>0</v>
      </c>
      <c r="J271" t="str">
        <f t="shared" si="27"/>
        <v>[</v>
      </c>
      <c r="K271" t="str">
        <f t="shared" ca="1" si="28"/>
        <v>[0],</v>
      </c>
      <c r="L271" t="str">
        <f t="shared" ca="1" si="26"/>
        <v>[0],</v>
      </c>
      <c r="M271" t="str">
        <f t="shared" ca="1" si="26"/>
        <v>[0],</v>
      </c>
      <c r="N271" t="str">
        <f t="shared" ca="1" si="26"/>
        <v>[0],</v>
      </c>
      <c r="O271" t="str">
        <f t="shared" ca="1" si="26"/>
        <v>[0],</v>
      </c>
      <c r="P271" t="str">
        <f t="shared" ca="1" si="26"/>
        <v>[0],</v>
      </c>
      <c r="Q271" t="str">
        <f t="shared" ca="1" si="29"/>
        <v>[0]</v>
      </c>
      <c r="R271" t="str">
        <f t="shared" si="30"/>
        <v>]</v>
      </c>
      <c r="S271" t="str">
        <f t="shared" ca="1" si="31"/>
        <v>[[0],[0],[0],[0],[0],[0],[0]]</v>
      </c>
    </row>
    <row r="272" spans="1:19" x14ac:dyDescent="0.2">
      <c r="A272" s="1" t="d">
        <v>2026-05-13</v>
      </c>
      <c r="B272">
        <f ca="1">OFFSET(daily_original_wrong!$B$23, 2*(ROW(B272)-ROW($B$23)),COLUMN(B272)-2)+OFFSET(daily_original_wrong!$B$23, 1+2*(ROW(B272)-ROW($B$23)),COLUMN(B272)-2)</f>
        <v>0</v>
      </c>
      <c r="C272">
        <f ca="1">OFFSET(daily_original_wrong!$B$23, 2*(ROW(C272)-ROW($B$23)),COLUMN(C272)-2)+OFFSET(daily_original_wrong!$B$23, 1+2*(ROW(C272)-ROW($B$23)),COLUMN(C272)-2)</f>
        <v>0</v>
      </c>
      <c r="D272">
        <f ca="1">OFFSET(daily_original_wrong!$B$23, 2*(ROW(D272)-ROW($B$23)),COLUMN(D272)-2)+OFFSET(daily_original_wrong!$B$23, 1+2*(ROW(D272)-ROW($B$23)),COLUMN(D272)-2)</f>
        <v>0</v>
      </c>
      <c r="E272">
        <f ca="1">OFFSET(daily_original_wrong!$B$23, 2*(ROW(E272)-ROW($B$23)),COLUMN(E272)-2)+OFFSET(daily_original_wrong!$B$23, 1+2*(ROW(E272)-ROW($B$23)),COLUMN(E272)-2)</f>
        <v>0</v>
      </c>
      <c r="F272">
        <f ca="1">OFFSET(daily_original_wrong!$B$23, 2*(ROW(F272)-ROW($B$23)),COLUMN(F272)-2)+OFFSET(daily_original_wrong!$B$23, 1+2*(ROW(F272)-ROW($B$23)),COLUMN(F272)-2)</f>
        <v>0</v>
      </c>
      <c r="G272">
        <f ca="1">OFFSET(daily_original_wrong!$B$23, 2*(ROW(G272)-ROW($B$23)),COLUMN(G272)-2)+OFFSET(daily_original_wrong!$B$23, 1+2*(ROW(G272)-ROW($B$23)),COLUMN(G272)-2)</f>
        <v>0</v>
      </c>
      <c r="H272">
        <f ca="1">OFFSET(daily_original_wrong!$B$23, 2*(ROW(H272)-ROW($B$23)),COLUMN(H272)-2)+OFFSET(daily_original_wrong!$B$23, 1+2*(ROW(H272)-ROW($B$23)),COLUMN(H272)-2)</f>
        <v>0</v>
      </c>
      <c r="J272" t="str">
        <f t="shared" si="27"/>
        <v>[</v>
      </c>
      <c r="K272" t="str">
        <f t="shared" ca="1" si="28"/>
        <v>[0],</v>
      </c>
      <c r="L272" t="str">
        <f t="shared" ca="1" si="26"/>
        <v>[0],</v>
      </c>
      <c r="M272" t="str">
        <f t="shared" ca="1" si="26"/>
        <v>[0],</v>
      </c>
      <c r="N272" t="str">
        <f t="shared" ca="1" si="26"/>
        <v>[0],</v>
      </c>
      <c r="O272" t="str">
        <f t="shared" ca="1" si="26"/>
        <v>[0],</v>
      </c>
      <c r="P272" t="str">
        <f t="shared" ca="1" si="26"/>
        <v>[0],</v>
      </c>
      <c r="Q272" t="str">
        <f t="shared" ca="1" si="29"/>
        <v>[0]</v>
      </c>
      <c r="R272" t="str">
        <f t="shared" si="30"/>
        <v>]</v>
      </c>
      <c r="S272" t="str">
        <f t="shared" ca="1" si="31"/>
        <v>[[0],[0],[0],[0],[0],[0],[0]]</v>
      </c>
    </row>
    <row r="273" spans="1:19" x14ac:dyDescent="0.2">
      <c r="A273" s="1" t="d">
        <v>2026-05-14</v>
      </c>
      <c r="B273">
        <f ca="1">OFFSET(daily_original_wrong!$B$23, 2*(ROW(B273)-ROW($B$23)),COLUMN(B273)-2)+OFFSET(daily_original_wrong!$B$23, 1+2*(ROW(B273)-ROW($B$23)),COLUMN(B273)-2)</f>
        <v>0</v>
      </c>
      <c r="C273">
        <f ca="1">OFFSET(daily_original_wrong!$B$23, 2*(ROW(C273)-ROW($B$23)),COLUMN(C273)-2)+OFFSET(daily_original_wrong!$B$23, 1+2*(ROW(C273)-ROW($B$23)),COLUMN(C273)-2)</f>
        <v>0</v>
      </c>
      <c r="D273">
        <f ca="1">OFFSET(daily_original_wrong!$B$23, 2*(ROW(D273)-ROW($B$23)),COLUMN(D273)-2)+OFFSET(daily_original_wrong!$B$23, 1+2*(ROW(D273)-ROW($B$23)),COLUMN(D273)-2)</f>
        <v>0</v>
      </c>
      <c r="E273">
        <f ca="1">OFFSET(daily_original_wrong!$B$23, 2*(ROW(E273)-ROW($B$23)),COLUMN(E273)-2)+OFFSET(daily_original_wrong!$B$23, 1+2*(ROW(E273)-ROW($B$23)),COLUMN(E273)-2)</f>
        <v>0</v>
      </c>
      <c r="F273">
        <f ca="1">OFFSET(daily_original_wrong!$B$23, 2*(ROW(F273)-ROW($B$23)),COLUMN(F273)-2)+OFFSET(daily_original_wrong!$B$23, 1+2*(ROW(F273)-ROW($B$23)),COLUMN(F273)-2)</f>
        <v>0</v>
      </c>
      <c r="G273">
        <f ca="1">OFFSET(daily_original_wrong!$B$23, 2*(ROW(G273)-ROW($B$23)),COLUMN(G273)-2)+OFFSET(daily_original_wrong!$B$23, 1+2*(ROW(G273)-ROW($B$23)),COLUMN(G273)-2)</f>
        <v>0</v>
      </c>
      <c r="H273">
        <f ca="1">OFFSET(daily_original_wrong!$B$23, 2*(ROW(H273)-ROW($B$23)),COLUMN(H273)-2)+OFFSET(daily_original_wrong!$B$23, 1+2*(ROW(H273)-ROW($B$23)),COLUMN(H273)-2)</f>
        <v>0</v>
      </c>
      <c r="J273" t="str">
        <f t="shared" si="27"/>
        <v>[</v>
      </c>
      <c r="K273" t="str">
        <f t="shared" ca="1" si="28"/>
        <v>[0],</v>
      </c>
      <c r="L273" t="str">
        <f t="shared" ca="1" si="26"/>
        <v>[0],</v>
      </c>
      <c r="M273" t="str">
        <f t="shared" ca="1" si="26"/>
        <v>[0],</v>
      </c>
      <c r="N273" t="str">
        <f t="shared" ca="1" si="26"/>
        <v>[0],</v>
      </c>
      <c r="O273" t="str">
        <f t="shared" ca="1" si="26"/>
        <v>[0],</v>
      </c>
      <c r="P273" t="str">
        <f t="shared" ca="1" si="26"/>
        <v>[0],</v>
      </c>
      <c r="Q273" t="str">
        <f t="shared" ca="1" si="29"/>
        <v>[0]</v>
      </c>
      <c r="R273" t="str">
        <f t="shared" si="30"/>
        <v>]</v>
      </c>
      <c r="S273" t="str">
        <f t="shared" ca="1" si="31"/>
        <v>[[0],[0],[0],[0],[0],[0],[0]]</v>
      </c>
    </row>
    <row r="274" spans="1:19" x14ac:dyDescent="0.2">
      <c r="A274" s="1" t="d">
        <v>2026-05-15</v>
      </c>
      <c r="B274">
        <f ca="1">OFFSET(daily_original_wrong!$B$23, 2*(ROW(B274)-ROW($B$23)),COLUMN(B274)-2)+OFFSET(daily_original_wrong!$B$23, 1+2*(ROW(B274)-ROW($B$23)),COLUMN(B274)-2)</f>
        <v>0</v>
      </c>
      <c r="C274">
        <f ca="1">OFFSET(daily_original_wrong!$B$23, 2*(ROW(C274)-ROW($B$23)),COLUMN(C274)-2)+OFFSET(daily_original_wrong!$B$23, 1+2*(ROW(C274)-ROW($B$23)),COLUMN(C274)-2)</f>
        <v>0</v>
      </c>
      <c r="D274">
        <f ca="1">OFFSET(daily_original_wrong!$B$23, 2*(ROW(D274)-ROW($B$23)),COLUMN(D274)-2)+OFFSET(daily_original_wrong!$B$23, 1+2*(ROW(D274)-ROW($B$23)),COLUMN(D274)-2)</f>
        <v>0</v>
      </c>
      <c r="E274">
        <f ca="1">OFFSET(daily_original_wrong!$B$23, 2*(ROW(E274)-ROW($B$23)),COLUMN(E274)-2)+OFFSET(daily_original_wrong!$B$23, 1+2*(ROW(E274)-ROW($B$23)),COLUMN(E274)-2)</f>
        <v>0</v>
      </c>
      <c r="F274">
        <f ca="1">OFFSET(daily_original_wrong!$B$23, 2*(ROW(F274)-ROW($B$23)),COLUMN(F274)-2)+OFFSET(daily_original_wrong!$B$23, 1+2*(ROW(F274)-ROW($B$23)),COLUMN(F274)-2)</f>
        <v>0</v>
      </c>
      <c r="G274">
        <f ca="1">OFFSET(daily_original_wrong!$B$23, 2*(ROW(G274)-ROW($B$23)),COLUMN(G274)-2)+OFFSET(daily_original_wrong!$B$23, 1+2*(ROW(G274)-ROW($B$23)),COLUMN(G274)-2)</f>
        <v>0</v>
      </c>
      <c r="H274">
        <f ca="1">OFFSET(daily_original_wrong!$B$23, 2*(ROW(H274)-ROW($B$23)),COLUMN(H274)-2)+OFFSET(daily_original_wrong!$B$23, 1+2*(ROW(H274)-ROW($B$23)),COLUMN(H274)-2)</f>
        <v>0</v>
      </c>
      <c r="J274" t="str">
        <f t="shared" si="27"/>
        <v>[</v>
      </c>
      <c r="K274" t="str">
        <f t="shared" ca="1" si="28"/>
        <v>[0],</v>
      </c>
      <c r="L274" t="str">
        <f t="shared" ca="1" si="26"/>
        <v>[0],</v>
      </c>
      <c r="M274" t="str">
        <f t="shared" ca="1" si="26"/>
        <v>[0],</v>
      </c>
      <c r="N274" t="str">
        <f t="shared" ca="1" si="26"/>
        <v>[0],</v>
      </c>
      <c r="O274" t="str">
        <f t="shared" ca="1" si="26"/>
        <v>[0],</v>
      </c>
      <c r="P274" t="str">
        <f t="shared" ca="1" si="26"/>
        <v>[0],</v>
      </c>
      <c r="Q274" t="str">
        <f t="shared" ca="1" si="29"/>
        <v>[0]</v>
      </c>
      <c r="R274" t="str">
        <f t="shared" si="30"/>
        <v>]</v>
      </c>
      <c r="S274" t="str">
        <f t="shared" ca="1" si="31"/>
        <v>[[0],[0],[0],[0],[0],[0],[0]]</v>
      </c>
    </row>
    <row r="275" spans="1:19" x14ac:dyDescent="0.2">
      <c r="A275" s="1" t="d">
        <v>2026-05-16</v>
      </c>
      <c r="B275">
        <f ca="1">OFFSET(daily_original_wrong!$B$23, 2*(ROW(B275)-ROW($B$23)),COLUMN(B275)-2)+OFFSET(daily_original_wrong!$B$23, 1+2*(ROW(B275)-ROW($B$23)),COLUMN(B275)-2)</f>
        <v>0</v>
      </c>
      <c r="C275">
        <f ca="1">OFFSET(daily_original_wrong!$B$23, 2*(ROW(C275)-ROW($B$23)),COLUMN(C275)-2)+OFFSET(daily_original_wrong!$B$23, 1+2*(ROW(C275)-ROW($B$23)),COLUMN(C275)-2)</f>
        <v>0</v>
      </c>
      <c r="D275">
        <f ca="1">OFFSET(daily_original_wrong!$B$23, 2*(ROW(D275)-ROW($B$23)),COLUMN(D275)-2)+OFFSET(daily_original_wrong!$B$23, 1+2*(ROW(D275)-ROW($B$23)),COLUMN(D275)-2)</f>
        <v>0</v>
      </c>
      <c r="E275">
        <f ca="1">OFFSET(daily_original_wrong!$B$23, 2*(ROW(E275)-ROW($B$23)),COLUMN(E275)-2)+OFFSET(daily_original_wrong!$B$23, 1+2*(ROW(E275)-ROW($B$23)),COLUMN(E275)-2)</f>
        <v>0</v>
      </c>
      <c r="F275">
        <f ca="1">OFFSET(daily_original_wrong!$B$23, 2*(ROW(F275)-ROW($B$23)),COLUMN(F275)-2)+OFFSET(daily_original_wrong!$B$23, 1+2*(ROW(F275)-ROW($B$23)),COLUMN(F275)-2)</f>
        <v>0</v>
      </c>
      <c r="G275">
        <f ca="1">OFFSET(daily_original_wrong!$B$23, 2*(ROW(G275)-ROW($B$23)),COLUMN(G275)-2)+OFFSET(daily_original_wrong!$B$23, 1+2*(ROW(G275)-ROW($B$23)),COLUMN(G275)-2)</f>
        <v>0</v>
      </c>
      <c r="H275">
        <f ca="1">OFFSET(daily_original_wrong!$B$23, 2*(ROW(H275)-ROW($B$23)),COLUMN(H275)-2)+OFFSET(daily_original_wrong!$B$23, 1+2*(ROW(H275)-ROW($B$23)),COLUMN(H275)-2)</f>
        <v>0</v>
      </c>
      <c r="J275" t="str">
        <f t="shared" si="27"/>
        <v>[</v>
      </c>
      <c r="K275" t="str">
        <f t="shared" ca="1" si="28"/>
        <v>[0],</v>
      </c>
      <c r="L275" t="str">
        <f t="shared" ca="1" si="26"/>
        <v>[0],</v>
      </c>
      <c r="M275" t="str">
        <f t="shared" ca="1" si="26"/>
        <v>[0],</v>
      </c>
      <c r="N275" t="str">
        <f t="shared" ca="1" si="26"/>
        <v>[0],</v>
      </c>
      <c r="O275" t="str">
        <f t="shared" ca="1" si="26"/>
        <v>[0],</v>
      </c>
      <c r="P275" t="str">
        <f t="shared" ca="1" si="26"/>
        <v>[0],</v>
      </c>
      <c r="Q275" t="str">
        <f t="shared" ca="1" si="29"/>
        <v>[0]</v>
      </c>
      <c r="R275" t="str">
        <f t="shared" si="30"/>
        <v>]</v>
      </c>
      <c r="S275" t="str">
        <f t="shared" ca="1" si="31"/>
        <v>[[0],[0],[0],[0],[0],[0],[0]]</v>
      </c>
    </row>
    <row r="276" spans="1:19" x14ac:dyDescent="0.2">
      <c r="A276" s="1" t="d">
        <v>2026-05-17</v>
      </c>
      <c r="B276">
        <f ca="1">OFFSET(daily_original_wrong!$B$23, 2*(ROW(B276)-ROW($B$23)),COLUMN(B276)-2)+OFFSET(daily_original_wrong!$B$23, 1+2*(ROW(B276)-ROW($B$23)),COLUMN(B276)-2)</f>
        <v>0</v>
      </c>
      <c r="C276">
        <f ca="1">OFFSET(daily_original_wrong!$B$23, 2*(ROW(C276)-ROW($B$23)),COLUMN(C276)-2)+OFFSET(daily_original_wrong!$B$23, 1+2*(ROW(C276)-ROW($B$23)),COLUMN(C276)-2)</f>
        <v>0</v>
      </c>
      <c r="D276">
        <f ca="1">OFFSET(daily_original_wrong!$B$23, 2*(ROW(D276)-ROW($B$23)),COLUMN(D276)-2)+OFFSET(daily_original_wrong!$B$23, 1+2*(ROW(D276)-ROW($B$23)),COLUMN(D276)-2)</f>
        <v>0</v>
      </c>
      <c r="E276">
        <f ca="1">OFFSET(daily_original_wrong!$B$23, 2*(ROW(E276)-ROW($B$23)),COLUMN(E276)-2)+OFFSET(daily_original_wrong!$B$23, 1+2*(ROW(E276)-ROW($B$23)),COLUMN(E276)-2)</f>
        <v>0</v>
      </c>
      <c r="F276">
        <f ca="1">OFFSET(daily_original_wrong!$B$23, 2*(ROW(F276)-ROW($B$23)),COLUMN(F276)-2)+OFFSET(daily_original_wrong!$B$23, 1+2*(ROW(F276)-ROW($B$23)),COLUMN(F276)-2)</f>
        <v>0</v>
      </c>
      <c r="G276">
        <f ca="1">OFFSET(daily_original_wrong!$B$23, 2*(ROW(G276)-ROW($B$23)),COLUMN(G276)-2)+OFFSET(daily_original_wrong!$B$23, 1+2*(ROW(G276)-ROW($B$23)),COLUMN(G276)-2)</f>
        <v>0</v>
      </c>
      <c r="H276">
        <f ca="1">OFFSET(daily_original_wrong!$B$23, 2*(ROW(H276)-ROW($B$23)),COLUMN(H276)-2)+OFFSET(daily_original_wrong!$B$23, 1+2*(ROW(H276)-ROW($B$23)),COLUMN(H276)-2)</f>
        <v>0</v>
      </c>
      <c r="J276" t="str">
        <f t="shared" si="27"/>
        <v>[</v>
      </c>
      <c r="K276" t="str">
        <f t="shared" ca="1" si="28"/>
        <v>[0],</v>
      </c>
      <c r="L276" t="str">
        <f t="shared" ca="1" si="26"/>
        <v>[0],</v>
      </c>
      <c r="M276" t="str">
        <f t="shared" ca="1" si="26"/>
        <v>[0],</v>
      </c>
      <c r="N276" t="str">
        <f t="shared" ca="1" si="26"/>
        <v>[0],</v>
      </c>
      <c r="O276" t="str">
        <f t="shared" ca="1" si="26"/>
        <v>[0],</v>
      </c>
      <c r="P276" t="str">
        <f t="shared" ca="1" si="26"/>
        <v>[0],</v>
      </c>
      <c r="Q276" t="str">
        <f t="shared" ca="1" si="29"/>
        <v>[0]</v>
      </c>
      <c r="R276" t="str">
        <f t="shared" si="30"/>
        <v>]</v>
      </c>
      <c r="S276" t="str">
        <f t="shared" ca="1" si="31"/>
        <v>[[0],[0],[0],[0],[0],[0],[0]]</v>
      </c>
    </row>
    <row r="277" spans="1:19" x14ac:dyDescent="0.2">
      <c r="A277" s="1" t="d">
        <v>2026-05-18</v>
      </c>
      <c r="B277">
        <f ca="1">OFFSET(daily_original_wrong!$B$23, 2*(ROW(B277)-ROW($B$23)),COLUMN(B277)-2)+OFFSET(daily_original_wrong!$B$23, 1+2*(ROW(B277)-ROW($B$23)),COLUMN(B277)-2)</f>
        <v>0</v>
      </c>
      <c r="C277">
        <f ca="1">OFFSET(daily_original_wrong!$B$23, 2*(ROW(C277)-ROW($B$23)),COLUMN(C277)-2)+OFFSET(daily_original_wrong!$B$23, 1+2*(ROW(C277)-ROW($B$23)),COLUMN(C277)-2)</f>
        <v>0</v>
      </c>
      <c r="D277">
        <f ca="1">OFFSET(daily_original_wrong!$B$23, 2*(ROW(D277)-ROW($B$23)),COLUMN(D277)-2)+OFFSET(daily_original_wrong!$B$23, 1+2*(ROW(D277)-ROW($B$23)),COLUMN(D277)-2)</f>
        <v>0</v>
      </c>
      <c r="E277">
        <f ca="1">OFFSET(daily_original_wrong!$B$23, 2*(ROW(E277)-ROW($B$23)),COLUMN(E277)-2)+OFFSET(daily_original_wrong!$B$23, 1+2*(ROW(E277)-ROW($B$23)),COLUMN(E277)-2)</f>
        <v>0</v>
      </c>
      <c r="F277">
        <f ca="1">OFFSET(daily_original_wrong!$B$23, 2*(ROW(F277)-ROW($B$23)),COLUMN(F277)-2)+OFFSET(daily_original_wrong!$B$23, 1+2*(ROW(F277)-ROW($B$23)),COLUMN(F277)-2)</f>
        <v>0</v>
      </c>
      <c r="G277">
        <f ca="1">OFFSET(daily_original_wrong!$B$23, 2*(ROW(G277)-ROW($B$23)),COLUMN(G277)-2)+OFFSET(daily_original_wrong!$B$23, 1+2*(ROW(G277)-ROW($B$23)),COLUMN(G277)-2)</f>
        <v>0</v>
      </c>
      <c r="H277">
        <f ca="1">OFFSET(daily_original_wrong!$B$23, 2*(ROW(H277)-ROW($B$23)),COLUMN(H277)-2)+OFFSET(daily_original_wrong!$B$23, 1+2*(ROW(H277)-ROW($B$23)),COLUMN(H277)-2)</f>
        <v>0</v>
      </c>
      <c r="J277" t="str">
        <f t="shared" si="27"/>
        <v>[</v>
      </c>
      <c r="K277" t="str">
        <f t="shared" ca="1" si="28"/>
        <v>[0],</v>
      </c>
      <c r="L277" t="str">
        <f t="shared" ca="1" si="26"/>
        <v>[0],</v>
      </c>
      <c r="M277" t="str">
        <f t="shared" ca="1" si="26"/>
        <v>[0],</v>
      </c>
      <c r="N277" t="str">
        <f t="shared" ca="1" si="26"/>
        <v>[0],</v>
      </c>
      <c r="O277" t="str">
        <f t="shared" ca="1" si="26"/>
        <v>[0],</v>
      </c>
      <c r="P277" t="str">
        <f t="shared" ca="1" si="26"/>
        <v>[0],</v>
      </c>
      <c r="Q277" t="str">
        <f t="shared" ca="1" si="29"/>
        <v>[0]</v>
      </c>
      <c r="R277" t="str">
        <f t="shared" si="30"/>
        <v>]</v>
      </c>
      <c r="S277" t="str">
        <f t="shared" ca="1" si="31"/>
        <v>[[0],[0],[0],[0],[0],[0],[0]]</v>
      </c>
    </row>
    <row r="278" spans="1:19" x14ac:dyDescent="0.2">
      <c r="A278" s="1" t="d">
        <v>2026-05-19</v>
      </c>
      <c r="B278">
        <f ca="1">OFFSET(daily_original_wrong!$B$23, 2*(ROW(B278)-ROW($B$23)),COLUMN(B278)-2)+OFFSET(daily_original_wrong!$B$23, 1+2*(ROW(B278)-ROW($B$23)),COLUMN(B278)-2)</f>
        <v>0</v>
      </c>
      <c r="C278">
        <f ca="1">OFFSET(daily_original_wrong!$B$23, 2*(ROW(C278)-ROW($B$23)),COLUMN(C278)-2)+OFFSET(daily_original_wrong!$B$23, 1+2*(ROW(C278)-ROW($B$23)),COLUMN(C278)-2)</f>
        <v>0</v>
      </c>
      <c r="D278">
        <f ca="1">OFFSET(daily_original_wrong!$B$23, 2*(ROW(D278)-ROW($B$23)),COLUMN(D278)-2)+OFFSET(daily_original_wrong!$B$23, 1+2*(ROW(D278)-ROW($B$23)),COLUMN(D278)-2)</f>
        <v>0</v>
      </c>
      <c r="E278">
        <f ca="1">OFFSET(daily_original_wrong!$B$23, 2*(ROW(E278)-ROW($B$23)),COLUMN(E278)-2)+OFFSET(daily_original_wrong!$B$23, 1+2*(ROW(E278)-ROW($B$23)),COLUMN(E278)-2)</f>
        <v>0</v>
      </c>
      <c r="F278">
        <f ca="1">OFFSET(daily_original_wrong!$B$23, 2*(ROW(F278)-ROW($B$23)),COLUMN(F278)-2)+OFFSET(daily_original_wrong!$B$23, 1+2*(ROW(F278)-ROW($B$23)),COLUMN(F278)-2)</f>
        <v>0</v>
      </c>
      <c r="G278">
        <f ca="1">OFFSET(daily_original_wrong!$B$23, 2*(ROW(G278)-ROW($B$23)),COLUMN(G278)-2)+OFFSET(daily_original_wrong!$B$23, 1+2*(ROW(G278)-ROW($B$23)),COLUMN(G278)-2)</f>
        <v>0</v>
      </c>
      <c r="H278">
        <f ca="1">OFFSET(daily_original_wrong!$B$23, 2*(ROW(H278)-ROW($B$23)),COLUMN(H278)-2)+OFFSET(daily_original_wrong!$B$23, 1+2*(ROW(H278)-ROW($B$23)),COLUMN(H278)-2)</f>
        <v>0</v>
      </c>
      <c r="J278" t="str">
        <f t="shared" si="27"/>
        <v>[</v>
      </c>
      <c r="K278" t="str">
        <f t="shared" ca="1" si="28"/>
        <v>[0],</v>
      </c>
      <c r="L278" t="str">
        <f t="shared" ca="1" si="26"/>
        <v>[0],</v>
      </c>
      <c r="M278" t="str">
        <f t="shared" ca="1" si="26"/>
        <v>[0],</v>
      </c>
      <c r="N278" t="str">
        <f t="shared" ca="1" si="26"/>
        <v>[0],</v>
      </c>
      <c r="O278" t="str">
        <f t="shared" ca="1" si="26"/>
        <v>[0],</v>
      </c>
      <c r="P278" t="str">
        <f t="shared" ca="1" si="26"/>
        <v>[0],</v>
      </c>
      <c r="Q278" t="str">
        <f t="shared" ca="1" si="29"/>
        <v>[0]</v>
      </c>
      <c r="R278" t="str">
        <f t="shared" si="30"/>
        <v>]</v>
      </c>
      <c r="S278" t="str">
        <f t="shared" ca="1" si="31"/>
        <v>[[0],[0],[0],[0],[0],[0],[0]]</v>
      </c>
    </row>
    <row r="279" spans="1:19" x14ac:dyDescent="0.2">
      <c r="A279" s="1" t="d">
        <v>2026-05-20</v>
      </c>
      <c r="B279">
        <f ca="1">OFFSET(daily_original_wrong!$B$23, 2*(ROW(B279)-ROW($B$23)),COLUMN(B279)-2)+OFFSET(daily_original_wrong!$B$23, 1+2*(ROW(B279)-ROW($B$23)),COLUMN(B279)-2)</f>
        <v>0</v>
      </c>
      <c r="C279">
        <f ca="1">OFFSET(daily_original_wrong!$B$23, 2*(ROW(C279)-ROW($B$23)),COLUMN(C279)-2)+OFFSET(daily_original_wrong!$B$23, 1+2*(ROW(C279)-ROW($B$23)),COLUMN(C279)-2)</f>
        <v>0</v>
      </c>
      <c r="D279">
        <f ca="1">OFFSET(daily_original_wrong!$B$23, 2*(ROW(D279)-ROW($B$23)),COLUMN(D279)-2)+OFFSET(daily_original_wrong!$B$23, 1+2*(ROW(D279)-ROW($B$23)),COLUMN(D279)-2)</f>
        <v>0</v>
      </c>
      <c r="E279">
        <f ca="1">OFFSET(daily_original_wrong!$B$23, 2*(ROW(E279)-ROW($B$23)),COLUMN(E279)-2)+OFFSET(daily_original_wrong!$B$23, 1+2*(ROW(E279)-ROW($B$23)),COLUMN(E279)-2)</f>
        <v>0</v>
      </c>
      <c r="F279">
        <f ca="1">OFFSET(daily_original_wrong!$B$23, 2*(ROW(F279)-ROW($B$23)),COLUMN(F279)-2)+OFFSET(daily_original_wrong!$B$23, 1+2*(ROW(F279)-ROW($B$23)),COLUMN(F279)-2)</f>
        <v>0</v>
      </c>
      <c r="G279">
        <f ca="1">OFFSET(daily_original_wrong!$B$23, 2*(ROW(G279)-ROW($B$23)),COLUMN(G279)-2)+OFFSET(daily_original_wrong!$B$23, 1+2*(ROW(G279)-ROW($B$23)),COLUMN(G279)-2)</f>
        <v>0</v>
      </c>
      <c r="H279">
        <f ca="1">OFFSET(daily_original_wrong!$B$23, 2*(ROW(H279)-ROW($B$23)),COLUMN(H279)-2)+OFFSET(daily_original_wrong!$B$23, 1+2*(ROW(H279)-ROW($B$23)),COLUMN(H279)-2)</f>
        <v>0</v>
      </c>
      <c r="J279" t="str">
        <f t="shared" si="27"/>
        <v>[</v>
      </c>
      <c r="K279" t="str">
        <f t="shared" ca="1" si="28"/>
        <v>[0],</v>
      </c>
      <c r="L279" t="str">
        <f t="shared" ca="1" si="26"/>
        <v>[0],</v>
      </c>
      <c r="M279" t="str">
        <f t="shared" ca="1" si="26"/>
        <v>[0],</v>
      </c>
      <c r="N279" t="str">
        <f t="shared" ca="1" si="26"/>
        <v>[0],</v>
      </c>
      <c r="O279" t="str">
        <f t="shared" ca="1" si="26"/>
        <v>[0],</v>
      </c>
      <c r="P279" t="str">
        <f t="shared" ca="1" si="26"/>
        <v>[0],</v>
      </c>
      <c r="Q279" t="str">
        <f t="shared" ca="1" si="29"/>
        <v>[0]</v>
      </c>
      <c r="R279" t="str">
        <f t="shared" si="30"/>
        <v>]</v>
      </c>
      <c r="S279" t="str">
        <f t="shared" ca="1" si="31"/>
        <v>[[0],[0],[0],[0],[0],[0],[0]]</v>
      </c>
    </row>
    <row r="280" spans="1:19" x14ac:dyDescent="0.2">
      <c r="A280" s="1" t="d">
        <v>2026-05-21</v>
      </c>
      <c r="B280">
        <f ca="1">OFFSET(daily_original_wrong!$B$23, 2*(ROW(B280)-ROW($B$23)),COLUMN(B280)-2)+OFFSET(daily_original_wrong!$B$23, 1+2*(ROW(B280)-ROW($B$23)),COLUMN(B280)-2)</f>
        <v>0</v>
      </c>
      <c r="C280">
        <f ca="1">OFFSET(daily_original_wrong!$B$23, 2*(ROW(C280)-ROW($B$23)),COLUMN(C280)-2)+OFFSET(daily_original_wrong!$B$23, 1+2*(ROW(C280)-ROW($B$23)),COLUMN(C280)-2)</f>
        <v>0</v>
      </c>
      <c r="D280">
        <f ca="1">OFFSET(daily_original_wrong!$B$23, 2*(ROW(D280)-ROW($B$23)),COLUMN(D280)-2)+OFFSET(daily_original_wrong!$B$23, 1+2*(ROW(D280)-ROW($B$23)),COLUMN(D280)-2)</f>
        <v>0</v>
      </c>
      <c r="E280">
        <f ca="1">OFFSET(daily_original_wrong!$B$23, 2*(ROW(E280)-ROW($B$23)),COLUMN(E280)-2)+OFFSET(daily_original_wrong!$B$23, 1+2*(ROW(E280)-ROW($B$23)),COLUMN(E280)-2)</f>
        <v>0</v>
      </c>
      <c r="F280">
        <f ca="1">OFFSET(daily_original_wrong!$B$23, 2*(ROW(F280)-ROW($B$23)),COLUMN(F280)-2)+OFFSET(daily_original_wrong!$B$23, 1+2*(ROW(F280)-ROW($B$23)),COLUMN(F280)-2)</f>
        <v>0</v>
      </c>
      <c r="G280">
        <f ca="1">OFFSET(daily_original_wrong!$B$23, 2*(ROW(G280)-ROW($B$23)),COLUMN(G280)-2)+OFFSET(daily_original_wrong!$B$23, 1+2*(ROW(G280)-ROW($B$23)),COLUMN(G280)-2)</f>
        <v>0</v>
      </c>
      <c r="H280">
        <f ca="1">OFFSET(daily_original_wrong!$B$23, 2*(ROW(H280)-ROW($B$23)),COLUMN(H280)-2)+OFFSET(daily_original_wrong!$B$23, 1+2*(ROW(H280)-ROW($B$23)),COLUMN(H280)-2)</f>
        <v>0</v>
      </c>
      <c r="J280" t="str">
        <f t="shared" si="27"/>
        <v>[</v>
      </c>
      <c r="K280" t="str">
        <f t="shared" ca="1" si="28"/>
        <v>[0],</v>
      </c>
      <c r="L280" t="str">
        <f t="shared" ca="1" si="26"/>
        <v>[0],</v>
      </c>
      <c r="M280" t="str">
        <f t="shared" ca="1" si="26"/>
        <v>[0],</v>
      </c>
      <c r="N280" t="str">
        <f t="shared" ca="1" si="26"/>
        <v>[0],</v>
      </c>
      <c r="O280" t="str">
        <f t="shared" ca="1" si="26"/>
        <v>[0],</v>
      </c>
      <c r="P280" t="str">
        <f t="shared" ca="1" si="26"/>
        <v>[0],</v>
      </c>
      <c r="Q280" t="str">
        <f t="shared" ca="1" si="29"/>
        <v>[0]</v>
      </c>
      <c r="R280" t="str">
        <f t="shared" si="30"/>
        <v>]</v>
      </c>
      <c r="S280" t="str">
        <f t="shared" ca="1" si="31"/>
        <v>[[0],[0],[0],[0],[0],[0],[0]]</v>
      </c>
    </row>
    <row r="281" spans="1:19" x14ac:dyDescent="0.2">
      <c r="A281" s="1" t="d">
        <v>2026-05-22</v>
      </c>
      <c r="B281">
        <f ca="1">OFFSET(daily_original_wrong!$B$23, 2*(ROW(B281)-ROW($B$23)),COLUMN(B281)-2)+OFFSET(daily_original_wrong!$B$23, 1+2*(ROW(B281)-ROW($B$23)),COLUMN(B281)-2)</f>
        <v>0</v>
      </c>
      <c r="C281">
        <f ca="1">OFFSET(daily_original_wrong!$B$23, 2*(ROW(C281)-ROW($B$23)),COLUMN(C281)-2)+OFFSET(daily_original_wrong!$B$23, 1+2*(ROW(C281)-ROW($B$23)),COLUMN(C281)-2)</f>
        <v>0</v>
      </c>
      <c r="D281">
        <f ca="1">OFFSET(daily_original_wrong!$B$23, 2*(ROW(D281)-ROW($B$23)),COLUMN(D281)-2)+OFFSET(daily_original_wrong!$B$23, 1+2*(ROW(D281)-ROW($B$23)),COLUMN(D281)-2)</f>
        <v>0</v>
      </c>
      <c r="E281">
        <f ca="1">OFFSET(daily_original_wrong!$B$23, 2*(ROW(E281)-ROW($B$23)),COLUMN(E281)-2)+OFFSET(daily_original_wrong!$B$23, 1+2*(ROW(E281)-ROW($B$23)),COLUMN(E281)-2)</f>
        <v>0</v>
      </c>
      <c r="F281">
        <f ca="1">OFFSET(daily_original_wrong!$B$23, 2*(ROW(F281)-ROW($B$23)),COLUMN(F281)-2)+OFFSET(daily_original_wrong!$B$23, 1+2*(ROW(F281)-ROW($B$23)),COLUMN(F281)-2)</f>
        <v>0</v>
      </c>
      <c r="G281">
        <f ca="1">OFFSET(daily_original_wrong!$B$23, 2*(ROW(G281)-ROW($B$23)),COLUMN(G281)-2)+OFFSET(daily_original_wrong!$B$23, 1+2*(ROW(G281)-ROW($B$23)),COLUMN(G281)-2)</f>
        <v>0</v>
      </c>
      <c r="H281">
        <f ca="1">OFFSET(daily_original_wrong!$B$23, 2*(ROW(H281)-ROW($B$23)),COLUMN(H281)-2)+OFFSET(daily_original_wrong!$B$23, 1+2*(ROW(H281)-ROW($B$23)),COLUMN(H281)-2)</f>
        <v>0</v>
      </c>
      <c r="J281" t="str">
        <f t="shared" si="27"/>
        <v>[</v>
      </c>
      <c r="K281" t="str">
        <f t="shared" ca="1" si="28"/>
        <v>[0],</v>
      </c>
      <c r="L281" t="str">
        <f t="shared" ca="1" si="26"/>
        <v>[0],</v>
      </c>
      <c r="M281" t="str">
        <f t="shared" ca="1" si="26"/>
        <v>[0],</v>
      </c>
      <c r="N281" t="str">
        <f t="shared" ca="1" si="26"/>
        <v>[0],</v>
      </c>
      <c r="O281" t="str">
        <f t="shared" ca="1" si="26"/>
        <v>[0],</v>
      </c>
      <c r="P281" t="str">
        <f t="shared" ca="1" si="26"/>
        <v>[0],</v>
      </c>
      <c r="Q281" t="str">
        <f t="shared" ca="1" si="29"/>
        <v>[0]</v>
      </c>
      <c r="R281" t="str">
        <f t="shared" si="30"/>
        <v>]</v>
      </c>
      <c r="S281" t="str">
        <f t="shared" ca="1" si="31"/>
        <v>[[0],[0],[0],[0],[0],[0],[0]]</v>
      </c>
    </row>
    <row r="282" spans="1:19" x14ac:dyDescent="0.2">
      <c r="A282" s="1" t="d">
        <v>2026-05-23</v>
      </c>
      <c r="B282">
        <f ca="1">OFFSET(daily_original_wrong!$B$23, 2*(ROW(B282)-ROW($B$23)),COLUMN(B282)-2)+OFFSET(daily_original_wrong!$B$23, 1+2*(ROW(B282)-ROW($B$23)),COLUMN(B282)-2)</f>
        <v>0</v>
      </c>
      <c r="C282">
        <f ca="1">OFFSET(daily_original_wrong!$B$23, 2*(ROW(C282)-ROW($B$23)),COLUMN(C282)-2)+OFFSET(daily_original_wrong!$B$23, 1+2*(ROW(C282)-ROW($B$23)),COLUMN(C282)-2)</f>
        <v>0</v>
      </c>
      <c r="D282">
        <f ca="1">OFFSET(daily_original_wrong!$B$23, 2*(ROW(D282)-ROW($B$23)),COLUMN(D282)-2)+OFFSET(daily_original_wrong!$B$23, 1+2*(ROW(D282)-ROW($B$23)),COLUMN(D282)-2)</f>
        <v>0</v>
      </c>
      <c r="E282">
        <f ca="1">OFFSET(daily_original_wrong!$B$23, 2*(ROW(E282)-ROW($B$23)),COLUMN(E282)-2)+OFFSET(daily_original_wrong!$B$23, 1+2*(ROW(E282)-ROW($B$23)),COLUMN(E282)-2)</f>
        <v>0</v>
      </c>
      <c r="F282">
        <f ca="1">OFFSET(daily_original_wrong!$B$23, 2*(ROW(F282)-ROW($B$23)),COLUMN(F282)-2)+OFFSET(daily_original_wrong!$B$23, 1+2*(ROW(F282)-ROW($B$23)),COLUMN(F282)-2)</f>
        <v>0</v>
      </c>
      <c r="G282">
        <f ca="1">OFFSET(daily_original_wrong!$B$23, 2*(ROW(G282)-ROW($B$23)),COLUMN(G282)-2)+OFFSET(daily_original_wrong!$B$23, 1+2*(ROW(G282)-ROW($B$23)),COLUMN(G282)-2)</f>
        <v>0</v>
      </c>
      <c r="H282">
        <f ca="1">OFFSET(daily_original_wrong!$B$23, 2*(ROW(H282)-ROW($B$23)),COLUMN(H282)-2)+OFFSET(daily_original_wrong!$B$23, 1+2*(ROW(H282)-ROW($B$23)),COLUMN(H282)-2)</f>
        <v>0</v>
      </c>
      <c r="J282" t="str">
        <f t="shared" si="27"/>
        <v>[</v>
      </c>
      <c r="K282" t="str">
        <f t="shared" ca="1" si="28"/>
        <v>[0],</v>
      </c>
      <c r="L282" t="str">
        <f t="shared" ca="1" si="26"/>
        <v>[0],</v>
      </c>
      <c r="M282" t="str">
        <f t="shared" ca="1" si="26"/>
        <v>[0],</v>
      </c>
      <c r="N282" t="str">
        <f t="shared" ca="1" si="26"/>
        <v>[0],</v>
      </c>
      <c r="O282" t="str">
        <f t="shared" ca="1" si="26"/>
        <v>[0],</v>
      </c>
      <c r="P282" t="str">
        <f t="shared" ca="1" si="26"/>
        <v>[0],</v>
      </c>
      <c r="Q282" t="str">
        <f t="shared" ca="1" si="29"/>
        <v>[0]</v>
      </c>
      <c r="R282" t="str">
        <f t="shared" si="30"/>
        <v>]</v>
      </c>
      <c r="S282" t="str">
        <f t="shared" ca="1" si="31"/>
        <v>[[0],[0],[0],[0],[0],[0],[0]]</v>
      </c>
    </row>
    <row r="283" spans="1:19" x14ac:dyDescent="0.2">
      <c r="A283" s="1" t="d">
        <v>2026-05-24</v>
      </c>
      <c r="B283">
        <f ca="1">OFFSET(daily_original_wrong!$B$23, 2*(ROW(B283)-ROW($B$23)),COLUMN(B283)-2)+OFFSET(daily_original_wrong!$B$23, 1+2*(ROW(B283)-ROW($B$23)),COLUMN(B283)-2)</f>
        <v>0</v>
      </c>
      <c r="C283">
        <f ca="1">OFFSET(daily_original_wrong!$B$23, 2*(ROW(C283)-ROW($B$23)),COLUMN(C283)-2)+OFFSET(daily_original_wrong!$B$23, 1+2*(ROW(C283)-ROW($B$23)),COLUMN(C283)-2)</f>
        <v>0</v>
      </c>
      <c r="D283">
        <f ca="1">OFFSET(daily_original_wrong!$B$23, 2*(ROW(D283)-ROW($B$23)),COLUMN(D283)-2)+OFFSET(daily_original_wrong!$B$23, 1+2*(ROW(D283)-ROW($B$23)),COLUMN(D283)-2)</f>
        <v>0</v>
      </c>
      <c r="E283">
        <f ca="1">OFFSET(daily_original_wrong!$B$23, 2*(ROW(E283)-ROW($B$23)),COLUMN(E283)-2)+OFFSET(daily_original_wrong!$B$23, 1+2*(ROW(E283)-ROW($B$23)),COLUMN(E283)-2)</f>
        <v>0</v>
      </c>
      <c r="F283">
        <f ca="1">OFFSET(daily_original_wrong!$B$23, 2*(ROW(F283)-ROW($B$23)),COLUMN(F283)-2)+OFFSET(daily_original_wrong!$B$23, 1+2*(ROW(F283)-ROW($B$23)),COLUMN(F283)-2)</f>
        <v>0</v>
      </c>
      <c r="G283">
        <f ca="1">OFFSET(daily_original_wrong!$B$23, 2*(ROW(G283)-ROW($B$23)),COLUMN(G283)-2)+OFFSET(daily_original_wrong!$B$23, 1+2*(ROW(G283)-ROW($B$23)),COLUMN(G283)-2)</f>
        <v>0</v>
      </c>
      <c r="H283">
        <f ca="1">OFFSET(daily_original_wrong!$B$23, 2*(ROW(H283)-ROW($B$23)),COLUMN(H283)-2)+OFFSET(daily_original_wrong!$B$23, 1+2*(ROW(H283)-ROW($B$23)),COLUMN(H283)-2)</f>
        <v>0</v>
      </c>
      <c r="J283" t="str">
        <f t="shared" si="27"/>
        <v>[</v>
      </c>
      <c r="K283" t="str">
        <f t="shared" ca="1" si="28"/>
        <v>[0],</v>
      </c>
      <c r="L283" t="str">
        <f t="shared" ca="1" si="26"/>
        <v>[0],</v>
      </c>
      <c r="M283" t="str">
        <f t="shared" ca="1" si="26"/>
        <v>[0],</v>
      </c>
      <c r="N283" t="str">
        <f t="shared" ca="1" si="26"/>
        <v>[0],</v>
      </c>
      <c r="O283" t="str">
        <f t="shared" ca="1" si="26"/>
        <v>[0],</v>
      </c>
      <c r="P283" t="str">
        <f t="shared" ca="1" si="26"/>
        <v>[0],</v>
      </c>
      <c r="Q283" t="str">
        <f t="shared" ca="1" si="29"/>
        <v>[0]</v>
      </c>
      <c r="R283" t="str">
        <f t="shared" si="30"/>
        <v>]</v>
      </c>
      <c r="S283" t="str">
        <f t="shared" ca="1" si="31"/>
        <v>[[0],[0],[0],[0],[0],[0],[0]]</v>
      </c>
    </row>
    <row r="284" spans="1:19" x14ac:dyDescent="0.2">
      <c r="A284" s="1" t="d">
        <v>2026-05-25</v>
      </c>
      <c r="B284">
        <f ca="1">OFFSET(daily_original_wrong!$B$23, 2*(ROW(B284)-ROW($B$23)),COLUMN(B284)-2)+OFFSET(daily_original_wrong!$B$23, 1+2*(ROW(B284)-ROW($B$23)),COLUMN(B284)-2)</f>
        <v>0</v>
      </c>
      <c r="C284">
        <f ca="1">OFFSET(daily_original_wrong!$B$23, 2*(ROW(C284)-ROW($B$23)),COLUMN(C284)-2)+OFFSET(daily_original_wrong!$B$23, 1+2*(ROW(C284)-ROW($B$23)),COLUMN(C284)-2)</f>
        <v>0</v>
      </c>
      <c r="D284">
        <f ca="1">OFFSET(daily_original_wrong!$B$23, 2*(ROW(D284)-ROW($B$23)),COLUMN(D284)-2)+OFFSET(daily_original_wrong!$B$23, 1+2*(ROW(D284)-ROW($B$23)),COLUMN(D284)-2)</f>
        <v>0</v>
      </c>
      <c r="E284">
        <f ca="1">OFFSET(daily_original_wrong!$B$23, 2*(ROW(E284)-ROW($B$23)),COLUMN(E284)-2)+OFFSET(daily_original_wrong!$B$23, 1+2*(ROW(E284)-ROW($B$23)),COLUMN(E284)-2)</f>
        <v>0</v>
      </c>
      <c r="F284">
        <f ca="1">OFFSET(daily_original_wrong!$B$23, 2*(ROW(F284)-ROW($B$23)),COLUMN(F284)-2)+OFFSET(daily_original_wrong!$B$23, 1+2*(ROW(F284)-ROW($B$23)),COLUMN(F284)-2)</f>
        <v>0</v>
      </c>
      <c r="G284">
        <f ca="1">OFFSET(daily_original_wrong!$B$23, 2*(ROW(G284)-ROW($B$23)),COLUMN(G284)-2)+OFFSET(daily_original_wrong!$B$23, 1+2*(ROW(G284)-ROW($B$23)),COLUMN(G284)-2)</f>
        <v>0</v>
      </c>
      <c r="H284">
        <f ca="1">OFFSET(daily_original_wrong!$B$23, 2*(ROW(H284)-ROW($B$23)),COLUMN(H284)-2)+OFFSET(daily_original_wrong!$B$23, 1+2*(ROW(H284)-ROW($B$23)),COLUMN(H284)-2)</f>
        <v>0</v>
      </c>
      <c r="J284" t="str">
        <f t="shared" si="27"/>
        <v>[</v>
      </c>
      <c r="K284" t="str">
        <f t="shared" ca="1" si="28"/>
        <v>[0],</v>
      </c>
      <c r="L284" t="str">
        <f t="shared" ca="1" si="26"/>
        <v>[0],</v>
      </c>
      <c r="M284" t="str">
        <f t="shared" ca="1" si="26"/>
        <v>[0],</v>
      </c>
      <c r="N284" t="str">
        <f t="shared" ca="1" si="26"/>
        <v>[0],</v>
      </c>
      <c r="O284" t="str">
        <f t="shared" ca="1" si="26"/>
        <v>[0],</v>
      </c>
      <c r="P284" t="str">
        <f t="shared" ca="1" si="26"/>
        <v>[0],</v>
      </c>
      <c r="Q284" t="str">
        <f t="shared" ca="1" si="29"/>
        <v>[0]</v>
      </c>
      <c r="R284" t="str">
        <f t="shared" si="30"/>
        <v>]</v>
      </c>
      <c r="S284" t="str">
        <f t="shared" ca="1" si="31"/>
        <v>[[0],[0],[0],[0],[0],[0],[0]]</v>
      </c>
    </row>
    <row r="285" spans="1:19" x14ac:dyDescent="0.2">
      <c r="A285" s="1" t="d">
        <v>2026-05-26</v>
      </c>
      <c r="B285">
        <f ca="1">OFFSET(daily_original_wrong!$B$23, 2*(ROW(B285)-ROW($B$23)),COLUMN(B285)-2)+OFFSET(daily_original_wrong!$B$23, 1+2*(ROW(B285)-ROW($B$23)),COLUMN(B285)-2)</f>
        <v>0</v>
      </c>
      <c r="C285">
        <f ca="1">OFFSET(daily_original_wrong!$B$23, 2*(ROW(C285)-ROW($B$23)),COLUMN(C285)-2)+OFFSET(daily_original_wrong!$B$23, 1+2*(ROW(C285)-ROW($B$23)),COLUMN(C285)-2)</f>
        <v>0</v>
      </c>
      <c r="D285">
        <f ca="1">OFFSET(daily_original_wrong!$B$23, 2*(ROW(D285)-ROW($B$23)),COLUMN(D285)-2)+OFFSET(daily_original_wrong!$B$23, 1+2*(ROW(D285)-ROW($B$23)),COLUMN(D285)-2)</f>
        <v>0</v>
      </c>
      <c r="E285">
        <f ca="1">OFFSET(daily_original_wrong!$B$23, 2*(ROW(E285)-ROW($B$23)),COLUMN(E285)-2)+OFFSET(daily_original_wrong!$B$23, 1+2*(ROW(E285)-ROW($B$23)),COLUMN(E285)-2)</f>
        <v>0</v>
      </c>
      <c r="F285">
        <f ca="1">OFFSET(daily_original_wrong!$B$23, 2*(ROW(F285)-ROW($B$23)),COLUMN(F285)-2)+OFFSET(daily_original_wrong!$B$23, 1+2*(ROW(F285)-ROW($B$23)),COLUMN(F285)-2)</f>
        <v>0</v>
      </c>
      <c r="G285">
        <f ca="1">OFFSET(daily_original_wrong!$B$23, 2*(ROW(G285)-ROW($B$23)),COLUMN(G285)-2)+OFFSET(daily_original_wrong!$B$23, 1+2*(ROW(G285)-ROW($B$23)),COLUMN(G285)-2)</f>
        <v>0</v>
      </c>
      <c r="H285">
        <f ca="1">OFFSET(daily_original_wrong!$B$23, 2*(ROW(H285)-ROW($B$23)),COLUMN(H285)-2)+OFFSET(daily_original_wrong!$B$23, 1+2*(ROW(H285)-ROW($B$23)),COLUMN(H285)-2)</f>
        <v>0</v>
      </c>
      <c r="J285" t="str">
        <f t="shared" si="27"/>
        <v>[</v>
      </c>
      <c r="K285" t="str">
        <f t="shared" ca="1" si="28"/>
        <v>[0],</v>
      </c>
      <c r="L285" t="str">
        <f t="shared" ca="1" si="26"/>
        <v>[0],</v>
      </c>
      <c r="M285" t="str">
        <f t="shared" ca="1" si="26"/>
        <v>[0],</v>
      </c>
      <c r="N285" t="str">
        <f t="shared" ca="1" si="26"/>
        <v>[0],</v>
      </c>
      <c r="O285" t="str">
        <f t="shared" ca="1" si="26"/>
        <v>[0],</v>
      </c>
      <c r="P285" t="str">
        <f t="shared" ca="1" si="26"/>
        <v>[0],</v>
      </c>
      <c r="Q285" t="str">
        <f t="shared" ca="1" si="29"/>
        <v>[0]</v>
      </c>
      <c r="R285" t="str">
        <f t="shared" si="30"/>
        <v>]</v>
      </c>
      <c r="S285" t="str">
        <f t="shared" ca="1" si="31"/>
        <v>[[0],[0],[0],[0],[0],[0],[0]]</v>
      </c>
    </row>
    <row r="286" spans="1:19" x14ac:dyDescent="0.2">
      <c r="A286" s="1" t="d">
        <v>2026-05-27</v>
      </c>
      <c r="B286">
        <f ca="1">OFFSET(daily_original_wrong!$B$23, 2*(ROW(B286)-ROW($B$23)),COLUMN(B286)-2)+OFFSET(daily_original_wrong!$B$23, 1+2*(ROW(B286)-ROW($B$23)),COLUMN(B286)-2)</f>
        <v>0</v>
      </c>
      <c r="C286">
        <f ca="1">OFFSET(daily_original_wrong!$B$23, 2*(ROW(C286)-ROW($B$23)),COLUMN(C286)-2)+OFFSET(daily_original_wrong!$B$23, 1+2*(ROW(C286)-ROW($B$23)),COLUMN(C286)-2)</f>
        <v>0</v>
      </c>
      <c r="D286">
        <f ca="1">OFFSET(daily_original_wrong!$B$23, 2*(ROW(D286)-ROW($B$23)),COLUMN(D286)-2)+OFFSET(daily_original_wrong!$B$23, 1+2*(ROW(D286)-ROW($B$23)),COLUMN(D286)-2)</f>
        <v>0</v>
      </c>
      <c r="E286">
        <f ca="1">OFFSET(daily_original_wrong!$B$23, 2*(ROW(E286)-ROW($B$23)),COLUMN(E286)-2)+OFFSET(daily_original_wrong!$B$23, 1+2*(ROW(E286)-ROW($B$23)),COLUMN(E286)-2)</f>
        <v>0</v>
      </c>
      <c r="F286">
        <f ca="1">OFFSET(daily_original_wrong!$B$23, 2*(ROW(F286)-ROW($B$23)),COLUMN(F286)-2)+OFFSET(daily_original_wrong!$B$23, 1+2*(ROW(F286)-ROW($B$23)),COLUMN(F286)-2)</f>
        <v>0</v>
      </c>
      <c r="G286">
        <f ca="1">OFFSET(daily_original_wrong!$B$23, 2*(ROW(G286)-ROW($B$23)),COLUMN(G286)-2)+OFFSET(daily_original_wrong!$B$23, 1+2*(ROW(G286)-ROW($B$23)),COLUMN(G286)-2)</f>
        <v>0</v>
      </c>
      <c r="H286">
        <f ca="1">OFFSET(daily_original_wrong!$B$23, 2*(ROW(H286)-ROW($B$23)),COLUMN(H286)-2)+OFFSET(daily_original_wrong!$B$23, 1+2*(ROW(H286)-ROW($B$23)),COLUMN(H286)-2)</f>
        <v>0</v>
      </c>
      <c r="J286" t="str">
        <f t="shared" si="27"/>
        <v>[</v>
      </c>
      <c r="K286" t="str">
        <f t="shared" ca="1" si="28"/>
        <v>[0],</v>
      </c>
      <c r="L286" t="str">
        <f t="shared" ca="1" si="26"/>
        <v>[0],</v>
      </c>
      <c r="M286" t="str">
        <f t="shared" ca="1" si="26"/>
        <v>[0],</v>
      </c>
      <c r="N286" t="str">
        <f t="shared" ca="1" si="26"/>
        <v>[0],</v>
      </c>
      <c r="O286" t="str">
        <f t="shared" ca="1" si="26"/>
        <v>[0],</v>
      </c>
      <c r="P286" t="str">
        <f t="shared" ca="1" si="26"/>
        <v>[0],</v>
      </c>
      <c r="Q286" t="str">
        <f t="shared" ca="1" si="29"/>
        <v>[0]</v>
      </c>
      <c r="R286" t="str">
        <f t="shared" si="30"/>
        <v>]</v>
      </c>
      <c r="S286" t="str">
        <f t="shared" ca="1" si="31"/>
        <v>[[0],[0],[0],[0],[0],[0],[0]]</v>
      </c>
    </row>
    <row r="287" spans="1:19" x14ac:dyDescent="0.2">
      <c r="A287" s="1" t="d">
        <v>2026-05-28</v>
      </c>
      <c r="B287">
        <f ca="1">OFFSET(daily_original_wrong!$B$23, 2*(ROW(B287)-ROW($B$23)),COLUMN(B287)-2)+OFFSET(daily_original_wrong!$B$23, 1+2*(ROW(B287)-ROW($B$23)),COLUMN(B287)-2)</f>
        <v>0</v>
      </c>
      <c r="C287">
        <f ca="1">OFFSET(daily_original_wrong!$B$23, 2*(ROW(C287)-ROW($B$23)),COLUMN(C287)-2)+OFFSET(daily_original_wrong!$B$23, 1+2*(ROW(C287)-ROW($B$23)),COLUMN(C287)-2)</f>
        <v>0</v>
      </c>
      <c r="D287">
        <f ca="1">OFFSET(daily_original_wrong!$B$23, 2*(ROW(D287)-ROW($B$23)),COLUMN(D287)-2)+OFFSET(daily_original_wrong!$B$23, 1+2*(ROW(D287)-ROW($B$23)),COLUMN(D287)-2)</f>
        <v>0</v>
      </c>
      <c r="E287">
        <f ca="1">OFFSET(daily_original_wrong!$B$23, 2*(ROW(E287)-ROW($B$23)),COLUMN(E287)-2)+OFFSET(daily_original_wrong!$B$23, 1+2*(ROW(E287)-ROW($B$23)),COLUMN(E287)-2)</f>
        <v>0</v>
      </c>
      <c r="F287">
        <f ca="1">OFFSET(daily_original_wrong!$B$23, 2*(ROW(F287)-ROW($B$23)),COLUMN(F287)-2)+OFFSET(daily_original_wrong!$B$23, 1+2*(ROW(F287)-ROW($B$23)),COLUMN(F287)-2)</f>
        <v>0</v>
      </c>
      <c r="G287">
        <f ca="1">OFFSET(daily_original_wrong!$B$23, 2*(ROW(G287)-ROW($B$23)),COLUMN(G287)-2)+OFFSET(daily_original_wrong!$B$23, 1+2*(ROW(G287)-ROW($B$23)),COLUMN(G287)-2)</f>
        <v>0</v>
      </c>
      <c r="H287">
        <f ca="1">OFFSET(daily_original_wrong!$B$23, 2*(ROW(H287)-ROW($B$23)),COLUMN(H287)-2)+OFFSET(daily_original_wrong!$B$23, 1+2*(ROW(H287)-ROW($B$23)),COLUMN(H287)-2)</f>
        <v>0</v>
      </c>
      <c r="J287" t="str">
        <f t="shared" si="27"/>
        <v>[</v>
      </c>
      <c r="K287" t="str">
        <f t="shared" ca="1" si="28"/>
        <v>[0],</v>
      </c>
      <c r="L287" t="str">
        <f t="shared" ca="1" si="26"/>
        <v>[0],</v>
      </c>
      <c r="M287" t="str">
        <f t="shared" ca="1" si="26"/>
        <v>[0],</v>
      </c>
      <c r="N287" t="str">
        <f t="shared" ca="1" si="26"/>
        <v>[0],</v>
      </c>
      <c r="O287" t="str">
        <f t="shared" ca="1" si="26"/>
        <v>[0],</v>
      </c>
      <c r="P287" t="str">
        <f t="shared" ca="1" si="26"/>
        <v>[0],</v>
      </c>
      <c r="Q287" t="str">
        <f t="shared" ca="1" si="29"/>
        <v>[0]</v>
      </c>
      <c r="R287" t="str">
        <f t="shared" si="30"/>
        <v>]</v>
      </c>
      <c r="S287" t="str">
        <f t="shared" ca="1" si="31"/>
        <v>[[0],[0],[0],[0],[0],[0],[0]]</v>
      </c>
    </row>
    <row r="288" spans="1:19" x14ac:dyDescent="0.2">
      <c r="A288" s="1" t="d">
        <v>2026-05-29</v>
      </c>
      <c r="B288">
        <f ca="1">OFFSET(daily_original_wrong!$B$23, 2*(ROW(B288)-ROW($B$23)),COLUMN(B288)-2)+OFFSET(daily_original_wrong!$B$23, 1+2*(ROW(B288)-ROW($B$23)),COLUMN(B288)-2)</f>
        <v>0</v>
      </c>
      <c r="C288">
        <f ca="1">OFFSET(daily_original_wrong!$B$23, 2*(ROW(C288)-ROW($B$23)),COLUMN(C288)-2)+OFFSET(daily_original_wrong!$B$23, 1+2*(ROW(C288)-ROW($B$23)),COLUMN(C288)-2)</f>
        <v>0</v>
      </c>
      <c r="D288">
        <f ca="1">OFFSET(daily_original_wrong!$B$23, 2*(ROW(D288)-ROW($B$23)),COLUMN(D288)-2)+OFFSET(daily_original_wrong!$B$23, 1+2*(ROW(D288)-ROW($B$23)),COLUMN(D288)-2)</f>
        <v>0</v>
      </c>
      <c r="E288">
        <f ca="1">OFFSET(daily_original_wrong!$B$23, 2*(ROW(E288)-ROW($B$23)),COLUMN(E288)-2)+OFFSET(daily_original_wrong!$B$23, 1+2*(ROW(E288)-ROW($B$23)),COLUMN(E288)-2)</f>
        <v>0</v>
      </c>
      <c r="F288">
        <f ca="1">OFFSET(daily_original_wrong!$B$23, 2*(ROW(F288)-ROW($B$23)),COLUMN(F288)-2)+OFFSET(daily_original_wrong!$B$23, 1+2*(ROW(F288)-ROW($B$23)),COLUMN(F288)-2)</f>
        <v>0</v>
      </c>
      <c r="G288">
        <f ca="1">OFFSET(daily_original_wrong!$B$23, 2*(ROW(G288)-ROW($B$23)),COLUMN(G288)-2)+OFFSET(daily_original_wrong!$B$23, 1+2*(ROW(G288)-ROW($B$23)),COLUMN(G288)-2)</f>
        <v>0</v>
      </c>
      <c r="H288">
        <f ca="1">OFFSET(daily_original_wrong!$B$23, 2*(ROW(H288)-ROW($B$23)),COLUMN(H288)-2)+OFFSET(daily_original_wrong!$B$23, 1+2*(ROW(H288)-ROW($B$23)),COLUMN(H288)-2)</f>
        <v>0</v>
      </c>
      <c r="J288" t="str">
        <f t="shared" si="27"/>
        <v>[</v>
      </c>
      <c r="K288" t="str">
        <f t="shared" ca="1" si="28"/>
        <v>[0],</v>
      </c>
      <c r="L288" t="str">
        <f t="shared" ca="1" si="26"/>
        <v>[0],</v>
      </c>
      <c r="M288" t="str">
        <f t="shared" ca="1" si="26"/>
        <v>[0],</v>
      </c>
      <c r="N288" t="str">
        <f t="shared" ca="1" si="26"/>
        <v>[0],</v>
      </c>
      <c r="O288" t="str">
        <f t="shared" ca="1" si="26"/>
        <v>[0],</v>
      </c>
      <c r="P288" t="str">
        <f t="shared" ca="1" si="26"/>
        <v>[0],</v>
      </c>
      <c r="Q288" t="str">
        <f t="shared" ca="1" si="29"/>
        <v>[0]</v>
      </c>
      <c r="R288" t="str">
        <f t="shared" si="30"/>
        <v>]</v>
      </c>
      <c r="S288" t="str">
        <f t="shared" ca="1" si="31"/>
        <v>[[0],[0],[0],[0],[0],[0],[0]]</v>
      </c>
    </row>
    <row r="289" spans="1:19" x14ac:dyDescent="0.2">
      <c r="A289" s="1" t="d">
        <v>2026-05-30</v>
      </c>
      <c r="B289">
        <f ca="1">OFFSET(daily_original_wrong!$B$23, 2*(ROW(B289)-ROW($B$23)),COLUMN(B289)-2)+OFFSET(daily_original_wrong!$B$23, 1+2*(ROW(B289)-ROW($B$23)),COLUMN(B289)-2)</f>
        <v>0</v>
      </c>
      <c r="C289">
        <f ca="1">OFFSET(daily_original_wrong!$B$23, 2*(ROW(C289)-ROW($B$23)),COLUMN(C289)-2)+OFFSET(daily_original_wrong!$B$23, 1+2*(ROW(C289)-ROW($B$23)),COLUMN(C289)-2)</f>
        <v>0</v>
      </c>
      <c r="D289">
        <f ca="1">OFFSET(daily_original_wrong!$B$23, 2*(ROW(D289)-ROW($B$23)),COLUMN(D289)-2)+OFFSET(daily_original_wrong!$B$23, 1+2*(ROW(D289)-ROW($B$23)),COLUMN(D289)-2)</f>
        <v>0</v>
      </c>
      <c r="E289">
        <f ca="1">OFFSET(daily_original_wrong!$B$23, 2*(ROW(E289)-ROW($B$23)),COLUMN(E289)-2)+OFFSET(daily_original_wrong!$B$23, 1+2*(ROW(E289)-ROW($B$23)),COLUMN(E289)-2)</f>
        <v>0</v>
      </c>
      <c r="F289">
        <f ca="1">OFFSET(daily_original_wrong!$B$23, 2*(ROW(F289)-ROW($B$23)),COLUMN(F289)-2)+OFFSET(daily_original_wrong!$B$23, 1+2*(ROW(F289)-ROW($B$23)),COLUMN(F289)-2)</f>
        <v>0</v>
      </c>
      <c r="G289">
        <f ca="1">OFFSET(daily_original_wrong!$B$23, 2*(ROW(G289)-ROW($B$23)),COLUMN(G289)-2)+OFFSET(daily_original_wrong!$B$23, 1+2*(ROW(G289)-ROW($B$23)),COLUMN(G289)-2)</f>
        <v>0</v>
      </c>
      <c r="H289">
        <f ca="1">OFFSET(daily_original_wrong!$B$23, 2*(ROW(H289)-ROW($B$23)),COLUMN(H289)-2)+OFFSET(daily_original_wrong!$B$23, 1+2*(ROW(H289)-ROW($B$23)),COLUMN(H289)-2)</f>
        <v>0</v>
      </c>
      <c r="J289" t="str">
        <f t="shared" si="27"/>
        <v>[</v>
      </c>
      <c r="K289" t="str">
        <f t="shared" ca="1" si="28"/>
        <v>[0],</v>
      </c>
      <c r="L289" t="str">
        <f t="shared" ca="1" si="26"/>
        <v>[0],</v>
      </c>
      <c r="M289" t="str">
        <f t="shared" ca="1" si="26"/>
        <v>[0],</v>
      </c>
      <c r="N289" t="str">
        <f t="shared" ca="1" si="26"/>
        <v>[0],</v>
      </c>
      <c r="O289" t="str">
        <f t="shared" ca="1" si="26"/>
        <v>[0],</v>
      </c>
      <c r="P289" t="str">
        <f t="shared" ca="1" si="26"/>
        <v>[0],</v>
      </c>
      <c r="Q289" t="str">
        <f t="shared" ca="1" si="29"/>
        <v>[0]</v>
      </c>
      <c r="R289" t="str">
        <f t="shared" si="30"/>
        <v>]</v>
      </c>
      <c r="S289" t="str">
        <f t="shared" ca="1" si="31"/>
        <v>[[0],[0],[0],[0],[0],[0],[0]]</v>
      </c>
    </row>
    <row r="290" spans="1:19" x14ac:dyDescent="0.2">
      <c r="A290" s="1" t="d">
        <v>2026-05-31</v>
      </c>
      <c r="B290">
        <f ca="1">OFFSET(daily_original_wrong!$B$23, 2*(ROW(B290)-ROW($B$23)),COLUMN(B290)-2)+OFFSET(daily_original_wrong!$B$23, 1+2*(ROW(B290)-ROW($B$23)),COLUMN(B290)-2)</f>
        <v>0</v>
      </c>
      <c r="C290">
        <f ca="1">OFFSET(daily_original_wrong!$B$23, 2*(ROW(C290)-ROW($B$23)),COLUMN(C290)-2)+OFFSET(daily_original_wrong!$B$23, 1+2*(ROW(C290)-ROW($B$23)),COLUMN(C290)-2)</f>
        <v>0</v>
      </c>
      <c r="D290">
        <f ca="1">OFFSET(daily_original_wrong!$B$23, 2*(ROW(D290)-ROW($B$23)),COLUMN(D290)-2)+OFFSET(daily_original_wrong!$B$23, 1+2*(ROW(D290)-ROW($B$23)),COLUMN(D290)-2)</f>
        <v>0</v>
      </c>
      <c r="E290">
        <f ca="1">OFFSET(daily_original_wrong!$B$23, 2*(ROW(E290)-ROW($B$23)),COLUMN(E290)-2)+OFFSET(daily_original_wrong!$B$23, 1+2*(ROW(E290)-ROW($B$23)),COLUMN(E290)-2)</f>
        <v>0</v>
      </c>
      <c r="F290">
        <f ca="1">OFFSET(daily_original_wrong!$B$23, 2*(ROW(F290)-ROW($B$23)),COLUMN(F290)-2)+OFFSET(daily_original_wrong!$B$23, 1+2*(ROW(F290)-ROW($B$23)),COLUMN(F290)-2)</f>
        <v>0</v>
      </c>
      <c r="G290">
        <f ca="1">OFFSET(daily_original_wrong!$B$23, 2*(ROW(G290)-ROW($B$23)),COLUMN(G290)-2)+OFFSET(daily_original_wrong!$B$23, 1+2*(ROW(G290)-ROW($B$23)),COLUMN(G290)-2)</f>
        <v>0</v>
      </c>
      <c r="H290">
        <f ca="1">OFFSET(daily_original_wrong!$B$23, 2*(ROW(H290)-ROW($B$23)),COLUMN(H290)-2)+OFFSET(daily_original_wrong!$B$23, 1+2*(ROW(H290)-ROW($B$23)),COLUMN(H290)-2)</f>
        <v>0</v>
      </c>
      <c r="J290" t="str">
        <f t="shared" si="27"/>
        <v>[</v>
      </c>
      <c r="K290" t="str">
        <f t="shared" ca="1" si="28"/>
        <v>[0],</v>
      </c>
      <c r="L290" t="str">
        <f t="shared" ca="1" si="26"/>
        <v>[0],</v>
      </c>
      <c r="M290" t="str">
        <f t="shared" ca="1" si="26"/>
        <v>[0],</v>
      </c>
      <c r="N290" t="str">
        <f t="shared" ca="1" si="26"/>
        <v>[0],</v>
      </c>
      <c r="O290" t="str">
        <f t="shared" ca="1" si="26"/>
        <v>[0],</v>
      </c>
      <c r="P290" t="str">
        <f t="shared" ca="1" si="26"/>
        <v>[0],</v>
      </c>
      <c r="Q290" t="str">
        <f t="shared" ca="1" si="29"/>
        <v>[0]</v>
      </c>
      <c r="R290" t="str">
        <f t="shared" si="30"/>
        <v>]</v>
      </c>
      <c r="S290" t="str">
        <f t="shared" ca="1" si="31"/>
        <v>[[0],[0],[0],[0],[0],[0],[0]]</v>
      </c>
    </row>
    <row r="291" spans="1:19" x14ac:dyDescent="0.2">
      <c r="A291" s="1" t="d">
        <v>2026-06-01</v>
      </c>
      <c r="B291">
        <f ca="1">OFFSET(daily_original_wrong!$B$23, 2*(ROW(B291)-ROW($B$23)),COLUMN(B291)-2)+OFFSET(daily_original_wrong!$B$23, 1+2*(ROW(B291)-ROW($B$23)),COLUMN(B291)-2)</f>
        <v>0</v>
      </c>
      <c r="C291">
        <f ca="1">OFFSET(daily_original_wrong!$B$23, 2*(ROW(C291)-ROW($B$23)),COLUMN(C291)-2)+OFFSET(daily_original_wrong!$B$23, 1+2*(ROW(C291)-ROW($B$23)),COLUMN(C291)-2)</f>
        <v>0</v>
      </c>
      <c r="D291">
        <f ca="1">OFFSET(daily_original_wrong!$B$23, 2*(ROW(D291)-ROW($B$23)),COLUMN(D291)-2)+OFFSET(daily_original_wrong!$B$23, 1+2*(ROW(D291)-ROW($B$23)),COLUMN(D291)-2)</f>
        <v>0</v>
      </c>
      <c r="E291">
        <f ca="1">OFFSET(daily_original_wrong!$B$23, 2*(ROW(E291)-ROW($B$23)),COLUMN(E291)-2)+OFFSET(daily_original_wrong!$B$23, 1+2*(ROW(E291)-ROW($B$23)),COLUMN(E291)-2)</f>
        <v>0</v>
      </c>
      <c r="F291">
        <f ca="1">OFFSET(daily_original_wrong!$B$23, 2*(ROW(F291)-ROW($B$23)),COLUMN(F291)-2)+OFFSET(daily_original_wrong!$B$23, 1+2*(ROW(F291)-ROW($B$23)),COLUMN(F291)-2)</f>
        <v>0</v>
      </c>
      <c r="G291">
        <f ca="1">OFFSET(daily_original_wrong!$B$23, 2*(ROW(G291)-ROW($B$23)),COLUMN(G291)-2)+OFFSET(daily_original_wrong!$B$23, 1+2*(ROW(G291)-ROW($B$23)),COLUMN(G291)-2)</f>
        <v>0</v>
      </c>
      <c r="H291">
        <f ca="1">OFFSET(daily_original_wrong!$B$23, 2*(ROW(H291)-ROW($B$23)),COLUMN(H291)-2)+OFFSET(daily_original_wrong!$B$23, 1+2*(ROW(H291)-ROW($B$23)),COLUMN(H291)-2)</f>
        <v>0</v>
      </c>
      <c r="J291" t="str">
        <f t="shared" si="27"/>
        <v>[</v>
      </c>
      <c r="K291" t="str">
        <f t="shared" ca="1" si="28"/>
        <v>[0],</v>
      </c>
      <c r="L291" t="str">
        <f t="shared" ca="1" si="26"/>
        <v>[0],</v>
      </c>
      <c r="M291" t="str">
        <f t="shared" ca="1" si="26"/>
        <v>[0],</v>
      </c>
      <c r="N291" t="str">
        <f t="shared" ca="1" si="26"/>
        <v>[0],</v>
      </c>
      <c r="O291" t="str">
        <f t="shared" ca="1" si="26"/>
        <v>[0],</v>
      </c>
      <c r="P291" t="str">
        <f t="shared" ca="1" si="26"/>
        <v>[0],</v>
      </c>
      <c r="Q291" t="str">
        <f t="shared" ca="1" si="29"/>
        <v>[0]</v>
      </c>
      <c r="R291" t="str">
        <f t="shared" si="30"/>
        <v>]</v>
      </c>
      <c r="S291" t="str">
        <f t="shared" ca="1" si="31"/>
        <v>[[0],[0],[0],[0],[0],[0],[0]]</v>
      </c>
    </row>
    <row r="292" spans="1:19" x14ac:dyDescent="0.2">
      <c r="A292" s="1" t="d">
        <v>2026-06-02</v>
      </c>
      <c r="B292">
        <f ca="1">OFFSET(daily_original_wrong!$B$23, 2*(ROW(B292)-ROW($B$23)),COLUMN(B292)-2)+OFFSET(daily_original_wrong!$B$23, 1+2*(ROW(B292)-ROW($B$23)),COLUMN(B292)-2)</f>
        <v>0</v>
      </c>
      <c r="C292">
        <f ca="1">OFFSET(daily_original_wrong!$B$23, 2*(ROW(C292)-ROW($B$23)),COLUMN(C292)-2)+OFFSET(daily_original_wrong!$B$23, 1+2*(ROW(C292)-ROW($B$23)),COLUMN(C292)-2)</f>
        <v>0</v>
      </c>
      <c r="D292">
        <f ca="1">OFFSET(daily_original_wrong!$B$23, 2*(ROW(D292)-ROW($B$23)),COLUMN(D292)-2)+OFFSET(daily_original_wrong!$B$23, 1+2*(ROW(D292)-ROW($B$23)),COLUMN(D292)-2)</f>
        <v>0</v>
      </c>
      <c r="E292">
        <f ca="1">OFFSET(daily_original_wrong!$B$23, 2*(ROW(E292)-ROW($B$23)),COLUMN(E292)-2)+OFFSET(daily_original_wrong!$B$23, 1+2*(ROW(E292)-ROW($B$23)),COLUMN(E292)-2)</f>
        <v>0</v>
      </c>
      <c r="F292">
        <f ca="1">OFFSET(daily_original_wrong!$B$23, 2*(ROW(F292)-ROW($B$23)),COLUMN(F292)-2)+OFFSET(daily_original_wrong!$B$23, 1+2*(ROW(F292)-ROW($B$23)),COLUMN(F292)-2)</f>
        <v>0</v>
      </c>
      <c r="G292">
        <f ca="1">OFFSET(daily_original_wrong!$B$23, 2*(ROW(G292)-ROW($B$23)),COLUMN(G292)-2)+OFFSET(daily_original_wrong!$B$23, 1+2*(ROW(G292)-ROW($B$23)),COLUMN(G292)-2)</f>
        <v>0</v>
      </c>
      <c r="H292">
        <f ca="1">OFFSET(daily_original_wrong!$B$23, 2*(ROW(H292)-ROW($B$23)),COLUMN(H292)-2)+OFFSET(daily_original_wrong!$B$23, 1+2*(ROW(H292)-ROW($B$23)),COLUMN(H292)-2)</f>
        <v>0</v>
      </c>
      <c r="J292" t="str">
        <f t="shared" si="27"/>
        <v>[</v>
      </c>
      <c r="K292" t="str">
        <f t="shared" ca="1" si="28"/>
        <v>[0],</v>
      </c>
      <c r="L292" t="str">
        <f t="shared" ca="1" si="26"/>
        <v>[0],</v>
      </c>
      <c r="M292" t="str">
        <f t="shared" ca="1" si="26"/>
        <v>[0],</v>
      </c>
      <c r="N292" t="str">
        <f t="shared" ca="1" si="26"/>
        <v>[0],</v>
      </c>
      <c r="O292" t="str">
        <f t="shared" ca="1" si="26"/>
        <v>[0],</v>
      </c>
      <c r="P292" t="str">
        <f t="shared" ca="1" si="26"/>
        <v>[0],</v>
      </c>
      <c r="Q292" t="str">
        <f t="shared" ca="1" si="29"/>
        <v>[0]</v>
      </c>
      <c r="R292" t="str">
        <f t="shared" si="30"/>
        <v>]</v>
      </c>
      <c r="S292" t="str">
        <f t="shared" ca="1" si="31"/>
        <v>[[0],[0],[0],[0],[0],[0],[0]]</v>
      </c>
    </row>
    <row r="293" spans="1:19" x14ac:dyDescent="0.2">
      <c r="A293" s="1" t="d">
        <v>2026-06-03</v>
      </c>
      <c r="B293">
        <f ca="1">OFFSET(daily_original_wrong!$B$23, 2*(ROW(B293)-ROW($B$23)),COLUMN(B293)-2)+OFFSET(daily_original_wrong!$B$23, 1+2*(ROW(B293)-ROW($B$23)),COLUMN(B293)-2)</f>
        <v>0</v>
      </c>
      <c r="C293">
        <f ca="1">OFFSET(daily_original_wrong!$B$23, 2*(ROW(C293)-ROW($B$23)),COLUMN(C293)-2)+OFFSET(daily_original_wrong!$B$23, 1+2*(ROW(C293)-ROW($B$23)),COLUMN(C293)-2)</f>
        <v>0</v>
      </c>
      <c r="D293">
        <f ca="1">OFFSET(daily_original_wrong!$B$23, 2*(ROW(D293)-ROW($B$23)),COLUMN(D293)-2)+OFFSET(daily_original_wrong!$B$23, 1+2*(ROW(D293)-ROW($B$23)),COLUMN(D293)-2)</f>
        <v>0</v>
      </c>
      <c r="E293">
        <f ca="1">OFFSET(daily_original_wrong!$B$23, 2*(ROW(E293)-ROW($B$23)),COLUMN(E293)-2)+OFFSET(daily_original_wrong!$B$23, 1+2*(ROW(E293)-ROW($B$23)),COLUMN(E293)-2)</f>
        <v>0</v>
      </c>
      <c r="F293">
        <f ca="1">OFFSET(daily_original_wrong!$B$23, 2*(ROW(F293)-ROW($B$23)),COLUMN(F293)-2)+OFFSET(daily_original_wrong!$B$23, 1+2*(ROW(F293)-ROW($B$23)),COLUMN(F293)-2)</f>
        <v>0</v>
      </c>
      <c r="G293">
        <f ca="1">OFFSET(daily_original_wrong!$B$23, 2*(ROW(G293)-ROW($B$23)),COLUMN(G293)-2)+OFFSET(daily_original_wrong!$B$23, 1+2*(ROW(G293)-ROW($B$23)),COLUMN(G293)-2)</f>
        <v>0</v>
      </c>
      <c r="H293">
        <f ca="1">OFFSET(daily_original_wrong!$B$23, 2*(ROW(H293)-ROW($B$23)),COLUMN(H293)-2)+OFFSET(daily_original_wrong!$B$23, 1+2*(ROW(H293)-ROW($B$23)),COLUMN(H293)-2)</f>
        <v>0</v>
      </c>
      <c r="J293" t="str">
        <f t="shared" si="27"/>
        <v>[</v>
      </c>
      <c r="K293" t="str">
        <f t="shared" ca="1" si="28"/>
        <v>[0],</v>
      </c>
      <c r="L293" t="str">
        <f t="shared" ca="1" si="26"/>
        <v>[0],</v>
      </c>
      <c r="M293" t="str">
        <f t="shared" ca="1" si="26"/>
        <v>[0],</v>
      </c>
      <c r="N293" t="str">
        <f t="shared" ca="1" si="26"/>
        <v>[0],</v>
      </c>
      <c r="O293" t="str">
        <f t="shared" ca="1" si="26"/>
        <v>[0],</v>
      </c>
      <c r="P293" t="str">
        <f t="shared" ca="1" si="26"/>
        <v>[0],</v>
      </c>
      <c r="Q293" t="str">
        <f t="shared" ca="1" si="29"/>
        <v>[0]</v>
      </c>
      <c r="R293" t="str">
        <f t="shared" si="30"/>
        <v>]</v>
      </c>
      <c r="S293" t="str">
        <f t="shared" ca="1" si="31"/>
        <v>[[0],[0],[0],[0],[0],[0],[0]]</v>
      </c>
    </row>
    <row r="294" spans="1:19" x14ac:dyDescent="0.2">
      <c r="A294" s="1" t="d">
        <v>2026-06-04</v>
      </c>
      <c r="B294">
        <f ca="1">OFFSET(daily_original_wrong!$B$23, 2*(ROW(B294)-ROW($B$23)),COLUMN(B294)-2)+OFFSET(daily_original_wrong!$B$23, 1+2*(ROW(B294)-ROW($B$23)),COLUMN(B294)-2)</f>
        <v>0</v>
      </c>
      <c r="C294">
        <f ca="1">OFFSET(daily_original_wrong!$B$23, 2*(ROW(C294)-ROW($B$23)),COLUMN(C294)-2)+OFFSET(daily_original_wrong!$B$23, 1+2*(ROW(C294)-ROW($B$23)),COLUMN(C294)-2)</f>
        <v>0</v>
      </c>
      <c r="D294">
        <f ca="1">OFFSET(daily_original_wrong!$B$23, 2*(ROW(D294)-ROW($B$23)),COLUMN(D294)-2)+OFFSET(daily_original_wrong!$B$23, 1+2*(ROW(D294)-ROW($B$23)),COLUMN(D294)-2)</f>
        <v>0</v>
      </c>
      <c r="E294">
        <f ca="1">OFFSET(daily_original_wrong!$B$23, 2*(ROW(E294)-ROW($B$23)),COLUMN(E294)-2)+OFFSET(daily_original_wrong!$B$23, 1+2*(ROW(E294)-ROW($B$23)),COLUMN(E294)-2)</f>
        <v>0</v>
      </c>
      <c r="F294">
        <f ca="1">OFFSET(daily_original_wrong!$B$23, 2*(ROW(F294)-ROW($B$23)),COLUMN(F294)-2)+OFFSET(daily_original_wrong!$B$23, 1+2*(ROW(F294)-ROW($B$23)),COLUMN(F294)-2)</f>
        <v>0</v>
      </c>
      <c r="G294">
        <f ca="1">OFFSET(daily_original_wrong!$B$23, 2*(ROW(G294)-ROW($B$23)),COLUMN(G294)-2)+OFFSET(daily_original_wrong!$B$23, 1+2*(ROW(G294)-ROW($B$23)),COLUMN(G294)-2)</f>
        <v>0</v>
      </c>
      <c r="H294">
        <f ca="1">OFFSET(daily_original_wrong!$B$23, 2*(ROW(H294)-ROW($B$23)),COLUMN(H294)-2)+OFFSET(daily_original_wrong!$B$23, 1+2*(ROW(H294)-ROW($B$23)),COLUMN(H294)-2)</f>
        <v>0</v>
      </c>
      <c r="J294" t="str">
        <f t="shared" si="27"/>
        <v>[</v>
      </c>
      <c r="K294" t="str">
        <f t="shared" ca="1" si="28"/>
        <v>[0],</v>
      </c>
      <c r="L294" t="str">
        <f t="shared" ca="1" si="26"/>
        <v>[0],</v>
      </c>
      <c r="M294" t="str">
        <f t="shared" ca="1" si="26"/>
        <v>[0],</v>
      </c>
      <c r="N294" t="str">
        <f t="shared" ca="1" si="26"/>
        <v>[0],</v>
      </c>
      <c r="O294" t="str">
        <f t="shared" ca="1" si="26"/>
        <v>[0],</v>
      </c>
      <c r="P294" t="str">
        <f t="shared" ca="1" si="26"/>
        <v>[0],</v>
      </c>
      <c r="Q294" t="str">
        <f t="shared" ca="1" si="29"/>
        <v>[0]</v>
      </c>
      <c r="R294" t="str">
        <f t="shared" si="30"/>
        <v>]</v>
      </c>
      <c r="S294" t="str">
        <f t="shared" ca="1" si="31"/>
        <v>[[0],[0],[0],[0],[0],[0],[0]]</v>
      </c>
    </row>
    <row r="295" spans="1:19" x14ac:dyDescent="0.2">
      <c r="A295" s="1" t="d">
        <v>2026-06-05</v>
      </c>
      <c r="B295">
        <f ca="1">OFFSET(daily_original_wrong!$B$23, 2*(ROW(B295)-ROW($B$23)),COLUMN(B295)-2)+OFFSET(daily_original_wrong!$B$23, 1+2*(ROW(B295)-ROW($B$23)),COLUMN(B295)-2)</f>
        <v>0</v>
      </c>
      <c r="C295">
        <f ca="1">OFFSET(daily_original_wrong!$B$23, 2*(ROW(C295)-ROW($B$23)),COLUMN(C295)-2)+OFFSET(daily_original_wrong!$B$23, 1+2*(ROW(C295)-ROW($B$23)),COLUMN(C295)-2)</f>
        <v>0</v>
      </c>
      <c r="D295">
        <f ca="1">OFFSET(daily_original_wrong!$B$23, 2*(ROW(D295)-ROW($B$23)),COLUMN(D295)-2)+OFFSET(daily_original_wrong!$B$23, 1+2*(ROW(D295)-ROW($B$23)),COLUMN(D295)-2)</f>
        <v>0</v>
      </c>
      <c r="E295">
        <f ca="1">OFFSET(daily_original_wrong!$B$23, 2*(ROW(E295)-ROW($B$23)),COLUMN(E295)-2)+OFFSET(daily_original_wrong!$B$23, 1+2*(ROW(E295)-ROW($B$23)),COLUMN(E295)-2)</f>
        <v>0</v>
      </c>
      <c r="F295">
        <f ca="1">OFFSET(daily_original_wrong!$B$23, 2*(ROW(F295)-ROW($B$23)),COLUMN(F295)-2)+OFFSET(daily_original_wrong!$B$23, 1+2*(ROW(F295)-ROW($B$23)),COLUMN(F295)-2)</f>
        <v>0</v>
      </c>
      <c r="G295">
        <f ca="1">OFFSET(daily_original_wrong!$B$23, 2*(ROW(G295)-ROW($B$23)),COLUMN(G295)-2)+OFFSET(daily_original_wrong!$B$23, 1+2*(ROW(G295)-ROW($B$23)),COLUMN(G295)-2)</f>
        <v>0</v>
      </c>
      <c r="H295">
        <f ca="1">OFFSET(daily_original_wrong!$B$23, 2*(ROW(H295)-ROW($B$23)),COLUMN(H295)-2)+OFFSET(daily_original_wrong!$B$23, 1+2*(ROW(H295)-ROW($B$23)),COLUMN(H295)-2)</f>
        <v>0</v>
      </c>
      <c r="J295" t="str">
        <f t="shared" si="27"/>
        <v>[</v>
      </c>
      <c r="K295" t="str">
        <f t="shared" ca="1" si="28"/>
        <v>[0],</v>
      </c>
      <c r="L295" t="str">
        <f t="shared" ca="1" si="26"/>
        <v>[0],</v>
      </c>
      <c r="M295" t="str">
        <f t="shared" ca="1" si="26"/>
        <v>[0],</v>
      </c>
      <c r="N295" t="str">
        <f t="shared" ca="1" si="26"/>
        <v>[0],</v>
      </c>
      <c r="O295" t="str">
        <f t="shared" ca="1" si="26"/>
        <v>[0],</v>
      </c>
      <c r="P295" t="str">
        <f t="shared" ca="1" si="26"/>
        <v>[0],</v>
      </c>
      <c r="Q295" t="str">
        <f t="shared" ca="1" si="29"/>
        <v>[0]</v>
      </c>
      <c r="R295" t="str">
        <f t="shared" si="30"/>
        <v>]</v>
      </c>
      <c r="S295" t="str">
        <f t="shared" ca="1" si="31"/>
        <v>[[0],[0],[0],[0],[0],[0],[0]]</v>
      </c>
    </row>
    <row r="296" spans="1:19" x14ac:dyDescent="0.2">
      <c r="A296" s="1" t="d">
        <v>2026-06-06</v>
      </c>
      <c r="B296">
        <f ca="1">OFFSET(daily_original_wrong!$B$23, 2*(ROW(B296)-ROW($B$23)),COLUMN(B296)-2)+OFFSET(daily_original_wrong!$B$23, 1+2*(ROW(B296)-ROW($B$23)),COLUMN(B296)-2)</f>
        <v>0</v>
      </c>
      <c r="C296">
        <f ca="1">OFFSET(daily_original_wrong!$B$23, 2*(ROW(C296)-ROW($B$23)),COLUMN(C296)-2)+OFFSET(daily_original_wrong!$B$23, 1+2*(ROW(C296)-ROW($B$23)),COLUMN(C296)-2)</f>
        <v>0</v>
      </c>
      <c r="D296">
        <f ca="1">OFFSET(daily_original_wrong!$B$23, 2*(ROW(D296)-ROW($B$23)),COLUMN(D296)-2)+OFFSET(daily_original_wrong!$B$23, 1+2*(ROW(D296)-ROW($B$23)),COLUMN(D296)-2)</f>
        <v>0</v>
      </c>
      <c r="E296">
        <f ca="1">OFFSET(daily_original_wrong!$B$23, 2*(ROW(E296)-ROW($B$23)),COLUMN(E296)-2)+OFFSET(daily_original_wrong!$B$23, 1+2*(ROW(E296)-ROW($B$23)),COLUMN(E296)-2)</f>
        <v>0</v>
      </c>
      <c r="F296">
        <f ca="1">OFFSET(daily_original_wrong!$B$23, 2*(ROW(F296)-ROW($B$23)),COLUMN(F296)-2)+OFFSET(daily_original_wrong!$B$23, 1+2*(ROW(F296)-ROW($B$23)),COLUMN(F296)-2)</f>
        <v>0</v>
      </c>
      <c r="G296">
        <f ca="1">OFFSET(daily_original_wrong!$B$23, 2*(ROW(G296)-ROW($B$23)),COLUMN(G296)-2)+OFFSET(daily_original_wrong!$B$23, 1+2*(ROW(G296)-ROW($B$23)),COLUMN(G296)-2)</f>
        <v>0</v>
      </c>
      <c r="H296">
        <f ca="1">OFFSET(daily_original_wrong!$B$23, 2*(ROW(H296)-ROW($B$23)),COLUMN(H296)-2)+OFFSET(daily_original_wrong!$B$23, 1+2*(ROW(H296)-ROW($B$23)),COLUMN(H296)-2)</f>
        <v>0</v>
      </c>
      <c r="J296" t="str">
        <f t="shared" si="27"/>
        <v>[</v>
      </c>
      <c r="K296" t="str">
        <f t="shared" ca="1" si="28"/>
        <v>[0],</v>
      </c>
      <c r="L296" t="str">
        <f t="shared" ca="1" si="26"/>
        <v>[0],</v>
      </c>
      <c r="M296" t="str">
        <f t="shared" ca="1" si="26"/>
        <v>[0],</v>
      </c>
      <c r="N296" t="str">
        <f t="shared" ca="1" si="26"/>
        <v>[0],</v>
      </c>
      <c r="O296" t="str">
        <f t="shared" ca="1" si="26"/>
        <v>[0],</v>
      </c>
      <c r="P296" t="str">
        <f t="shared" ca="1" si="26"/>
        <v>[0],</v>
      </c>
      <c r="Q296" t="str">
        <f t="shared" ca="1" si="29"/>
        <v>[0]</v>
      </c>
      <c r="R296" t="str">
        <f t="shared" si="30"/>
        <v>]</v>
      </c>
      <c r="S296" t="str">
        <f t="shared" ca="1" si="31"/>
        <v>[[0],[0],[0],[0],[0],[0],[0]]</v>
      </c>
    </row>
    <row r="297" spans="1:19" x14ac:dyDescent="0.2">
      <c r="A297" s="1" t="d">
        <v>2026-06-07</v>
      </c>
      <c r="B297">
        <f ca="1">OFFSET(daily_original_wrong!$B$23, 2*(ROW(B297)-ROW($B$23)),COLUMN(B297)-2)+OFFSET(daily_original_wrong!$B$23, 1+2*(ROW(B297)-ROW($B$23)),COLUMN(B297)-2)</f>
        <v>0</v>
      </c>
      <c r="C297">
        <f ca="1">OFFSET(daily_original_wrong!$B$23, 2*(ROW(C297)-ROW($B$23)),COLUMN(C297)-2)+OFFSET(daily_original_wrong!$B$23, 1+2*(ROW(C297)-ROW($B$23)),COLUMN(C297)-2)</f>
        <v>0</v>
      </c>
      <c r="D297">
        <f ca="1">OFFSET(daily_original_wrong!$B$23, 2*(ROW(D297)-ROW($B$23)),COLUMN(D297)-2)+OFFSET(daily_original_wrong!$B$23, 1+2*(ROW(D297)-ROW($B$23)),COLUMN(D297)-2)</f>
        <v>0</v>
      </c>
      <c r="E297">
        <f ca="1">OFFSET(daily_original_wrong!$B$23, 2*(ROW(E297)-ROW($B$23)),COLUMN(E297)-2)+OFFSET(daily_original_wrong!$B$23, 1+2*(ROW(E297)-ROW($B$23)),COLUMN(E297)-2)</f>
        <v>0</v>
      </c>
      <c r="F297">
        <f ca="1">OFFSET(daily_original_wrong!$B$23, 2*(ROW(F297)-ROW($B$23)),COLUMN(F297)-2)+OFFSET(daily_original_wrong!$B$23, 1+2*(ROW(F297)-ROW($B$23)),COLUMN(F297)-2)</f>
        <v>0</v>
      </c>
      <c r="G297">
        <f ca="1">OFFSET(daily_original_wrong!$B$23, 2*(ROW(G297)-ROW($B$23)),COLUMN(G297)-2)+OFFSET(daily_original_wrong!$B$23, 1+2*(ROW(G297)-ROW($B$23)),COLUMN(G297)-2)</f>
        <v>0</v>
      </c>
      <c r="H297">
        <f ca="1">OFFSET(daily_original_wrong!$B$23, 2*(ROW(H297)-ROW($B$23)),COLUMN(H297)-2)+OFFSET(daily_original_wrong!$B$23, 1+2*(ROW(H297)-ROW($B$23)),COLUMN(H297)-2)</f>
        <v>0</v>
      </c>
      <c r="J297" t="str">
        <f t="shared" si="27"/>
        <v>[</v>
      </c>
      <c r="K297" t="str">
        <f t="shared" ca="1" si="28"/>
        <v>[0],</v>
      </c>
      <c r="L297" t="str">
        <f t="shared" ca="1" si="26"/>
        <v>[0],</v>
      </c>
      <c r="M297" t="str">
        <f t="shared" ca="1" si="26"/>
        <v>[0],</v>
      </c>
      <c r="N297" t="str">
        <f t="shared" ca="1" si="26"/>
        <v>[0],</v>
      </c>
      <c r="O297" t="str">
        <f t="shared" ca="1" si="26"/>
        <v>[0],</v>
      </c>
      <c r="P297" t="str">
        <f t="shared" ca="1" si="26"/>
        <v>[0],</v>
      </c>
      <c r="Q297" t="str">
        <f t="shared" ca="1" si="29"/>
        <v>[0]</v>
      </c>
      <c r="R297" t="str">
        <f t="shared" si="30"/>
        <v>]</v>
      </c>
      <c r="S297" t="str">
        <f t="shared" ca="1" si="31"/>
        <v>[[0],[0],[0],[0],[0],[0],[0]]</v>
      </c>
    </row>
    <row r="298" spans="1:19" x14ac:dyDescent="0.2">
      <c r="A298" s="1" t="d">
        <v>2026-06-08</v>
      </c>
      <c r="B298">
        <f ca="1">OFFSET(daily_original_wrong!$B$23, 2*(ROW(B298)-ROW($B$23)),COLUMN(B298)-2)+OFFSET(daily_original_wrong!$B$23, 1+2*(ROW(B298)-ROW($B$23)),COLUMN(B298)-2)</f>
        <v>0</v>
      </c>
      <c r="C298">
        <f ca="1">OFFSET(daily_original_wrong!$B$23, 2*(ROW(C298)-ROW($B$23)),COLUMN(C298)-2)+OFFSET(daily_original_wrong!$B$23, 1+2*(ROW(C298)-ROW($B$23)),COLUMN(C298)-2)</f>
        <v>0</v>
      </c>
      <c r="D298">
        <f ca="1">OFFSET(daily_original_wrong!$B$23, 2*(ROW(D298)-ROW($B$23)),COLUMN(D298)-2)+OFFSET(daily_original_wrong!$B$23, 1+2*(ROW(D298)-ROW($B$23)),COLUMN(D298)-2)</f>
        <v>0</v>
      </c>
      <c r="E298">
        <f ca="1">OFFSET(daily_original_wrong!$B$23, 2*(ROW(E298)-ROW($B$23)),COLUMN(E298)-2)+OFFSET(daily_original_wrong!$B$23, 1+2*(ROW(E298)-ROW($B$23)),COLUMN(E298)-2)</f>
        <v>0</v>
      </c>
      <c r="F298">
        <f ca="1">OFFSET(daily_original_wrong!$B$23, 2*(ROW(F298)-ROW($B$23)),COLUMN(F298)-2)+OFFSET(daily_original_wrong!$B$23, 1+2*(ROW(F298)-ROW($B$23)),COLUMN(F298)-2)</f>
        <v>0</v>
      </c>
      <c r="G298">
        <f ca="1">OFFSET(daily_original_wrong!$B$23, 2*(ROW(G298)-ROW($B$23)),COLUMN(G298)-2)+OFFSET(daily_original_wrong!$B$23, 1+2*(ROW(G298)-ROW($B$23)),COLUMN(G298)-2)</f>
        <v>0</v>
      </c>
      <c r="H298">
        <f ca="1">OFFSET(daily_original_wrong!$B$23, 2*(ROW(H298)-ROW($B$23)),COLUMN(H298)-2)+OFFSET(daily_original_wrong!$B$23, 1+2*(ROW(H298)-ROW($B$23)),COLUMN(H298)-2)</f>
        <v>0</v>
      </c>
      <c r="J298" t="str">
        <f t="shared" si="27"/>
        <v>[</v>
      </c>
      <c r="K298" t="str">
        <f t="shared" ca="1" si="28"/>
        <v>[0],</v>
      </c>
      <c r="L298" t="str">
        <f t="shared" ca="1" si="26"/>
        <v>[0],</v>
      </c>
      <c r="M298" t="str">
        <f t="shared" ca="1" si="26"/>
        <v>[0],</v>
      </c>
      <c r="N298" t="str">
        <f t="shared" ca="1" si="26"/>
        <v>[0],</v>
      </c>
      <c r="O298" t="str">
        <f t="shared" ca="1" si="26"/>
        <v>[0],</v>
      </c>
      <c r="P298" t="str">
        <f t="shared" ca="1" si="26"/>
        <v>[0],</v>
      </c>
      <c r="Q298" t="str">
        <f t="shared" ca="1" si="29"/>
        <v>[0]</v>
      </c>
      <c r="R298" t="str">
        <f t="shared" si="30"/>
        <v>]</v>
      </c>
      <c r="S298" t="str">
        <f t="shared" ca="1" si="31"/>
        <v>[[0],[0],[0],[0],[0],[0],[0]]</v>
      </c>
    </row>
    <row r="299" spans="1:19" x14ac:dyDescent="0.2">
      <c r="A299" s="1" t="d">
        <v>2026-06-09</v>
      </c>
      <c r="B299">
        <f ca="1">OFFSET(daily_original_wrong!$B$23, 2*(ROW(B299)-ROW($B$23)),COLUMN(B299)-2)+OFFSET(daily_original_wrong!$B$23, 1+2*(ROW(B299)-ROW($B$23)),COLUMN(B299)-2)</f>
        <v>0</v>
      </c>
      <c r="C299">
        <f ca="1">OFFSET(daily_original_wrong!$B$23, 2*(ROW(C299)-ROW($B$23)),COLUMN(C299)-2)+OFFSET(daily_original_wrong!$B$23, 1+2*(ROW(C299)-ROW($B$23)),COLUMN(C299)-2)</f>
        <v>0</v>
      </c>
      <c r="D299">
        <f ca="1">OFFSET(daily_original_wrong!$B$23, 2*(ROW(D299)-ROW($B$23)),COLUMN(D299)-2)+OFFSET(daily_original_wrong!$B$23, 1+2*(ROW(D299)-ROW($B$23)),COLUMN(D299)-2)</f>
        <v>0</v>
      </c>
      <c r="E299">
        <f ca="1">OFFSET(daily_original_wrong!$B$23, 2*(ROW(E299)-ROW($B$23)),COLUMN(E299)-2)+OFFSET(daily_original_wrong!$B$23, 1+2*(ROW(E299)-ROW($B$23)),COLUMN(E299)-2)</f>
        <v>0</v>
      </c>
      <c r="F299">
        <f ca="1">OFFSET(daily_original_wrong!$B$23, 2*(ROW(F299)-ROW($B$23)),COLUMN(F299)-2)+OFFSET(daily_original_wrong!$B$23, 1+2*(ROW(F299)-ROW($B$23)),COLUMN(F299)-2)</f>
        <v>0</v>
      </c>
      <c r="G299">
        <f ca="1">OFFSET(daily_original_wrong!$B$23, 2*(ROW(G299)-ROW($B$23)),COLUMN(G299)-2)+OFFSET(daily_original_wrong!$B$23, 1+2*(ROW(G299)-ROW($B$23)),COLUMN(G299)-2)</f>
        <v>0</v>
      </c>
      <c r="H299">
        <f ca="1">OFFSET(daily_original_wrong!$B$23, 2*(ROW(H299)-ROW($B$23)),COLUMN(H299)-2)+OFFSET(daily_original_wrong!$B$23, 1+2*(ROW(H299)-ROW($B$23)),COLUMN(H299)-2)</f>
        <v>0</v>
      </c>
      <c r="J299" t="str">
        <f t="shared" si="27"/>
        <v>[</v>
      </c>
      <c r="K299" t="str">
        <f t="shared" ca="1" si="28"/>
        <v>[0],</v>
      </c>
      <c r="L299" t="str">
        <f t="shared" ca="1" si="26"/>
        <v>[0],</v>
      </c>
      <c r="M299" t="str">
        <f t="shared" ca="1" si="26"/>
        <v>[0],</v>
      </c>
      <c r="N299" t="str">
        <f t="shared" ca="1" si="26"/>
        <v>[0],</v>
      </c>
      <c r="O299" t="str">
        <f t="shared" ca="1" si="26"/>
        <v>[0],</v>
      </c>
      <c r="P299" t="str">
        <f t="shared" ca="1" si="26"/>
        <v>[0],</v>
      </c>
      <c r="Q299" t="str">
        <f t="shared" ca="1" si="29"/>
        <v>[0]</v>
      </c>
      <c r="R299" t="str">
        <f t="shared" si="30"/>
        <v>]</v>
      </c>
      <c r="S299" t="str">
        <f t="shared" ca="1" si="31"/>
        <v>[[0],[0],[0],[0],[0],[0],[0]]</v>
      </c>
    </row>
    <row r="300" spans="1:19" x14ac:dyDescent="0.2">
      <c r="A300" s="1" t="d">
        <v>2026-06-10</v>
      </c>
      <c r="B300">
        <f ca="1">OFFSET(daily_original_wrong!$B$23, 2*(ROW(B300)-ROW($B$23)),COLUMN(B300)-2)+OFFSET(daily_original_wrong!$B$23, 1+2*(ROW(B300)-ROW($B$23)),COLUMN(B300)-2)</f>
        <v>0</v>
      </c>
      <c r="C300">
        <f ca="1">OFFSET(daily_original_wrong!$B$23, 2*(ROW(C300)-ROW($B$23)),COLUMN(C300)-2)+OFFSET(daily_original_wrong!$B$23, 1+2*(ROW(C300)-ROW($B$23)),COLUMN(C300)-2)</f>
        <v>0</v>
      </c>
      <c r="D300">
        <f ca="1">OFFSET(daily_original_wrong!$B$23, 2*(ROW(D300)-ROW($B$23)),COLUMN(D300)-2)+OFFSET(daily_original_wrong!$B$23, 1+2*(ROW(D300)-ROW($B$23)),COLUMN(D300)-2)</f>
        <v>0</v>
      </c>
      <c r="E300">
        <f ca="1">OFFSET(daily_original_wrong!$B$23, 2*(ROW(E300)-ROW($B$23)),COLUMN(E300)-2)+OFFSET(daily_original_wrong!$B$23, 1+2*(ROW(E300)-ROW($B$23)),COLUMN(E300)-2)</f>
        <v>0</v>
      </c>
      <c r="F300">
        <f ca="1">OFFSET(daily_original_wrong!$B$23, 2*(ROW(F300)-ROW($B$23)),COLUMN(F300)-2)+OFFSET(daily_original_wrong!$B$23, 1+2*(ROW(F300)-ROW($B$23)),COLUMN(F300)-2)</f>
        <v>0</v>
      </c>
      <c r="G300">
        <f ca="1">OFFSET(daily_original_wrong!$B$23, 2*(ROW(G300)-ROW($B$23)),COLUMN(G300)-2)+OFFSET(daily_original_wrong!$B$23, 1+2*(ROW(G300)-ROW($B$23)),COLUMN(G300)-2)</f>
        <v>0</v>
      </c>
      <c r="H300">
        <f ca="1">OFFSET(daily_original_wrong!$B$23, 2*(ROW(H300)-ROW($B$23)),COLUMN(H300)-2)+OFFSET(daily_original_wrong!$B$23, 1+2*(ROW(H300)-ROW($B$23)),COLUMN(H300)-2)</f>
        <v>0</v>
      </c>
      <c r="J300" t="str">
        <f t="shared" si="27"/>
        <v>[</v>
      </c>
      <c r="K300" t="str">
        <f t="shared" ca="1" si="28"/>
        <v>[0],</v>
      </c>
      <c r="L300" t="str">
        <f t="shared" ca="1" si="26"/>
        <v>[0],</v>
      </c>
      <c r="M300" t="str">
        <f t="shared" ca="1" si="26"/>
        <v>[0],</v>
      </c>
      <c r="N300" t="str">
        <f t="shared" ca="1" si="26"/>
        <v>[0],</v>
      </c>
      <c r="O300" t="str">
        <f t="shared" ca="1" si="26"/>
        <v>[0],</v>
      </c>
      <c r="P300" t="str">
        <f t="shared" ca="1" si="26"/>
        <v>[0],</v>
      </c>
      <c r="Q300" t="str">
        <f t="shared" ca="1" si="29"/>
        <v>[0]</v>
      </c>
      <c r="R300" t="str">
        <f t="shared" si="30"/>
        <v>]</v>
      </c>
      <c r="S300" t="str">
        <f t="shared" ca="1" si="31"/>
        <v>[[0],[0],[0],[0],[0],[0],[0]]</v>
      </c>
    </row>
    <row r="301" spans="1:19" x14ac:dyDescent="0.2">
      <c r="A301" s="1" t="d">
        <v>2026-06-11</v>
      </c>
      <c r="B301">
        <f ca="1">OFFSET(daily_original_wrong!$B$23, 2*(ROW(B301)-ROW($B$23)),COLUMN(B301)-2)+OFFSET(daily_original_wrong!$B$23, 1+2*(ROW(B301)-ROW($B$23)),COLUMN(B301)-2)</f>
        <v>0</v>
      </c>
      <c r="C301">
        <f ca="1">OFFSET(daily_original_wrong!$B$23, 2*(ROW(C301)-ROW($B$23)),COLUMN(C301)-2)+OFFSET(daily_original_wrong!$B$23, 1+2*(ROW(C301)-ROW($B$23)),COLUMN(C301)-2)</f>
        <v>0</v>
      </c>
      <c r="D301">
        <f ca="1">OFFSET(daily_original_wrong!$B$23, 2*(ROW(D301)-ROW($B$23)),COLUMN(D301)-2)+OFFSET(daily_original_wrong!$B$23, 1+2*(ROW(D301)-ROW($B$23)),COLUMN(D301)-2)</f>
        <v>0</v>
      </c>
      <c r="E301">
        <f ca="1">OFFSET(daily_original_wrong!$B$23, 2*(ROW(E301)-ROW($B$23)),COLUMN(E301)-2)+OFFSET(daily_original_wrong!$B$23, 1+2*(ROW(E301)-ROW($B$23)),COLUMN(E301)-2)</f>
        <v>0</v>
      </c>
      <c r="F301">
        <f ca="1">OFFSET(daily_original_wrong!$B$23, 2*(ROW(F301)-ROW($B$23)),COLUMN(F301)-2)+OFFSET(daily_original_wrong!$B$23, 1+2*(ROW(F301)-ROW($B$23)),COLUMN(F301)-2)</f>
        <v>0</v>
      </c>
      <c r="G301">
        <f ca="1">OFFSET(daily_original_wrong!$B$23, 2*(ROW(G301)-ROW($B$23)),COLUMN(G301)-2)+OFFSET(daily_original_wrong!$B$23, 1+2*(ROW(G301)-ROW($B$23)),COLUMN(G301)-2)</f>
        <v>0</v>
      </c>
      <c r="H301">
        <f ca="1">OFFSET(daily_original_wrong!$B$23, 2*(ROW(H301)-ROW($B$23)),COLUMN(H301)-2)+OFFSET(daily_original_wrong!$B$23, 1+2*(ROW(H301)-ROW($B$23)),COLUMN(H301)-2)</f>
        <v>0</v>
      </c>
      <c r="J301" t="str">
        <f t="shared" si="27"/>
        <v>[</v>
      </c>
      <c r="K301" t="str">
        <f t="shared" ca="1" si="28"/>
        <v>[0],</v>
      </c>
      <c r="L301" t="str">
        <f t="shared" ca="1" si="26"/>
        <v>[0],</v>
      </c>
      <c r="M301" t="str">
        <f t="shared" ca="1" si="26"/>
        <v>[0],</v>
      </c>
      <c r="N301" t="str">
        <f t="shared" ca="1" si="26"/>
        <v>[0],</v>
      </c>
      <c r="O301" t="str">
        <f t="shared" ca="1" si="26"/>
        <v>[0],</v>
      </c>
      <c r="P301" t="str">
        <f t="shared" ca="1" si="26"/>
        <v>[0],</v>
      </c>
      <c r="Q301" t="str">
        <f t="shared" ca="1" si="29"/>
        <v>[0]</v>
      </c>
      <c r="R301" t="str">
        <f t="shared" si="30"/>
        <v>]</v>
      </c>
      <c r="S301" t="str">
        <f t="shared" ca="1" si="31"/>
        <v>[[0],[0],[0],[0],[0],[0],[0]]</v>
      </c>
    </row>
    <row r="302" spans="1:19" x14ac:dyDescent="0.2">
      <c r="A302" s="1" t="d">
        <v>2026-06-12</v>
      </c>
      <c r="B302">
        <f ca="1">OFFSET(daily_original_wrong!$B$23, 2*(ROW(B302)-ROW($B$23)),COLUMN(B302)-2)+OFFSET(daily_original_wrong!$B$23, 1+2*(ROW(B302)-ROW($B$23)),COLUMN(B302)-2)</f>
        <v>0</v>
      </c>
      <c r="C302">
        <f ca="1">OFFSET(daily_original_wrong!$B$23, 2*(ROW(C302)-ROW($B$23)),COLUMN(C302)-2)+OFFSET(daily_original_wrong!$B$23, 1+2*(ROW(C302)-ROW($B$23)),COLUMN(C302)-2)</f>
        <v>0</v>
      </c>
      <c r="D302">
        <f ca="1">OFFSET(daily_original_wrong!$B$23, 2*(ROW(D302)-ROW($B$23)),COLUMN(D302)-2)+OFFSET(daily_original_wrong!$B$23, 1+2*(ROW(D302)-ROW($B$23)),COLUMN(D302)-2)</f>
        <v>0</v>
      </c>
      <c r="E302">
        <f ca="1">OFFSET(daily_original_wrong!$B$23, 2*(ROW(E302)-ROW($B$23)),COLUMN(E302)-2)+OFFSET(daily_original_wrong!$B$23, 1+2*(ROW(E302)-ROW($B$23)),COLUMN(E302)-2)</f>
        <v>0</v>
      </c>
      <c r="F302">
        <f ca="1">OFFSET(daily_original_wrong!$B$23, 2*(ROW(F302)-ROW($B$23)),COLUMN(F302)-2)+OFFSET(daily_original_wrong!$B$23, 1+2*(ROW(F302)-ROW($B$23)),COLUMN(F302)-2)</f>
        <v>0</v>
      </c>
      <c r="G302">
        <f ca="1">OFFSET(daily_original_wrong!$B$23, 2*(ROW(G302)-ROW($B$23)),COLUMN(G302)-2)+OFFSET(daily_original_wrong!$B$23, 1+2*(ROW(G302)-ROW($B$23)),COLUMN(G302)-2)</f>
        <v>0</v>
      </c>
      <c r="H302">
        <f ca="1">OFFSET(daily_original_wrong!$B$23, 2*(ROW(H302)-ROW($B$23)),COLUMN(H302)-2)+OFFSET(daily_original_wrong!$B$23, 1+2*(ROW(H302)-ROW($B$23)),COLUMN(H302)-2)</f>
        <v>0</v>
      </c>
      <c r="J302" t="str">
        <f t="shared" si="27"/>
        <v>[</v>
      </c>
      <c r="K302" t="str">
        <f t="shared" ca="1" si="28"/>
        <v>[0],</v>
      </c>
      <c r="L302" t="str">
        <f t="shared" ca="1" si="26"/>
        <v>[0],</v>
      </c>
      <c r="M302" t="str">
        <f t="shared" ca="1" si="26"/>
        <v>[0],</v>
      </c>
      <c r="N302" t="str">
        <f t="shared" ca="1" si="26"/>
        <v>[0],</v>
      </c>
      <c r="O302" t="str">
        <f t="shared" ca="1" si="26"/>
        <v>[0],</v>
      </c>
      <c r="P302" t="str">
        <f t="shared" ca="1" si="26"/>
        <v>[0],</v>
      </c>
      <c r="Q302" t="str">
        <f t="shared" ca="1" si="29"/>
        <v>[0]</v>
      </c>
      <c r="R302" t="str">
        <f t="shared" si="30"/>
        <v>]</v>
      </c>
      <c r="S302" t="str">
        <f t="shared" ca="1" si="31"/>
        <v>[[0],[0],[0],[0],[0],[0],[0]]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DEE47-D9C1-1440-AB57-C2EC8AE8A308}">
  <dimension ref="A1:C302"/>
  <sheetViews>
    <sheetView workbookViewId="0">
      <selection sqref="A1:C302"/>
    </sheetView>
  </sheetViews>
  <sheetFormatPr baseColWidth="10" defaultRowHeight="16" x14ac:dyDescent="0.2"/>
  <sheetData>
    <row r="1" spans="1:3" x14ac:dyDescent="0.2">
      <c r="A1" t="s">
        <v>0</v>
      </c>
      <c r="B1" t="s">
        <v>8</v>
      </c>
      <c r="C1" t="s">
        <v>9</v>
      </c>
    </row>
    <row r="2" spans="1:3" x14ac:dyDescent="0.2">
      <c r="A2" s="1" t="d">
        <v>2025-08-16</v>
      </c>
      <c r="B2">
        <v>0</v>
      </c>
      <c r="C2">
        <v>0</v>
      </c>
    </row>
    <row r="3" spans="1:3" x14ac:dyDescent="0.2">
      <c r="A3" s="1" t="d">
        <v>2025-08-17</v>
      </c>
      <c r="B3">
        <v>0</v>
      </c>
      <c r="C3">
        <v>0</v>
      </c>
    </row>
    <row r="4" spans="1:3" x14ac:dyDescent="0.2">
      <c r="A4" s="1" t="d">
        <v>2025-08-18</v>
      </c>
      <c r="B4">
        <v>0</v>
      </c>
      <c r="C4">
        <v>0</v>
      </c>
    </row>
    <row r="5" spans="1:3" x14ac:dyDescent="0.2">
      <c r="A5" s="1" t="d">
        <v>2025-08-19</v>
      </c>
      <c r="B5">
        <v>0</v>
      </c>
      <c r="C5">
        <v>0</v>
      </c>
    </row>
    <row r="6" spans="1:3" x14ac:dyDescent="0.2">
      <c r="A6" s="1" t="d">
        <v>2025-08-20</v>
      </c>
      <c r="B6">
        <v>0</v>
      </c>
      <c r="C6">
        <v>0</v>
      </c>
    </row>
    <row r="7" spans="1:3" x14ac:dyDescent="0.2">
      <c r="A7" s="1" t="d">
        <v>2025-08-21</v>
      </c>
      <c r="B7">
        <v>0</v>
      </c>
      <c r="C7">
        <v>0</v>
      </c>
    </row>
    <row r="8" spans="1:3" x14ac:dyDescent="0.2">
      <c r="A8" s="1" t="d">
        <v>2025-08-22</v>
      </c>
      <c r="B8">
        <v>0</v>
      </c>
      <c r="C8">
        <v>0</v>
      </c>
    </row>
    <row r="9" spans="1:3" x14ac:dyDescent="0.2">
      <c r="A9" s="1" t="d">
        <v>2025-08-23</v>
      </c>
      <c r="B9">
        <v>0</v>
      </c>
      <c r="C9">
        <v>0</v>
      </c>
    </row>
    <row r="10" spans="1:3" x14ac:dyDescent="0.2">
      <c r="A10" s="1" t="d">
        <v>2025-08-24</v>
      </c>
      <c r="B10">
        <v>0</v>
      </c>
      <c r="C10">
        <v>0</v>
      </c>
    </row>
    <row r="11" spans="1:3" x14ac:dyDescent="0.2">
      <c r="A11" s="1" t="d">
        <v>2025-08-25</v>
      </c>
      <c r="B11">
        <v>0</v>
      </c>
      <c r="C11">
        <v>0</v>
      </c>
    </row>
    <row r="12" spans="1:3" x14ac:dyDescent="0.2">
      <c r="A12" s="1" t="d">
        <v>2025-08-26</v>
      </c>
      <c r="B12">
        <v>0</v>
      </c>
      <c r="C12">
        <v>0</v>
      </c>
    </row>
    <row r="13" spans="1:3" x14ac:dyDescent="0.2">
      <c r="A13" s="1" t="d">
        <v>2025-08-27</v>
      </c>
      <c r="B13">
        <v>0</v>
      </c>
      <c r="C13">
        <v>0</v>
      </c>
    </row>
    <row r="14" spans="1:3" x14ac:dyDescent="0.2">
      <c r="A14" s="1" t="d">
        <v>2025-08-28</v>
      </c>
      <c r="B14">
        <v>0</v>
      </c>
      <c r="C14">
        <v>0</v>
      </c>
    </row>
    <row r="15" spans="1:3" x14ac:dyDescent="0.2">
      <c r="A15" s="1" t="d">
        <v>2025-08-29</v>
      </c>
      <c r="B15">
        <v>0</v>
      </c>
      <c r="C15">
        <v>0</v>
      </c>
    </row>
    <row r="16" spans="1:3" x14ac:dyDescent="0.2">
      <c r="A16" s="1" t="d">
        <v>2025-08-30</v>
      </c>
      <c r="B16">
        <v>0</v>
      </c>
      <c r="C16">
        <v>0</v>
      </c>
    </row>
    <row r="17" spans="1:3" x14ac:dyDescent="0.2">
      <c r="A17" s="1" t="d">
        <v>2025-08-31</v>
      </c>
      <c r="B17">
        <v>0</v>
      </c>
      <c r="C17">
        <v>0</v>
      </c>
    </row>
    <row r="18" spans="1:3" x14ac:dyDescent="0.2">
      <c r="A18" s="1" t="d">
        <v>2025-09-01</v>
      </c>
      <c r="B18">
        <v>0</v>
      </c>
      <c r="C18">
        <v>0</v>
      </c>
    </row>
    <row r="19" spans="1:3" x14ac:dyDescent="0.2">
      <c r="A19" s="1" t="d">
        <v>2025-09-02</v>
      </c>
      <c r="B19">
        <v>0</v>
      </c>
      <c r="C19">
        <v>0</v>
      </c>
    </row>
    <row r="20" spans="1:3" x14ac:dyDescent="0.2">
      <c r="A20" s="1" t="d">
        <v>2025-09-03</v>
      </c>
      <c r="B20">
        <v>0</v>
      </c>
      <c r="C20">
        <v>0</v>
      </c>
    </row>
    <row r="21" spans="1:3" x14ac:dyDescent="0.2">
      <c r="A21" s="1" t="d">
        <v>2025-09-04</v>
      </c>
      <c r="B21">
        <v>0</v>
      </c>
      <c r="C21">
        <v>0</v>
      </c>
    </row>
    <row r="22" spans="1:3" x14ac:dyDescent="0.2">
      <c r="A22" s="1" t="d">
        <v>2025-09-05</v>
      </c>
      <c r="B22">
        <v>0</v>
      </c>
      <c r="C22">
        <v>0</v>
      </c>
    </row>
    <row r="23" spans="1:3" x14ac:dyDescent="0.2">
      <c r="A23" s="1" t="d">
        <v>2025-09-06</v>
      </c>
      <c r="B23">
        <f ca="1">OFFSET(daily_original_wrong!$B$23, 2*(ROW(B23)-ROW($B$23)),COLUMN(B23)-2)+OFFSET(daily_original_wrong!$B$23, 1+2*(ROW(B23)-ROW($B$23)),COLUMN(B23)-2)</f>
        <v>1.0347698000000001E-2</v>
      </c>
      <c r="C23">
        <v>5.1738490000000003E-3</v>
      </c>
    </row>
    <row r="24" spans="1:3" x14ac:dyDescent="0.2">
      <c r="A24" s="1" t="d">
        <v>2025-09-07</v>
      </c>
      <c r="B24">
        <f ca="1">OFFSET(daily_original_wrong!$B$23, 2*(ROW(B24)-ROW($B$23)),COLUMN(B24)-2)+OFFSET(daily_original_wrong!$B$23, 1+2*(ROW(B24)-ROW($B$23)),COLUMN(B24)-2)</f>
        <v>1.0347698000000001E-2</v>
      </c>
      <c r="C24">
        <v>5.1738490000000003E-3</v>
      </c>
    </row>
    <row r="25" spans="1:3" x14ac:dyDescent="0.2">
      <c r="A25" s="1" t="d">
        <v>2025-09-08</v>
      </c>
      <c r="B25">
        <f ca="1">OFFSET(daily_original_wrong!$B$23, 2*(ROW(B25)-ROW($B$23)),COLUMN(B25)-2)+OFFSET(daily_original_wrong!$B$23, 1+2*(ROW(B25)-ROW($B$23)),COLUMN(B25)-2)</f>
        <v>1.0347698000000001E-2</v>
      </c>
      <c r="C25">
        <v>5.1738490000000003E-3</v>
      </c>
    </row>
    <row r="26" spans="1:3" x14ac:dyDescent="0.2">
      <c r="A26" s="1" t="d">
        <v>2025-09-09</v>
      </c>
      <c r="B26">
        <f ca="1">OFFSET(daily_original_wrong!$B$23, 2*(ROW(B26)-ROW($B$23)),COLUMN(B26)-2)+OFFSET(daily_original_wrong!$B$23, 1+2*(ROW(B26)-ROW($B$23)),COLUMN(B26)-2)</f>
        <v>1.0135511999999999E-2</v>
      </c>
      <c r="C26">
        <v>5.1738490000000003E-3</v>
      </c>
    </row>
    <row r="27" spans="1:3" x14ac:dyDescent="0.2">
      <c r="A27" s="1" t="d">
        <v>2025-09-10</v>
      </c>
      <c r="B27">
        <f ca="1">OFFSET(daily_original_wrong!$B$23, 2*(ROW(B27)-ROW($B$23)),COLUMN(B27)-2)+OFFSET(daily_original_wrong!$B$23, 1+2*(ROW(B27)-ROW($B$23)),COLUMN(B27)-2)</f>
        <v>9.9233259999999997E-3</v>
      </c>
      <c r="C27">
        <v>5.1738490000000003E-3</v>
      </c>
    </row>
    <row r="28" spans="1:3" x14ac:dyDescent="0.2">
      <c r="A28" s="1" t="d">
        <v>2025-09-11</v>
      </c>
      <c r="B28">
        <f ca="1">OFFSET(daily_original_wrong!$B$23, 2*(ROW(B28)-ROW($B$23)),COLUMN(B28)-2)+OFFSET(daily_original_wrong!$B$23, 1+2*(ROW(B28)-ROW($B$23)),COLUMN(B28)-2)</f>
        <v>9.9233259999999997E-3</v>
      </c>
      <c r="C28">
        <v>5.1738490000000003E-3</v>
      </c>
    </row>
    <row r="29" spans="1:3" x14ac:dyDescent="0.2">
      <c r="A29" s="1" t="d">
        <v>2025-09-12</v>
      </c>
      <c r="B29">
        <f ca="1">OFFSET(daily_original_wrong!$B$23, 2*(ROW(B29)-ROW($B$23)),COLUMN(B29)-2)+OFFSET(daily_original_wrong!$B$23, 1+2*(ROW(B29)-ROW($B$23)),COLUMN(B29)-2)</f>
        <v>9.9233259999999997E-3</v>
      </c>
      <c r="C29">
        <v>5.1738490000000003E-3</v>
      </c>
    </row>
    <row r="30" spans="1:3" x14ac:dyDescent="0.2">
      <c r="A30" s="1" t="d">
        <v>2025-09-13</v>
      </c>
      <c r="B30">
        <f ca="1">OFFSET(daily_original_wrong!$B$23, 2*(ROW(B30)-ROW($B$23)),COLUMN(B30)-2)+OFFSET(daily_original_wrong!$B$23, 1+2*(ROW(B30)-ROW($B$23)),COLUMN(B30)-2)</f>
        <v>1.0977911999999999E-2</v>
      </c>
      <c r="C30">
        <v>4.9616629999999998E-3</v>
      </c>
    </row>
    <row r="31" spans="1:3" x14ac:dyDescent="0.2">
      <c r="A31" s="1" t="d">
        <v>2025-09-14</v>
      </c>
      <c r="B31">
        <f ca="1">OFFSET(daily_original_wrong!$B$23, 2*(ROW(B31)-ROW($B$23)),COLUMN(B31)-2)+OFFSET(daily_original_wrong!$B$23, 1+2*(ROW(B31)-ROW($B$23)),COLUMN(B31)-2)</f>
        <v>1.0977911999999999E-2</v>
      </c>
      <c r="C31">
        <v>4.9616629999999998E-3</v>
      </c>
    </row>
    <row r="32" spans="1:3" x14ac:dyDescent="0.2">
      <c r="A32" s="1" t="d">
        <v>2025-09-15</v>
      </c>
      <c r="B32">
        <f ca="1">OFFSET(daily_original_wrong!$B$23, 2*(ROW(B32)-ROW($B$23)),COLUMN(B32)-2)+OFFSET(daily_original_wrong!$B$23, 1+2*(ROW(B32)-ROW($B$23)),COLUMN(B32)-2)</f>
        <v>1.0977911999999999E-2</v>
      </c>
      <c r="C32">
        <v>4.9616629999999998E-3</v>
      </c>
    </row>
    <row r="33" spans="1:3" x14ac:dyDescent="0.2">
      <c r="A33" s="1" t="d">
        <v>2025-09-16</v>
      </c>
      <c r="B33">
        <f ca="1">OFFSET(daily_original_wrong!$B$23, 2*(ROW(B33)-ROW($B$23)),COLUMN(B33)-2)+OFFSET(daily_original_wrong!$B$23, 1+2*(ROW(B33)-ROW($B$23)),COLUMN(B33)-2)</f>
        <v>1.7186993999999997E-2</v>
      </c>
      <c r="C33">
        <v>4.9616629999999998E-3</v>
      </c>
    </row>
    <row r="34" spans="1:3" x14ac:dyDescent="0.2">
      <c r="A34" s="1" t="d">
        <v>2025-09-17</v>
      </c>
      <c r="B34">
        <f ca="1">OFFSET(daily_original_wrong!$B$23, 2*(ROW(B34)-ROW($B$23)),COLUMN(B34)-2)+OFFSET(daily_original_wrong!$B$23, 1+2*(ROW(B34)-ROW($B$23)),COLUMN(B34)-2)</f>
        <v>2.3396075999999998E-2</v>
      </c>
      <c r="C34">
        <v>4.9616629999999998E-3</v>
      </c>
    </row>
    <row r="35" spans="1:3" x14ac:dyDescent="0.2">
      <c r="A35" s="1" t="d">
        <v>2025-09-18</v>
      </c>
      <c r="B35">
        <f ca="1">OFFSET(daily_original_wrong!$B$23, 2*(ROW(B35)-ROW($B$23)),COLUMN(B35)-2)+OFFSET(daily_original_wrong!$B$23, 1+2*(ROW(B35)-ROW($B$23)),COLUMN(B35)-2)</f>
        <v>2.3396075999999998E-2</v>
      </c>
      <c r="C35">
        <v>4.9616629999999998E-3</v>
      </c>
    </row>
    <row r="36" spans="1:3" x14ac:dyDescent="0.2">
      <c r="A36" s="1" t="d">
        <v>2025-09-19</v>
      </c>
      <c r="B36">
        <f ca="1">OFFSET(daily_original_wrong!$B$23, 2*(ROW(B36)-ROW($B$23)),COLUMN(B36)-2)+OFFSET(daily_original_wrong!$B$23, 1+2*(ROW(B36)-ROW($B$23)),COLUMN(B36)-2)</f>
        <v>2.3396075999999998E-2</v>
      </c>
      <c r="C36">
        <v>4.9616629999999998E-3</v>
      </c>
    </row>
    <row r="37" spans="1:3" x14ac:dyDescent="0.2">
      <c r="A37" s="1" t="d">
        <v>2025-09-20</v>
      </c>
      <c r="B37">
        <f ca="1">OFFSET(daily_original_wrong!$B$23, 2*(ROW(B37)-ROW($B$23)),COLUMN(B37)-2)+OFFSET(daily_original_wrong!$B$23, 1+2*(ROW(B37)-ROW($B$23)),COLUMN(B37)-2)</f>
        <v>1.3297244E-2</v>
      </c>
      <c r="C37">
        <v>5.4889559999999997E-3</v>
      </c>
    </row>
    <row r="38" spans="1:3" x14ac:dyDescent="0.2">
      <c r="A38" s="1" t="d">
        <v>2025-09-21</v>
      </c>
      <c r="B38">
        <f ca="1">OFFSET(daily_original_wrong!$B$23, 2*(ROW(B38)-ROW($B$23)),COLUMN(B38)-2)+OFFSET(daily_original_wrong!$B$23, 1+2*(ROW(B38)-ROW($B$23)),COLUMN(B38)-2)</f>
        <v>1.3297244E-2</v>
      </c>
      <c r="C38">
        <v>5.4889559999999997E-3</v>
      </c>
    </row>
    <row r="39" spans="1:3" x14ac:dyDescent="0.2">
      <c r="A39" s="1" t="d">
        <v>2025-09-22</v>
      </c>
      <c r="B39">
        <f ca="1">OFFSET(daily_original_wrong!$B$23, 2*(ROW(B39)-ROW($B$23)),COLUMN(B39)-2)+OFFSET(daily_original_wrong!$B$23, 1+2*(ROW(B39)-ROW($B$23)),COLUMN(B39)-2)</f>
        <v>1.3297244E-2</v>
      </c>
      <c r="C39">
        <v>5.4889559999999997E-3</v>
      </c>
    </row>
    <row r="40" spans="1:3" x14ac:dyDescent="0.2">
      <c r="A40" s="1" t="d">
        <v>2025-09-23</v>
      </c>
      <c r="B40">
        <f ca="1">OFFSET(daily_original_wrong!$B$23, 2*(ROW(B40)-ROW($B$23)),COLUMN(B40)-2)+OFFSET(daily_original_wrong!$B$23, 1+2*(ROW(B40)-ROW($B$23)),COLUMN(B40)-2)</f>
        <v>1.4098630000000001E-2</v>
      </c>
      <c r="C40">
        <v>5.4889559999999997E-3</v>
      </c>
    </row>
    <row r="41" spans="1:3" x14ac:dyDescent="0.2">
      <c r="A41" s="1" t="d">
        <v>2025-09-24</v>
      </c>
      <c r="B41">
        <f ca="1">OFFSET(daily_original_wrong!$B$23, 2*(ROW(B41)-ROW($B$23)),COLUMN(B41)-2)+OFFSET(daily_original_wrong!$B$23, 1+2*(ROW(B41)-ROW($B$23)),COLUMN(B41)-2)</f>
        <v>1.4900016E-2</v>
      </c>
      <c r="C41">
        <v>5.4889559999999997E-3</v>
      </c>
    </row>
    <row r="42" spans="1:3" x14ac:dyDescent="0.2">
      <c r="A42" s="1" t="d">
        <v>2025-09-25</v>
      </c>
      <c r="B42">
        <f ca="1">OFFSET(daily_original_wrong!$B$23, 2*(ROW(B42)-ROW($B$23)),COLUMN(B42)-2)+OFFSET(daily_original_wrong!$B$23, 1+2*(ROW(B42)-ROW($B$23)),COLUMN(B42)-2)</f>
        <v>1.4900016E-2</v>
      </c>
      <c r="C42">
        <v>5.4889559999999997E-3</v>
      </c>
    </row>
    <row r="43" spans="1:3" x14ac:dyDescent="0.2">
      <c r="A43" s="1" t="d">
        <v>2025-09-26</v>
      </c>
      <c r="B43">
        <f ca="1">OFFSET(daily_original_wrong!$B$23, 2*(ROW(B43)-ROW($B$23)),COLUMN(B43)-2)+OFFSET(daily_original_wrong!$B$23, 1+2*(ROW(B43)-ROW($B$23)),COLUMN(B43)-2)</f>
        <v>1.4900016E-2</v>
      </c>
      <c r="C43">
        <v>5.4889559999999997E-3</v>
      </c>
    </row>
    <row r="44" spans="1:3" x14ac:dyDescent="0.2">
      <c r="A44" s="1" t="d">
        <v>2025-09-27</v>
      </c>
      <c r="B44">
        <f ca="1">OFFSET(daily_original_wrong!$B$23, 2*(ROW(B44)-ROW($B$23)),COLUMN(B44)-2)+OFFSET(daily_original_wrong!$B$23, 1+2*(ROW(B44)-ROW($B$23)),COLUMN(B44)-2)</f>
        <v>1.6150221999999999E-2</v>
      </c>
      <c r="C44">
        <v>1.1698037999999999E-2</v>
      </c>
    </row>
    <row r="45" spans="1:3" x14ac:dyDescent="0.2">
      <c r="A45" s="1" t="d">
        <v>2025-09-28</v>
      </c>
      <c r="B45">
        <f ca="1">OFFSET(daily_original_wrong!$B$23, 2*(ROW(B45)-ROW($B$23)),COLUMN(B45)-2)+OFFSET(daily_original_wrong!$B$23, 1+2*(ROW(B45)-ROW($B$23)),COLUMN(B45)-2)</f>
        <v>1.6150221999999999E-2</v>
      </c>
      <c r="C45">
        <v>1.1698037999999999E-2</v>
      </c>
    </row>
    <row r="46" spans="1:3" x14ac:dyDescent="0.2">
      <c r="A46" s="1" t="d">
        <v>2025-09-29</v>
      </c>
      <c r="B46">
        <f ca="1">OFFSET(daily_original_wrong!$B$23, 2*(ROW(B46)-ROW($B$23)),COLUMN(B46)-2)+OFFSET(daily_original_wrong!$B$23, 1+2*(ROW(B46)-ROW($B$23)),COLUMN(B46)-2)</f>
        <v>1.6150221999999999E-2</v>
      </c>
      <c r="C46">
        <v>1.1698037999999999E-2</v>
      </c>
    </row>
    <row r="47" spans="1:3" x14ac:dyDescent="0.2">
      <c r="A47" s="1" t="d">
        <v>2025-09-30</v>
      </c>
      <c r="B47">
        <f ca="1">OFFSET(daily_original_wrong!$B$23, 2*(ROW(B47)-ROW($B$23)),COLUMN(B47)-2)+OFFSET(daily_original_wrong!$B$23, 1+2*(ROW(B47)-ROW($B$23)),COLUMN(B47)-2)</f>
        <v>1.7124775000000002E-2</v>
      </c>
      <c r="C47">
        <v>1.1698037999999999E-2</v>
      </c>
    </row>
    <row r="48" spans="1:3" x14ac:dyDescent="0.2">
      <c r="A48" s="1" t="d">
        <v>2025-10-01</v>
      </c>
      <c r="B48">
        <f ca="1">OFFSET(daily_original_wrong!$B$23, 2*(ROW(B48)-ROW($B$23)),COLUMN(B48)-2)+OFFSET(daily_original_wrong!$B$23, 1+2*(ROW(B48)-ROW($B$23)),COLUMN(B48)-2)</f>
        <v>1.8099328000000001E-2</v>
      </c>
      <c r="C48">
        <v>1.1698037999999999E-2</v>
      </c>
    </row>
    <row r="49" spans="1:3" x14ac:dyDescent="0.2">
      <c r="A49" s="1" t="d">
        <v>2025-10-02</v>
      </c>
      <c r="B49">
        <f ca="1">OFFSET(daily_original_wrong!$B$23, 2*(ROW(B49)-ROW($B$23)),COLUMN(B49)-2)+OFFSET(daily_original_wrong!$B$23, 1+2*(ROW(B49)-ROW($B$23)),COLUMN(B49)-2)</f>
        <v>1.8099328000000001E-2</v>
      </c>
      <c r="C49">
        <v>1.1698037999999999E-2</v>
      </c>
    </row>
    <row r="50" spans="1:3" x14ac:dyDescent="0.2">
      <c r="A50" s="1" t="d">
        <v>2025-10-03</v>
      </c>
      <c r="B50">
        <f ca="1">OFFSET(daily_original_wrong!$B$23, 2*(ROW(B50)-ROW($B$23)),COLUMN(B50)-2)+OFFSET(daily_original_wrong!$B$23, 1+2*(ROW(B50)-ROW($B$23)),COLUMN(B50)-2)</f>
        <v>1.8099328000000001E-2</v>
      </c>
      <c r="C50">
        <v>1.1698037999999999E-2</v>
      </c>
    </row>
    <row r="51" spans="1:3" x14ac:dyDescent="0.2">
      <c r="A51" s="1" t="d">
        <v>2025-10-04</v>
      </c>
      <c r="B51">
        <f ca="1">OFFSET(daily_original_wrong!$B$23, 2*(ROW(B51)-ROW($B$23)),COLUMN(B51)-2)+OFFSET(daily_original_wrong!$B$23, 1+2*(ROW(B51)-ROW($B$23)),COLUMN(B51)-2)</f>
        <v>3.2739094000000003E-2</v>
      </c>
      <c r="C51">
        <v>6.6486219999999999E-3</v>
      </c>
    </row>
    <row r="52" spans="1:3" x14ac:dyDescent="0.2">
      <c r="A52" s="1" t="d">
        <v>2025-10-05</v>
      </c>
      <c r="B52">
        <f ca="1">OFFSET(daily_original_wrong!$B$23, 2*(ROW(B52)-ROW($B$23)),COLUMN(B52)-2)+OFFSET(daily_original_wrong!$B$23, 1+2*(ROW(B52)-ROW($B$23)),COLUMN(B52)-2)</f>
        <v>3.2739094000000003E-2</v>
      </c>
      <c r="C52">
        <v>6.6486219999999999E-3</v>
      </c>
    </row>
    <row r="53" spans="1:3" x14ac:dyDescent="0.2">
      <c r="A53" s="1" t="d">
        <v>2025-10-06</v>
      </c>
      <c r="B53">
        <f ca="1">OFFSET(daily_original_wrong!$B$23, 2*(ROW(B53)-ROW($B$23)),COLUMN(B53)-2)+OFFSET(daily_original_wrong!$B$23, 1+2*(ROW(B53)-ROW($B$23)),COLUMN(B53)-2)</f>
        <v>3.2739094000000003E-2</v>
      </c>
      <c r="C53">
        <v>6.6486219999999999E-3</v>
      </c>
    </row>
    <row r="54" spans="1:3" x14ac:dyDescent="0.2">
      <c r="A54" s="1" t="d">
        <v>2025-10-07</v>
      </c>
      <c r="B54">
        <f ca="1">OFFSET(daily_original_wrong!$B$23, 2*(ROW(B54)-ROW($B$23)),COLUMN(B54)-2)+OFFSET(daily_original_wrong!$B$23, 1+2*(ROW(B54)-ROW($B$23)),COLUMN(B54)-2)</f>
        <v>2.2712135000000001E-2</v>
      </c>
      <c r="C54">
        <v>6.6486219999999999E-3</v>
      </c>
    </row>
    <row r="55" spans="1:3" x14ac:dyDescent="0.2">
      <c r="A55" s="1" t="d">
        <v>2025-10-08</v>
      </c>
      <c r="B55">
        <f ca="1">OFFSET(daily_original_wrong!$B$23, 2*(ROW(B55)-ROW($B$23)),COLUMN(B55)-2)+OFFSET(daily_original_wrong!$B$23, 1+2*(ROW(B55)-ROW($B$23)),COLUMN(B55)-2)</f>
        <v>1.2685175999999999E-2</v>
      </c>
      <c r="C55">
        <v>6.6486219999999999E-3</v>
      </c>
    </row>
    <row r="56" spans="1:3" x14ac:dyDescent="0.2">
      <c r="A56" s="1" t="d">
        <v>2025-10-09</v>
      </c>
      <c r="B56">
        <f ca="1">OFFSET(daily_original_wrong!$B$23, 2*(ROW(B56)-ROW($B$23)),COLUMN(B56)-2)+OFFSET(daily_original_wrong!$B$23, 1+2*(ROW(B56)-ROW($B$23)),COLUMN(B56)-2)</f>
        <v>1.2685175999999999E-2</v>
      </c>
      <c r="C56">
        <v>6.6486219999999999E-3</v>
      </c>
    </row>
    <row r="57" spans="1:3" x14ac:dyDescent="0.2">
      <c r="A57" s="1" t="d">
        <v>2025-10-10</v>
      </c>
      <c r="B57">
        <f ca="1">OFFSET(daily_original_wrong!$B$23, 2*(ROW(B57)-ROW($B$23)),COLUMN(B57)-2)+OFFSET(daily_original_wrong!$B$23, 1+2*(ROW(B57)-ROW($B$23)),COLUMN(B57)-2)</f>
        <v>1.2685175999999999E-2</v>
      </c>
      <c r="C57">
        <v>6.6486219999999999E-3</v>
      </c>
    </row>
    <row r="58" spans="1:3" x14ac:dyDescent="0.2">
      <c r="A58" s="1" t="d">
        <v>2025-10-11</v>
      </c>
      <c r="B58">
        <f ca="1">OFFSET(daily_original_wrong!$B$23, 2*(ROW(B58)-ROW($B$23)),COLUMN(B58)-2)+OFFSET(daily_original_wrong!$B$23, 1+2*(ROW(B58)-ROW($B$23)),COLUMN(B58)-2)</f>
        <v>1.0192464E-2</v>
      </c>
      <c r="C58">
        <v>7.4500080000000002E-3</v>
      </c>
    </row>
    <row r="59" spans="1:3" x14ac:dyDescent="0.2">
      <c r="A59" s="1" t="d">
        <v>2025-10-12</v>
      </c>
      <c r="B59">
        <f ca="1">OFFSET(daily_original_wrong!$B$23, 2*(ROW(B59)-ROW($B$23)),COLUMN(B59)-2)+OFFSET(daily_original_wrong!$B$23, 1+2*(ROW(B59)-ROW($B$23)),COLUMN(B59)-2)</f>
        <v>1.0192464E-2</v>
      </c>
      <c r="C59">
        <v>7.4500080000000002E-3</v>
      </c>
    </row>
    <row r="60" spans="1:3" x14ac:dyDescent="0.2">
      <c r="A60" s="1" t="d">
        <v>2025-10-13</v>
      </c>
      <c r="B60">
        <f ca="1">OFFSET(daily_original_wrong!$B$23, 2*(ROW(B60)-ROW($B$23)),COLUMN(B60)-2)+OFFSET(daily_original_wrong!$B$23, 1+2*(ROW(B60)-ROW($B$23)),COLUMN(B60)-2)</f>
        <v>1.0192464E-2</v>
      </c>
      <c r="C60">
        <v>7.4500080000000002E-3</v>
      </c>
    </row>
    <row r="61" spans="1:3" x14ac:dyDescent="0.2">
      <c r="A61" s="1" t="d">
        <v>2025-10-14</v>
      </c>
      <c r="B61">
        <f ca="1">OFFSET(daily_original_wrong!$B$23, 2*(ROW(B61)-ROW($B$23)),COLUMN(B61)-2)+OFFSET(daily_original_wrong!$B$23, 1+2*(ROW(B61)-ROW($B$23)),COLUMN(B61)-2)</f>
        <v>9.2133570000000001E-3</v>
      </c>
      <c r="C61">
        <v>7.4500080000000002E-3</v>
      </c>
    </row>
    <row r="62" spans="1:3" x14ac:dyDescent="0.2">
      <c r="A62" s="1" t="d">
        <v>2025-10-15</v>
      </c>
      <c r="B62">
        <f ca="1">OFFSET(daily_original_wrong!$B$23, 2*(ROW(B62)-ROW($B$23)),COLUMN(B62)-2)+OFFSET(daily_original_wrong!$B$23, 1+2*(ROW(B62)-ROW($B$23)),COLUMN(B62)-2)</f>
        <v>8.2342500000000002E-3</v>
      </c>
      <c r="C62">
        <v>7.4500080000000002E-3</v>
      </c>
    </row>
    <row r="63" spans="1:3" x14ac:dyDescent="0.2">
      <c r="A63" s="1" t="d">
        <v>2025-10-16</v>
      </c>
      <c r="B63">
        <f ca="1">OFFSET(daily_original_wrong!$B$23, 2*(ROW(B63)-ROW($B$23)),COLUMN(B63)-2)+OFFSET(daily_original_wrong!$B$23, 1+2*(ROW(B63)-ROW($B$23)),COLUMN(B63)-2)</f>
        <v>8.2342500000000002E-3</v>
      </c>
      <c r="C63">
        <v>7.4500080000000002E-3</v>
      </c>
    </row>
    <row r="64" spans="1:3" x14ac:dyDescent="0.2">
      <c r="A64" s="1" t="d">
        <v>2025-10-17</v>
      </c>
      <c r="B64">
        <f ca="1">OFFSET(daily_original_wrong!$B$23, 2*(ROW(B64)-ROW($B$23)),COLUMN(B64)-2)+OFFSET(daily_original_wrong!$B$23, 1+2*(ROW(B64)-ROW($B$23)),COLUMN(B64)-2)</f>
        <v>8.2342500000000002E-3</v>
      </c>
      <c r="C64">
        <v>7.4500080000000002E-3</v>
      </c>
    </row>
    <row r="65" spans="1:3" x14ac:dyDescent="0.2">
      <c r="A65" s="1" t="d">
        <v>2025-10-18</v>
      </c>
      <c r="B65">
        <f ca="1">OFFSET(daily_original_wrong!$B$23, 2*(ROW(B65)-ROW($B$23)),COLUMN(B65)-2)+OFFSET(daily_original_wrong!$B$23, 1+2*(ROW(B65)-ROW($B$23)),COLUMN(B65)-2)</f>
        <v>1.4890202E-2</v>
      </c>
      <c r="C65">
        <v>8.0751109999999994E-3</v>
      </c>
    </row>
    <row r="66" spans="1:3" x14ac:dyDescent="0.2">
      <c r="A66" s="1" t="d">
        <v>2025-10-19</v>
      </c>
      <c r="B66">
        <f ca="1">OFFSET(daily_original_wrong!$B$23, 2*(ROW(B66)-ROW($B$23)),COLUMN(B66)-2)+OFFSET(daily_original_wrong!$B$23, 1+2*(ROW(B66)-ROW($B$23)),COLUMN(B66)-2)</f>
        <v>1.4890202E-2</v>
      </c>
      <c r="C66">
        <v>8.0751109999999994E-3</v>
      </c>
    </row>
    <row r="67" spans="1:3" x14ac:dyDescent="0.2">
      <c r="A67" s="1" t="d">
        <v>2025-10-20</v>
      </c>
      <c r="B67">
        <f ca="1">OFFSET(daily_original_wrong!$B$23, 2*(ROW(B67)-ROW($B$23)),COLUMN(B67)-2)+OFFSET(daily_original_wrong!$B$23, 1+2*(ROW(B67)-ROW($B$23)),COLUMN(B67)-2)</f>
        <v>1.4890202E-2</v>
      </c>
      <c r="C67">
        <v>8.0751109999999994E-3</v>
      </c>
    </row>
    <row r="68" spans="1:3" x14ac:dyDescent="0.2">
      <c r="A68" s="1" t="d">
        <v>2025-10-21</v>
      </c>
      <c r="B68">
        <f ca="1">OFFSET(daily_original_wrong!$B$23, 2*(ROW(B68)-ROW($B$23)),COLUMN(B68)-2)+OFFSET(daily_original_wrong!$B$23, 1+2*(ROW(B68)-ROW($B$23)),COLUMN(B68)-2)</f>
        <v>1.0680299000000001E-2</v>
      </c>
      <c r="C68">
        <v>8.0751109999999994E-3</v>
      </c>
    </row>
    <row r="69" spans="1:3" x14ac:dyDescent="0.2">
      <c r="A69" s="1" t="d">
        <v>2025-10-22</v>
      </c>
      <c r="B69">
        <f ca="1">OFFSET(daily_original_wrong!$B$23, 2*(ROW(B69)-ROW($B$23)),COLUMN(B69)-2)+OFFSET(daily_original_wrong!$B$23, 1+2*(ROW(B69)-ROW($B$23)),COLUMN(B69)-2)</f>
        <v>6.4703959999999998E-3</v>
      </c>
      <c r="C69">
        <v>8.0751109999999994E-3</v>
      </c>
    </row>
    <row r="70" spans="1:3" x14ac:dyDescent="0.2">
      <c r="A70" s="1" t="d">
        <v>2025-10-23</v>
      </c>
      <c r="B70">
        <f ca="1">OFFSET(daily_original_wrong!$B$23, 2*(ROW(B70)-ROW($B$23)),COLUMN(B70)-2)+OFFSET(daily_original_wrong!$B$23, 1+2*(ROW(B70)-ROW($B$23)),COLUMN(B70)-2)</f>
        <v>6.4703959999999998E-3</v>
      </c>
      <c r="C70">
        <v>8.0751109999999994E-3</v>
      </c>
    </row>
    <row r="71" spans="1:3" x14ac:dyDescent="0.2">
      <c r="A71" s="1" t="d">
        <v>2025-10-24</v>
      </c>
      <c r="B71">
        <f ca="1">OFFSET(daily_original_wrong!$B$23, 2*(ROW(B71)-ROW($B$23)),COLUMN(B71)-2)+OFFSET(daily_original_wrong!$B$23, 1+2*(ROW(B71)-ROW($B$23)),COLUMN(B71)-2)</f>
        <v>6.4703959999999998E-3</v>
      </c>
      <c r="C71">
        <v>8.0751109999999994E-3</v>
      </c>
    </row>
    <row r="72" spans="1:3" x14ac:dyDescent="0.2">
      <c r="A72" s="1" t="d">
        <v>2025-10-25</v>
      </c>
      <c r="B72">
        <f ca="1">OFFSET(daily_original_wrong!$B$23, 2*(ROW(B72)-ROW($B$23)),COLUMN(B72)-2)+OFFSET(daily_original_wrong!$B$23, 1+2*(ROW(B72)-ROW($B$23)),COLUMN(B72)-2)</f>
        <v>5.926822E-3</v>
      </c>
      <c r="C72">
        <v>9.0496640000000007E-3</v>
      </c>
    </row>
    <row r="73" spans="1:3" x14ac:dyDescent="0.2">
      <c r="A73" s="1" t="d">
        <v>2025-10-26</v>
      </c>
      <c r="B73">
        <f ca="1">OFFSET(daily_original_wrong!$B$23, 2*(ROW(B73)-ROW($B$23)),COLUMN(B73)-2)+OFFSET(daily_original_wrong!$B$23, 1+2*(ROW(B73)-ROW($B$23)),COLUMN(B73)-2)</f>
        <v>5.926822E-3</v>
      </c>
      <c r="C73">
        <v>9.0496640000000007E-3</v>
      </c>
    </row>
    <row r="74" spans="1:3" x14ac:dyDescent="0.2">
      <c r="A74" s="1" t="d">
        <v>2025-10-27</v>
      </c>
      <c r="B74">
        <f ca="1">OFFSET(daily_original_wrong!$B$23, 2*(ROW(B74)-ROW($B$23)),COLUMN(B74)-2)+OFFSET(daily_original_wrong!$B$23, 1+2*(ROW(B74)-ROW($B$23)),COLUMN(B74)-2)</f>
        <v>5.926822E-3</v>
      </c>
      <c r="C74">
        <v>9.0496640000000007E-3</v>
      </c>
    </row>
    <row r="75" spans="1:3" x14ac:dyDescent="0.2">
      <c r="A75" s="1" t="d">
        <v>2025-10-28</v>
      </c>
      <c r="B75">
        <f ca="1">OFFSET(daily_original_wrong!$B$23, 2*(ROW(B75)-ROW($B$23)),COLUMN(B75)-2)+OFFSET(daily_original_wrong!$B$23, 1+2*(ROW(B75)-ROW($B$23)),COLUMN(B75)-2)</f>
        <v>5.6660189999999996E-3</v>
      </c>
      <c r="C75">
        <v>9.0496640000000007E-3</v>
      </c>
    </row>
    <row r="76" spans="1:3" x14ac:dyDescent="0.2">
      <c r="A76" s="1" t="d">
        <v>2025-10-29</v>
      </c>
      <c r="B76">
        <f ca="1">OFFSET(daily_original_wrong!$B$23, 2*(ROW(B76)-ROW($B$23)),COLUMN(B76)-2)+OFFSET(daily_original_wrong!$B$23, 1+2*(ROW(B76)-ROW($B$23)),COLUMN(B76)-2)</f>
        <v>5.405216E-3</v>
      </c>
      <c r="C76">
        <v>9.0496640000000007E-3</v>
      </c>
    </row>
    <row r="77" spans="1:3" x14ac:dyDescent="0.2">
      <c r="A77" s="1" t="d">
        <v>2025-10-30</v>
      </c>
      <c r="B77">
        <f ca="1">OFFSET(daily_original_wrong!$B$23, 2*(ROW(B77)-ROW($B$23)),COLUMN(B77)-2)+OFFSET(daily_original_wrong!$B$23, 1+2*(ROW(B77)-ROW($B$23)),COLUMN(B77)-2)</f>
        <v>5.405216E-3</v>
      </c>
      <c r="C77">
        <v>9.0496640000000007E-3</v>
      </c>
    </row>
    <row r="78" spans="1:3" x14ac:dyDescent="0.2">
      <c r="A78" s="1" t="d">
        <v>2025-10-31</v>
      </c>
      <c r="B78">
        <f ca="1">OFFSET(daily_original_wrong!$B$23, 2*(ROW(B78)-ROW($B$23)),COLUMN(B78)-2)+OFFSET(daily_original_wrong!$B$23, 1+2*(ROW(B78)-ROW($B$23)),COLUMN(B78)-2)</f>
        <v>5.405216E-3</v>
      </c>
      <c r="C78">
        <v>9.0496640000000007E-3</v>
      </c>
    </row>
    <row r="79" spans="1:3" x14ac:dyDescent="0.2">
      <c r="A79" s="1" t="d">
        <v>2025-11-01</v>
      </c>
      <c r="B79">
        <f ca="1">OFFSET(daily_original_wrong!$B$23, 2*(ROW(B79)-ROW($B$23)),COLUMN(B79)-2)+OFFSET(daily_original_wrong!$B$23, 1+2*(ROW(B79)-ROW($B$23)),COLUMN(B79)-2)</f>
        <v>5.8147099999999998E-3</v>
      </c>
      <c r="C79">
        <v>1.6369547000000002E-2</v>
      </c>
    </row>
    <row r="80" spans="1:3" x14ac:dyDescent="0.2">
      <c r="A80" s="1" t="d">
        <v>2025-11-02</v>
      </c>
      <c r="B80">
        <f ca="1">OFFSET(daily_original_wrong!$B$23, 2*(ROW(B80)-ROW($B$23)),COLUMN(B80)-2)+OFFSET(daily_original_wrong!$B$23, 1+2*(ROW(B80)-ROW($B$23)),COLUMN(B80)-2)</f>
        <v>5.8147099999999998E-3</v>
      </c>
      <c r="C80">
        <v>1.6369547000000002E-2</v>
      </c>
    </row>
    <row r="81" spans="1:3" x14ac:dyDescent="0.2">
      <c r="A81" s="1" t="d">
        <v>2025-11-03</v>
      </c>
      <c r="B81">
        <f ca="1">OFFSET(daily_original_wrong!$B$23, 2*(ROW(B81)-ROW($B$23)),COLUMN(B81)-2)+OFFSET(daily_original_wrong!$B$23, 1+2*(ROW(B81)-ROW($B$23)),COLUMN(B81)-2)</f>
        <v>5.8147099999999998E-3</v>
      </c>
      <c r="C81">
        <v>1.6369547000000002E-2</v>
      </c>
    </row>
    <row r="82" spans="1:3" x14ac:dyDescent="0.2">
      <c r="A82" s="1" t="d">
        <v>2025-11-04</v>
      </c>
      <c r="B82">
        <f ca="1">OFFSET(daily_original_wrong!$B$23, 2*(ROW(B82)-ROW($B$23)),COLUMN(B82)-2)+OFFSET(daily_original_wrong!$B$23, 1+2*(ROW(B82)-ROW($B$23)),COLUMN(B82)-2)</f>
        <v>7.3955959999999991E-3</v>
      </c>
      <c r="C82">
        <v>1.6369547000000002E-2</v>
      </c>
    </row>
    <row r="83" spans="1:3" x14ac:dyDescent="0.2">
      <c r="A83" s="1" t="d">
        <v>2025-11-05</v>
      </c>
      <c r="B83">
        <f ca="1">OFFSET(daily_original_wrong!$B$23, 2*(ROW(B83)-ROW($B$23)),COLUMN(B83)-2)+OFFSET(daily_original_wrong!$B$23, 1+2*(ROW(B83)-ROW($B$23)),COLUMN(B83)-2)</f>
        <v>8.9764819999999992E-3</v>
      </c>
      <c r="C83">
        <v>1.6369547000000002E-2</v>
      </c>
    </row>
    <row r="84" spans="1:3" x14ac:dyDescent="0.2">
      <c r="A84" s="1" t="d">
        <v>2025-11-06</v>
      </c>
      <c r="B84">
        <f ca="1">OFFSET(daily_original_wrong!$B$23, 2*(ROW(B84)-ROW($B$23)),COLUMN(B84)-2)+OFFSET(daily_original_wrong!$B$23, 1+2*(ROW(B84)-ROW($B$23)),COLUMN(B84)-2)</f>
        <v>8.9764819999999992E-3</v>
      </c>
      <c r="C84">
        <v>1.6369547000000002E-2</v>
      </c>
    </row>
    <row r="85" spans="1:3" x14ac:dyDescent="0.2">
      <c r="A85" s="1" t="d">
        <v>2025-11-07</v>
      </c>
      <c r="B85">
        <f ca="1">OFFSET(daily_original_wrong!$B$23, 2*(ROW(B85)-ROW($B$23)),COLUMN(B85)-2)+OFFSET(daily_original_wrong!$B$23, 1+2*(ROW(B85)-ROW($B$23)),COLUMN(B85)-2)</f>
        <v>8.9764819999999992E-3</v>
      </c>
      <c r="C85">
        <v>1.6369547000000002E-2</v>
      </c>
    </row>
    <row r="86" spans="1:3" x14ac:dyDescent="0.2">
      <c r="A86" s="1" t="d">
        <v>2025-11-08</v>
      </c>
      <c r="B86">
        <f ca="1">OFFSET(daily_original_wrong!$B$23, 2*(ROW(B86)-ROW($B$23)),COLUMN(B86)-2)+OFFSET(daily_original_wrong!$B$23, 1+2*(ROW(B86)-ROW($B$23)),COLUMN(B86)-2)</f>
        <v>3.0685E-3</v>
      </c>
      <c r="C86">
        <v>6.3425879999999997E-3</v>
      </c>
    </row>
    <row r="87" spans="1:3" x14ac:dyDescent="0.2">
      <c r="A87" s="1" t="d">
        <v>2025-11-09</v>
      </c>
      <c r="B87">
        <f ca="1">OFFSET(daily_original_wrong!$B$23, 2*(ROW(B87)-ROW($B$23)),COLUMN(B87)-2)+OFFSET(daily_original_wrong!$B$23, 1+2*(ROW(B87)-ROW($B$23)),COLUMN(B87)-2)</f>
        <v>3.0685E-3</v>
      </c>
      <c r="C87">
        <v>6.3425879999999997E-3</v>
      </c>
    </row>
    <row r="88" spans="1:3" x14ac:dyDescent="0.2">
      <c r="A88" s="1" t="d">
        <v>2025-11-10</v>
      </c>
      <c r="B88">
        <f ca="1">OFFSET(daily_original_wrong!$B$23, 2*(ROW(B88)-ROW($B$23)),COLUMN(B88)-2)+OFFSET(daily_original_wrong!$B$23, 1+2*(ROW(B88)-ROW($B$23)),COLUMN(B88)-2)</f>
        <v>3.0685E-3</v>
      </c>
      <c r="C88">
        <v>6.3425879999999997E-3</v>
      </c>
    </row>
    <row r="89" spans="1:3" x14ac:dyDescent="0.2">
      <c r="A89" s="1" t="d">
        <v>2025-11-11</v>
      </c>
      <c r="B89">
        <f ca="1">OFFSET(daily_original_wrong!$B$23, 2*(ROW(B89)-ROW($B$23)),COLUMN(B89)-2)+OFFSET(daily_original_wrong!$B$23, 1+2*(ROW(B89)-ROW($B$23)),COLUMN(B89)-2)</f>
        <v>2.7166539999999998E-3</v>
      </c>
      <c r="C89">
        <v>6.3425879999999997E-3</v>
      </c>
    </row>
    <row r="90" spans="1:3" x14ac:dyDescent="0.2">
      <c r="A90" s="1" t="d">
        <v>2025-11-12</v>
      </c>
      <c r="B90">
        <f ca="1">OFFSET(daily_original_wrong!$B$23, 2*(ROW(B90)-ROW($B$23)),COLUMN(B90)-2)+OFFSET(daily_original_wrong!$B$23, 1+2*(ROW(B90)-ROW($B$23)),COLUMN(B90)-2)</f>
        <v>2.3648079999999999E-3</v>
      </c>
      <c r="C90">
        <v>6.3425879999999997E-3</v>
      </c>
    </row>
    <row r="91" spans="1:3" x14ac:dyDescent="0.2">
      <c r="A91" s="1" t="d">
        <v>2025-11-13</v>
      </c>
      <c r="B91">
        <f ca="1">OFFSET(daily_original_wrong!$B$23, 2*(ROW(B91)-ROW($B$23)),COLUMN(B91)-2)+OFFSET(daily_original_wrong!$B$23, 1+2*(ROW(B91)-ROW($B$23)),COLUMN(B91)-2)</f>
        <v>2.3648079999999999E-3</v>
      </c>
      <c r="C91">
        <v>6.3425879999999997E-3</v>
      </c>
    </row>
    <row r="92" spans="1:3" x14ac:dyDescent="0.2">
      <c r="A92" s="1" t="d">
        <v>2025-11-14</v>
      </c>
      <c r="B92">
        <f ca="1">OFFSET(daily_original_wrong!$B$23, 2*(ROW(B92)-ROW($B$23)),COLUMN(B92)-2)+OFFSET(daily_original_wrong!$B$23, 1+2*(ROW(B92)-ROW($B$23)),COLUMN(B92)-2)</f>
        <v>2.3648079999999999E-3</v>
      </c>
      <c r="C92">
        <v>6.3425879999999997E-3</v>
      </c>
    </row>
    <row r="93" spans="1:3" x14ac:dyDescent="0.2">
      <c r="A93" s="1" t="d">
        <v>2025-11-15</v>
      </c>
      <c r="B93">
        <f ca="1">OFFSET(daily_original_wrong!$B$23, 2*(ROW(B93)-ROW($B$23)),COLUMN(B93)-2)+OFFSET(daily_original_wrong!$B$23, 1+2*(ROW(B93)-ROW($B$23)),COLUMN(B93)-2)</f>
        <v>1.66277E-3</v>
      </c>
      <c r="C93">
        <v>5.096232E-3</v>
      </c>
    </row>
    <row r="94" spans="1:3" x14ac:dyDescent="0.2">
      <c r="A94" s="1" t="d">
        <v>2025-11-16</v>
      </c>
      <c r="B94">
        <f ca="1">OFFSET(daily_original_wrong!$B$23, 2*(ROW(B94)-ROW($B$23)),COLUMN(B94)-2)+OFFSET(daily_original_wrong!$B$23, 1+2*(ROW(B94)-ROW($B$23)),COLUMN(B94)-2)</f>
        <v>1.66277E-3</v>
      </c>
      <c r="C94">
        <v>5.096232E-3</v>
      </c>
    </row>
    <row r="95" spans="1:3" x14ac:dyDescent="0.2">
      <c r="A95" s="1" t="d">
        <v>2025-11-17</v>
      </c>
      <c r="B95">
        <f ca="1">OFFSET(daily_original_wrong!$B$23, 2*(ROW(B95)-ROW($B$23)),COLUMN(B95)-2)+OFFSET(daily_original_wrong!$B$23, 1+2*(ROW(B95)-ROW($B$23)),COLUMN(B95)-2)</f>
        <v>1.66277E-3</v>
      </c>
      <c r="C95">
        <v>5.096232E-3</v>
      </c>
    </row>
    <row r="96" spans="1:3" x14ac:dyDescent="0.2">
      <c r="A96" s="1" t="d">
        <v>2025-11-18</v>
      </c>
      <c r="B96">
        <f ca="1">OFFSET(daily_original_wrong!$B$23, 2*(ROW(B96)-ROW($B$23)),COLUMN(B96)-2)+OFFSET(daily_original_wrong!$B$23, 1+2*(ROW(B96)-ROW($B$23)),COLUMN(B96)-2)</f>
        <v>2.7967109999999999E-3</v>
      </c>
      <c r="C96">
        <v>5.096232E-3</v>
      </c>
    </row>
    <row r="97" spans="1:3" x14ac:dyDescent="0.2">
      <c r="A97" s="1" t="d">
        <v>2025-11-19</v>
      </c>
      <c r="B97">
        <f ca="1">OFFSET(daily_original_wrong!$B$23, 2*(ROW(B97)-ROW($B$23)),COLUMN(B97)-2)+OFFSET(daily_original_wrong!$B$23, 1+2*(ROW(B97)-ROW($B$23)),COLUMN(B97)-2)</f>
        <v>3.9306519999999998E-3</v>
      </c>
      <c r="C97">
        <v>5.096232E-3</v>
      </c>
    </row>
    <row r="98" spans="1:3" x14ac:dyDescent="0.2">
      <c r="A98" s="1" t="d">
        <v>2025-11-20</v>
      </c>
      <c r="B98">
        <f ca="1">OFFSET(daily_original_wrong!$B$23, 2*(ROW(B98)-ROW($B$23)),COLUMN(B98)-2)+OFFSET(daily_original_wrong!$B$23, 1+2*(ROW(B98)-ROW($B$23)),COLUMN(B98)-2)</f>
        <v>3.9306519999999998E-3</v>
      </c>
      <c r="C98">
        <v>5.096232E-3</v>
      </c>
    </row>
    <row r="99" spans="1:3" x14ac:dyDescent="0.2">
      <c r="A99" s="1" t="d">
        <v>2025-11-21</v>
      </c>
      <c r="B99">
        <f ca="1">OFFSET(daily_original_wrong!$B$23, 2*(ROW(B99)-ROW($B$23)),COLUMN(B99)-2)+OFFSET(daily_original_wrong!$B$23, 1+2*(ROW(B99)-ROW($B$23)),COLUMN(B99)-2)</f>
        <v>3.9306519999999998E-3</v>
      </c>
      <c r="C99">
        <v>5.096232E-3</v>
      </c>
    </row>
    <row r="100" spans="1:3" x14ac:dyDescent="0.2">
      <c r="A100" s="1" t="d">
        <v>2025-11-22</v>
      </c>
      <c r="B100">
        <f ca="1">OFFSET(daily_original_wrong!$B$23, 2*(ROW(B100)-ROW($B$23)),COLUMN(B100)-2)+OFFSET(daily_original_wrong!$B$23, 1+2*(ROW(B100)-ROW($B$23)),COLUMN(B100)-2)</f>
        <v>2.280678E-3</v>
      </c>
      <c r="C100">
        <v>4.1171250000000001E-3</v>
      </c>
    </row>
    <row r="101" spans="1:3" x14ac:dyDescent="0.2">
      <c r="A101" s="1" t="d">
        <v>2025-11-23</v>
      </c>
      <c r="B101">
        <f ca="1">OFFSET(daily_original_wrong!$B$23, 2*(ROW(B101)-ROW($B$23)),COLUMN(B101)-2)+OFFSET(daily_original_wrong!$B$23, 1+2*(ROW(B101)-ROW($B$23)),COLUMN(B101)-2)</f>
        <v>2.280678E-3</v>
      </c>
      <c r="C101">
        <v>4.1171250000000001E-3</v>
      </c>
    </row>
    <row r="102" spans="1:3" x14ac:dyDescent="0.2">
      <c r="A102" s="1" t="d">
        <v>2025-11-24</v>
      </c>
      <c r="B102">
        <f ca="1">OFFSET(daily_original_wrong!$B$23, 2*(ROW(B102)-ROW($B$23)),COLUMN(B102)-2)+OFFSET(daily_original_wrong!$B$23, 1+2*(ROW(B102)-ROW($B$23)),COLUMN(B102)-2)</f>
        <v>2.280678E-3</v>
      </c>
      <c r="C102">
        <v>4.1171250000000001E-3</v>
      </c>
    </row>
    <row r="103" spans="1:3" x14ac:dyDescent="0.2">
      <c r="A103" s="1" t="d">
        <v>2025-11-25</v>
      </c>
      <c r="B103">
        <f ca="1">OFFSET(daily_original_wrong!$B$23, 2*(ROW(B103)-ROW($B$23)),COLUMN(B103)-2)+OFFSET(daily_original_wrong!$B$23, 1+2*(ROW(B103)-ROW($B$23)),COLUMN(B103)-2)</f>
        <v>2.4716989999999999E-3</v>
      </c>
      <c r="C103">
        <v>4.1171250000000001E-3</v>
      </c>
    </row>
    <row r="104" spans="1:3" x14ac:dyDescent="0.2">
      <c r="A104" s="1" t="d">
        <v>2025-11-26</v>
      </c>
      <c r="B104">
        <f ca="1">OFFSET(daily_original_wrong!$B$23, 2*(ROW(B104)-ROW($B$23)),COLUMN(B104)-2)+OFFSET(daily_original_wrong!$B$23, 1+2*(ROW(B104)-ROW($B$23)),COLUMN(B104)-2)</f>
        <v>2.6627199999999999E-3</v>
      </c>
      <c r="C104">
        <v>4.1171250000000001E-3</v>
      </c>
    </row>
    <row r="105" spans="1:3" x14ac:dyDescent="0.2">
      <c r="A105" s="1" t="d">
        <v>2025-11-27</v>
      </c>
      <c r="B105">
        <f ca="1">OFFSET(daily_original_wrong!$B$23, 2*(ROW(B105)-ROW($B$23)),COLUMN(B105)-2)+OFFSET(daily_original_wrong!$B$23, 1+2*(ROW(B105)-ROW($B$23)),COLUMN(B105)-2)</f>
        <v>2.6627199999999999E-3</v>
      </c>
      <c r="C105">
        <v>4.1171250000000001E-3</v>
      </c>
    </row>
    <row r="106" spans="1:3" x14ac:dyDescent="0.2">
      <c r="A106" s="1" t="d">
        <v>2025-11-28</v>
      </c>
      <c r="B106">
        <f ca="1">OFFSET(daily_original_wrong!$B$23, 2*(ROW(B106)-ROW($B$23)),COLUMN(B106)-2)+OFFSET(daily_original_wrong!$B$23, 1+2*(ROW(B106)-ROW($B$23)),COLUMN(B106)-2)</f>
        <v>2.6627199999999999E-3</v>
      </c>
      <c r="C106">
        <v>4.1171250000000001E-3</v>
      </c>
    </row>
    <row r="107" spans="1:3" x14ac:dyDescent="0.2">
      <c r="A107" s="1" t="d">
        <v>2025-11-29</v>
      </c>
      <c r="B107">
        <f ca="1">OFFSET(daily_original_wrong!$B$23, 2*(ROW(B107)-ROW($B$23)),COLUMN(B107)-2)+OFFSET(daily_original_wrong!$B$23, 1+2*(ROW(B107)-ROW($B$23)),COLUMN(B107)-2)</f>
        <v>2.8438479999999999E-3</v>
      </c>
      <c r="C107">
        <v>7.445101E-3</v>
      </c>
    </row>
    <row r="108" spans="1:3" x14ac:dyDescent="0.2">
      <c r="A108" s="1" t="d">
        <v>2025-11-30</v>
      </c>
      <c r="B108">
        <f ca="1">OFFSET(daily_original_wrong!$B$23, 2*(ROW(B108)-ROW($B$23)),COLUMN(B108)-2)+OFFSET(daily_original_wrong!$B$23, 1+2*(ROW(B108)-ROW($B$23)),COLUMN(B108)-2)</f>
        <v>2.8438479999999999E-3</v>
      </c>
      <c r="C108">
        <v>7.445101E-3</v>
      </c>
    </row>
    <row r="109" spans="1:3" x14ac:dyDescent="0.2">
      <c r="A109" s="1" t="d">
        <v>2025-12-01</v>
      </c>
      <c r="B109">
        <f ca="1">OFFSET(daily_original_wrong!$B$23, 2*(ROW(B109)-ROW($B$23)),COLUMN(B109)-2)+OFFSET(daily_original_wrong!$B$23, 1+2*(ROW(B109)-ROW($B$23)),COLUMN(B109)-2)</f>
        <v>2.8438479999999999E-3</v>
      </c>
      <c r="C109">
        <v>7.445101E-3</v>
      </c>
    </row>
    <row r="110" spans="1:3" x14ac:dyDescent="0.2">
      <c r="A110" s="1" t="d">
        <v>2025-12-02</v>
      </c>
      <c r="B110">
        <f ca="1">OFFSET(daily_original_wrong!$B$23, 2*(ROW(B110)-ROW($B$23)),COLUMN(B110)-2)+OFFSET(daily_original_wrong!$B$23, 1+2*(ROW(B110)-ROW($B$23)),COLUMN(B110)-2)</f>
        <v>4.071458E-3</v>
      </c>
      <c r="C110">
        <v>7.445101E-3</v>
      </c>
    </row>
    <row r="111" spans="1:3" x14ac:dyDescent="0.2">
      <c r="A111" s="1" t="d">
        <v>2025-12-03</v>
      </c>
      <c r="B111">
        <f ca="1">OFFSET(daily_original_wrong!$B$23, 2*(ROW(B111)-ROW($B$23)),COLUMN(B111)-2)+OFFSET(daily_original_wrong!$B$23, 1+2*(ROW(B111)-ROW($B$23)),COLUMN(B111)-2)</f>
        <v>5.2990679999999997E-3</v>
      </c>
      <c r="C111">
        <v>7.445101E-3</v>
      </c>
    </row>
    <row r="112" spans="1:3" x14ac:dyDescent="0.2">
      <c r="A112" s="1" t="d">
        <v>2025-12-04</v>
      </c>
      <c r="B112">
        <f ca="1">OFFSET(daily_original_wrong!$B$23, 2*(ROW(B112)-ROW($B$23)),COLUMN(B112)-2)+OFFSET(daily_original_wrong!$B$23, 1+2*(ROW(B112)-ROW($B$23)),COLUMN(B112)-2)</f>
        <v>5.2990679999999997E-3</v>
      </c>
      <c r="C112">
        <v>7.445101E-3</v>
      </c>
    </row>
    <row r="113" spans="1:3" x14ac:dyDescent="0.2">
      <c r="A113" s="1" t="d">
        <v>2025-12-05</v>
      </c>
      <c r="B113">
        <f ca="1">OFFSET(daily_original_wrong!$B$23, 2*(ROW(B113)-ROW($B$23)),COLUMN(B113)-2)+OFFSET(daily_original_wrong!$B$23, 1+2*(ROW(B113)-ROW($B$23)),COLUMN(B113)-2)</f>
        <v>5.2990679999999997E-3</v>
      </c>
      <c r="C113">
        <v>7.445101E-3</v>
      </c>
    </row>
    <row r="114" spans="1:3" x14ac:dyDescent="0.2">
      <c r="A114" s="1" t="d">
        <v>2025-12-06</v>
      </c>
      <c r="B114">
        <f ca="1">OFFSET(daily_original_wrong!$B$23, 2*(ROW(B114)-ROW($B$23)),COLUMN(B114)-2)+OFFSET(daily_original_wrong!$B$23, 1+2*(ROW(B114)-ROW($B$23)),COLUMN(B114)-2)</f>
        <v>2.0545820000000001E-3</v>
      </c>
      <c r="C114">
        <v>3.2351979999999999E-3</v>
      </c>
    </row>
    <row r="115" spans="1:3" x14ac:dyDescent="0.2">
      <c r="A115" s="1" t="d">
        <v>2025-12-07</v>
      </c>
      <c r="B115">
        <f ca="1">OFFSET(daily_original_wrong!$B$23, 2*(ROW(B115)-ROW($B$23)),COLUMN(B115)-2)+OFFSET(daily_original_wrong!$B$23, 1+2*(ROW(B115)-ROW($B$23)),COLUMN(B115)-2)</f>
        <v>2.0545820000000001E-3</v>
      </c>
      <c r="C115">
        <v>3.2351979999999999E-3</v>
      </c>
    </row>
    <row r="116" spans="1:3" x14ac:dyDescent="0.2">
      <c r="A116" s="1" t="d">
        <v>2025-12-08</v>
      </c>
      <c r="B116">
        <f ca="1">OFFSET(daily_original_wrong!$B$23, 2*(ROW(B116)-ROW($B$23)),COLUMN(B116)-2)+OFFSET(daily_original_wrong!$B$23, 1+2*(ROW(B116)-ROW($B$23)),COLUMN(B116)-2)</f>
        <v>2.0545820000000001E-3</v>
      </c>
      <c r="C116">
        <v>3.2351979999999999E-3</v>
      </c>
    </row>
    <row r="117" spans="1:3" x14ac:dyDescent="0.2">
      <c r="A117" s="1" t="d">
        <v>2025-12-09</v>
      </c>
      <c r="B117">
        <f ca="1">OFFSET(daily_original_wrong!$B$23, 2*(ROW(B117)-ROW($B$23)),COLUMN(B117)-2)+OFFSET(daily_original_wrong!$B$23, 1+2*(ROW(B117)-ROW($B$23)),COLUMN(B117)-2)</f>
        <v>1.7569700000000001E-3</v>
      </c>
      <c r="C117">
        <v>3.2351979999999999E-3</v>
      </c>
    </row>
    <row r="118" spans="1:3" x14ac:dyDescent="0.2">
      <c r="A118" s="1" t="d">
        <v>2025-12-10</v>
      </c>
      <c r="B118">
        <f ca="1">OFFSET(daily_original_wrong!$B$23, 2*(ROW(B118)-ROW($B$23)),COLUMN(B118)-2)+OFFSET(daily_original_wrong!$B$23, 1+2*(ROW(B118)-ROW($B$23)),COLUMN(B118)-2)</f>
        <v>1.459358E-3</v>
      </c>
      <c r="C118">
        <v>3.2351979999999999E-3</v>
      </c>
    </row>
    <row r="119" spans="1:3" x14ac:dyDescent="0.2">
      <c r="A119" s="1" t="d">
        <v>2025-12-11</v>
      </c>
      <c r="B119">
        <f ca="1">OFFSET(daily_original_wrong!$B$23, 2*(ROW(B119)-ROW($B$23)),COLUMN(B119)-2)+OFFSET(daily_original_wrong!$B$23, 1+2*(ROW(B119)-ROW($B$23)),COLUMN(B119)-2)</f>
        <v>1.459358E-3</v>
      </c>
      <c r="C119">
        <v>3.2351979999999999E-3</v>
      </c>
    </row>
    <row r="120" spans="1:3" x14ac:dyDescent="0.2">
      <c r="A120" s="1" t="d">
        <v>2025-12-12</v>
      </c>
      <c r="B120">
        <f ca="1">OFFSET(daily_original_wrong!$B$23, 2*(ROW(B120)-ROW($B$23)),COLUMN(B120)-2)+OFFSET(daily_original_wrong!$B$23, 1+2*(ROW(B120)-ROW($B$23)),COLUMN(B120)-2)</f>
        <v>1.459358E-3</v>
      </c>
      <c r="C120">
        <v>3.2351979999999999E-3</v>
      </c>
    </row>
    <row r="121" spans="1:3" x14ac:dyDescent="0.2">
      <c r="A121" s="1" t="d">
        <v>2025-12-13</v>
      </c>
      <c r="B121">
        <f ca="1">OFFSET(daily_original_wrong!$B$23, 2*(ROW(B121)-ROW($B$23)),COLUMN(B121)-2)+OFFSET(daily_original_wrong!$B$23, 1+2*(ROW(B121)-ROW($B$23)),COLUMN(B121)-2)</f>
        <v>9.5626999999999995E-4</v>
      </c>
      <c r="C121">
        <v>2.963411E-3</v>
      </c>
    </row>
    <row r="122" spans="1:3" x14ac:dyDescent="0.2">
      <c r="A122" s="1" t="d">
        <v>2025-12-14</v>
      </c>
      <c r="B122">
        <f ca="1">OFFSET(daily_original_wrong!$B$23, 2*(ROW(B122)-ROW($B$23)),COLUMN(B122)-2)+OFFSET(daily_original_wrong!$B$23, 1+2*(ROW(B122)-ROW($B$23)),COLUMN(B122)-2)</f>
        <v>9.5626999999999995E-4</v>
      </c>
      <c r="C122">
        <v>2.963411E-3</v>
      </c>
    </row>
    <row r="123" spans="1:3" x14ac:dyDescent="0.2">
      <c r="A123" s="1" t="d">
        <v>2025-12-15</v>
      </c>
      <c r="B123">
        <f ca="1">OFFSET(daily_original_wrong!$B$23, 2*(ROW(B123)-ROW($B$23)),COLUMN(B123)-2)+OFFSET(daily_original_wrong!$B$23, 1+2*(ROW(B123)-ROW($B$23)),COLUMN(B123)-2)</f>
        <v>9.5626999999999995E-4</v>
      </c>
      <c r="C123">
        <v>2.963411E-3</v>
      </c>
    </row>
    <row r="124" spans="1:3" x14ac:dyDescent="0.2">
      <c r="A124" s="1" t="d">
        <v>2025-12-16</v>
      </c>
      <c r="B124">
        <f ca="1">OFFSET(daily_original_wrong!$B$23, 2*(ROW(B124)-ROW($B$23)),COLUMN(B124)-2)+OFFSET(daily_original_wrong!$B$23, 1+2*(ROW(B124)-ROW($B$23)),COLUMN(B124)-2)</f>
        <v>8.9557199999999997E-4</v>
      </c>
      <c r="C124">
        <v>2.963411E-3</v>
      </c>
    </row>
    <row r="125" spans="1:3" x14ac:dyDescent="0.2">
      <c r="A125" s="1" t="d">
        <v>2025-12-17</v>
      </c>
      <c r="B125">
        <f ca="1">OFFSET(daily_original_wrong!$B$23, 2*(ROW(B125)-ROW($B$23)),COLUMN(B125)-2)+OFFSET(daily_original_wrong!$B$23, 1+2*(ROW(B125)-ROW($B$23)),COLUMN(B125)-2)</f>
        <v>8.3487399999999999E-4</v>
      </c>
      <c r="C125">
        <v>2.963411E-3</v>
      </c>
    </row>
    <row r="126" spans="1:3" x14ac:dyDescent="0.2">
      <c r="A126" s="1" t="d">
        <v>2025-12-18</v>
      </c>
      <c r="B126">
        <f ca="1">OFFSET(daily_original_wrong!$B$23, 2*(ROW(B126)-ROW($B$23)),COLUMN(B126)-2)+OFFSET(daily_original_wrong!$B$23, 1+2*(ROW(B126)-ROW($B$23)),COLUMN(B126)-2)</f>
        <v>8.3487399999999999E-4</v>
      </c>
      <c r="C126">
        <v>2.963411E-3</v>
      </c>
    </row>
    <row r="127" spans="1:3" x14ac:dyDescent="0.2">
      <c r="A127" s="1" t="d">
        <v>2025-12-19</v>
      </c>
      <c r="B127">
        <f ca="1">OFFSET(daily_original_wrong!$B$23, 2*(ROW(B127)-ROW($B$23)),COLUMN(B127)-2)+OFFSET(daily_original_wrong!$B$23, 1+2*(ROW(B127)-ROW($B$23)),COLUMN(B127)-2)</f>
        <v>8.3487399999999999E-4</v>
      </c>
      <c r="C127">
        <v>2.963411E-3</v>
      </c>
    </row>
    <row r="128" spans="1:3" x14ac:dyDescent="0.2">
      <c r="A128" s="1" t="d">
        <v>2025-12-20</v>
      </c>
      <c r="B128">
        <f ca="1">OFFSET(daily_original_wrong!$B$23, 2*(ROW(B128)-ROW($B$23)),COLUMN(B128)-2)+OFFSET(daily_original_wrong!$B$23, 1+2*(ROW(B128)-ROW($B$23)),COLUMN(B128)-2)</f>
        <v>1.065674E-3</v>
      </c>
      <c r="C128">
        <v>2.702608E-3</v>
      </c>
    </row>
    <row r="129" spans="1:3" x14ac:dyDescent="0.2">
      <c r="A129" s="1" t="d">
        <v>2025-12-21</v>
      </c>
      <c r="B129">
        <f ca="1">OFFSET(daily_original_wrong!$B$23, 2*(ROW(B129)-ROW($B$23)),COLUMN(B129)-2)+OFFSET(daily_original_wrong!$B$23, 1+2*(ROW(B129)-ROW($B$23)),COLUMN(B129)-2)</f>
        <v>1.065674E-3</v>
      </c>
      <c r="C129">
        <v>2.702608E-3</v>
      </c>
    </row>
    <row r="130" spans="1:3" x14ac:dyDescent="0.2">
      <c r="A130" s="1" t="d">
        <v>2025-12-22</v>
      </c>
      <c r="B130">
        <f ca="1">OFFSET(daily_original_wrong!$B$23, 2*(ROW(B130)-ROW($B$23)),COLUMN(B130)-2)+OFFSET(daily_original_wrong!$B$23, 1+2*(ROW(B130)-ROW($B$23)),COLUMN(B130)-2)</f>
        <v>1.065674E-3</v>
      </c>
      <c r="C130">
        <v>2.702608E-3</v>
      </c>
    </row>
    <row r="131" spans="1:3" x14ac:dyDescent="0.2">
      <c r="A131" s="1" t="d">
        <v>2025-12-23</v>
      </c>
      <c r="B131">
        <f ca="1">OFFSET(daily_original_wrong!$B$23, 2*(ROW(B131)-ROW($B$23)),COLUMN(B131)-2)+OFFSET(daily_original_wrong!$B$23, 1+2*(ROW(B131)-ROW($B$23)),COLUMN(B131)-2)</f>
        <v>6.2984480000000001E-4</v>
      </c>
      <c r="C131">
        <v>2.702608E-3</v>
      </c>
    </row>
    <row r="132" spans="1:3" x14ac:dyDescent="0.2">
      <c r="A132" s="1" t="d">
        <v>2025-12-24</v>
      </c>
      <c r="B132">
        <f ca="1">OFFSET(daily_original_wrong!$B$23, 2*(ROW(B132)-ROW($B$23)),COLUMN(B132)-2)+OFFSET(daily_original_wrong!$B$23, 1+2*(ROW(B132)-ROW($B$23)),COLUMN(B132)-2)</f>
        <v>1.9401560000000001E-4</v>
      </c>
      <c r="C132">
        <v>2.702608E-3</v>
      </c>
    </row>
    <row r="133" spans="1:3" x14ac:dyDescent="0.2">
      <c r="A133" s="1" t="d">
        <v>2025-12-25</v>
      </c>
      <c r="B133">
        <f ca="1">OFFSET(daily_original_wrong!$B$23, 2*(ROW(B133)-ROW($B$23)),COLUMN(B133)-2)+OFFSET(daily_original_wrong!$B$23, 1+2*(ROW(B133)-ROW($B$23)),COLUMN(B133)-2)</f>
        <v>1.9401560000000001E-4</v>
      </c>
      <c r="C133">
        <v>2.702608E-3</v>
      </c>
    </row>
    <row r="134" spans="1:3" x14ac:dyDescent="0.2">
      <c r="A134" s="1" t="d">
        <v>2025-12-26</v>
      </c>
      <c r="B134">
        <f ca="1">OFFSET(daily_original_wrong!$B$23, 2*(ROW(B134)-ROW($B$23)),COLUMN(B134)-2)+OFFSET(daily_original_wrong!$B$23, 1+2*(ROW(B134)-ROW($B$23)),COLUMN(B134)-2)</f>
        <v>1.9401560000000001E-4</v>
      </c>
      <c r="C134">
        <v>2.702608E-3</v>
      </c>
    </row>
    <row r="135" spans="1:3" x14ac:dyDescent="0.2">
      <c r="A135" s="1" t="d">
        <v>2025-12-27</v>
      </c>
      <c r="B135">
        <f ca="1">OFFSET(daily_original_wrong!$B$23, 2*(ROW(B135)-ROW($B$23)),COLUMN(B135)-2)+OFFSET(daily_original_wrong!$B$23, 1+2*(ROW(B135)-ROW($B$23)),COLUMN(B135)-2)</f>
        <v>5.2087399999999999E-5</v>
      </c>
      <c r="C135">
        <v>2.9073549999999999E-3</v>
      </c>
    </row>
    <row r="136" spans="1:3" x14ac:dyDescent="0.2">
      <c r="A136" s="1" t="d">
        <v>2025-12-28</v>
      </c>
      <c r="B136">
        <f ca="1">OFFSET(daily_original_wrong!$B$23, 2*(ROW(B136)-ROW($B$23)),COLUMN(B136)-2)+OFFSET(daily_original_wrong!$B$23, 1+2*(ROW(B136)-ROW($B$23)),COLUMN(B136)-2)</f>
        <v>5.2087399999999999E-5</v>
      </c>
      <c r="C136">
        <v>2.9073549999999999E-3</v>
      </c>
    </row>
    <row r="137" spans="1:3" x14ac:dyDescent="0.2">
      <c r="A137" s="1" t="d">
        <v>2025-12-29</v>
      </c>
      <c r="B137">
        <f ca="1">OFFSET(daily_original_wrong!$B$23, 2*(ROW(B137)-ROW($B$23)),COLUMN(B137)-2)+OFFSET(daily_original_wrong!$B$23, 1+2*(ROW(B137)-ROW($B$23)),COLUMN(B137)-2)</f>
        <v>5.2087399999999999E-5</v>
      </c>
      <c r="C137">
        <v>2.9073549999999999E-3</v>
      </c>
    </row>
    <row r="138" spans="1:3" x14ac:dyDescent="0.2">
      <c r="A138" s="1" t="d">
        <v>2025-12-30</v>
      </c>
      <c r="B138">
        <f ca="1">OFFSET(daily_original_wrong!$B$23, 2*(ROW(B138)-ROW($B$23)),COLUMN(B138)-2)+OFFSET(daily_original_wrong!$B$23, 1+2*(ROW(B138)-ROW($B$23)),COLUMN(B138)-2)</f>
        <v>2.6043699999999999E-5</v>
      </c>
      <c r="C138">
        <v>2.9073549999999999E-3</v>
      </c>
    </row>
    <row r="139" spans="1:3" x14ac:dyDescent="0.2">
      <c r="A139" s="1" t="d">
        <v>2025-12-31</v>
      </c>
      <c r="B139">
        <f ca="1">OFFSET(daily_original_wrong!$B$23, 2*(ROW(B139)-ROW($B$23)),COLUMN(B139)-2)+OFFSET(daily_original_wrong!$B$23, 1+2*(ROW(B139)-ROW($B$23)),COLUMN(B139)-2)</f>
        <v>0</v>
      </c>
      <c r="C139">
        <v>2.9073549999999999E-3</v>
      </c>
    </row>
    <row r="140" spans="1:3" x14ac:dyDescent="0.2">
      <c r="A140" s="1" t="d">
        <v>2026-01-01</v>
      </c>
      <c r="B140">
        <f ca="1">OFFSET(daily_original_wrong!$B$23, 2*(ROW(B140)-ROW($B$23)),COLUMN(B140)-2)+OFFSET(daily_original_wrong!$B$23, 1+2*(ROW(B140)-ROW($B$23)),COLUMN(B140)-2)</f>
        <v>0</v>
      </c>
      <c r="C140">
        <v>2.9073549999999999E-3</v>
      </c>
    </row>
    <row r="141" spans="1:3" x14ac:dyDescent="0.2">
      <c r="A141" s="1" t="d">
        <v>2026-01-02</v>
      </c>
      <c r="B141">
        <f ca="1">OFFSET(daily_original_wrong!$B$23, 2*(ROW(B141)-ROW($B$23)),COLUMN(B141)-2)+OFFSET(daily_original_wrong!$B$23, 1+2*(ROW(B141)-ROW($B$23)),COLUMN(B141)-2)</f>
        <v>0</v>
      </c>
      <c r="C141">
        <v>2.9073549999999999E-3</v>
      </c>
    </row>
    <row r="142" spans="1:3" x14ac:dyDescent="0.2">
      <c r="A142" s="1" t="d">
        <v>2026-01-03</v>
      </c>
      <c r="B142">
        <f ca="1">OFFSET(daily_original_wrong!$B$23, 2*(ROW(B142)-ROW($B$23)),COLUMN(B142)-2)+OFFSET(daily_original_wrong!$B$23, 1+2*(ROW(B142)-ROW($B$23)),COLUMN(B142)-2)</f>
        <v>0</v>
      </c>
      <c r="C142">
        <v>4.4882409999999996E-3</v>
      </c>
    </row>
    <row r="143" spans="1:3" x14ac:dyDescent="0.2">
      <c r="A143" s="1" t="d">
        <v>2026-01-04</v>
      </c>
      <c r="B143">
        <f ca="1">OFFSET(daily_original_wrong!$B$23, 2*(ROW(B143)-ROW($B$23)),COLUMN(B143)-2)+OFFSET(daily_original_wrong!$B$23, 1+2*(ROW(B143)-ROW($B$23)),COLUMN(B143)-2)</f>
        <v>0</v>
      </c>
      <c r="C143">
        <v>4.4882409999999996E-3</v>
      </c>
    </row>
    <row r="144" spans="1:3" x14ac:dyDescent="0.2">
      <c r="A144" s="1" t="d">
        <v>2026-01-05</v>
      </c>
      <c r="B144">
        <f ca="1">OFFSET(daily_original_wrong!$B$23, 2*(ROW(B144)-ROW($B$23)),COLUMN(B144)-2)+OFFSET(daily_original_wrong!$B$23, 1+2*(ROW(B144)-ROW($B$23)),COLUMN(B144)-2)</f>
        <v>0</v>
      </c>
      <c r="C144">
        <v>4.4882409999999996E-3</v>
      </c>
    </row>
    <row r="145" spans="1:3" x14ac:dyDescent="0.2">
      <c r="A145" s="1" t="d">
        <v>2026-01-06</v>
      </c>
      <c r="B145">
        <f ca="1">OFFSET(daily_original_wrong!$B$23, 2*(ROW(B145)-ROW($B$23)),COLUMN(B145)-2)+OFFSET(daily_original_wrong!$B$23, 1+2*(ROW(B145)-ROW($B$23)),COLUMN(B145)-2)</f>
        <v>0</v>
      </c>
      <c r="C145">
        <v>4.4882409999999996E-3</v>
      </c>
    </row>
    <row r="146" spans="1:3" x14ac:dyDescent="0.2">
      <c r="A146" s="1" t="d">
        <v>2026-01-07</v>
      </c>
      <c r="B146">
        <f ca="1">OFFSET(daily_original_wrong!$B$23, 2*(ROW(B146)-ROW($B$23)),COLUMN(B146)-2)+OFFSET(daily_original_wrong!$B$23, 1+2*(ROW(B146)-ROW($B$23)),COLUMN(B146)-2)</f>
        <v>0</v>
      </c>
      <c r="C146">
        <v>4.4882409999999996E-3</v>
      </c>
    </row>
    <row r="147" spans="1:3" x14ac:dyDescent="0.2">
      <c r="A147" s="1" t="d">
        <v>2026-01-08</v>
      </c>
      <c r="B147">
        <f ca="1">OFFSET(daily_original_wrong!$B$23, 2*(ROW(B147)-ROW($B$23)),COLUMN(B147)-2)+OFFSET(daily_original_wrong!$B$23, 1+2*(ROW(B147)-ROW($B$23)),COLUMN(B147)-2)</f>
        <v>0</v>
      </c>
      <c r="C147">
        <v>4.4882409999999996E-3</v>
      </c>
    </row>
    <row r="148" spans="1:3" x14ac:dyDescent="0.2">
      <c r="A148" s="1" t="d">
        <v>2026-01-09</v>
      </c>
      <c r="B148">
        <f ca="1">OFFSET(daily_original_wrong!$B$23, 2*(ROW(B148)-ROW($B$23)),COLUMN(B148)-2)+OFFSET(daily_original_wrong!$B$23, 1+2*(ROW(B148)-ROW($B$23)),COLUMN(B148)-2)</f>
        <v>0</v>
      </c>
      <c r="C148">
        <v>4.4882409999999996E-3</v>
      </c>
    </row>
    <row r="149" spans="1:3" x14ac:dyDescent="0.2">
      <c r="A149" s="1" t="d">
        <v>2026-01-10</v>
      </c>
      <c r="B149">
        <f ca="1">OFFSET(daily_original_wrong!$B$23, 2*(ROW(B149)-ROW($B$23)),COLUMN(B149)-2)+OFFSET(daily_original_wrong!$B$23, 1+2*(ROW(B149)-ROW($B$23)),COLUMN(B149)-2)</f>
        <v>0</v>
      </c>
      <c r="C149">
        <v>1.53425E-3</v>
      </c>
    </row>
    <row r="150" spans="1:3" x14ac:dyDescent="0.2">
      <c r="A150" s="1" t="d">
        <v>2026-01-11</v>
      </c>
      <c r="B150">
        <f ca="1">OFFSET(daily_original_wrong!$B$23, 2*(ROW(B150)-ROW($B$23)),COLUMN(B150)-2)+OFFSET(daily_original_wrong!$B$23, 1+2*(ROW(B150)-ROW($B$23)),COLUMN(B150)-2)</f>
        <v>0</v>
      </c>
      <c r="C150">
        <v>1.53425E-3</v>
      </c>
    </row>
    <row r="151" spans="1:3" x14ac:dyDescent="0.2">
      <c r="A151" s="1" t="d">
        <v>2026-01-12</v>
      </c>
      <c r="B151">
        <f ca="1">OFFSET(daily_original_wrong!$B$23, 2*(ROW(B151)-ROW($B$23)),COLUMN(B151)-2)+OFFSET(daily_original_wrong!$B$23, 1+2*(ROW(B151)-ROW($B$23)),COLUMN(B151)-2)</f>
        <v>0</v>
      </c>
      <c r="C151">
        <v>1.53425E-3</v>
      </c>
    </row>
    <row r="152" spans="1:3" x14ac:dyDescent="0.2">
      <c r="A152" s="1" t="d">
        <v>2026-01-13</v>
      </c>
      <c r="B152">
        <f ca="1">OFFSET(daily_original_wrong!$B$23, 2*(ROW(B152)-ROW($B$23)),COLUMN(B152)-2)+OFFSET(daily_original_wrong!$B$23, 1+2*(ROW(B152)-ROW($B$23)),COLUMN(B152)-2)</f>
        <v>0</v>
      </c>
      <c r="C152">
        <v>1.53425E-3</v>
      </c>
    </row>
    <row r="153" spans="1:3" x14ac:dyDescent="0.2">
      <c r="A153" s="1" t="d">
        <v>2026-01-14</v>
      </c>
      <c r="B153">
        <f ca="1">OFFSET(daily_original_wrong!$B$23, 2*(ROW(B153)-ROW($B$23)),COLUMN(B153)-2)+OFFSET(daily_original_wrong!$B$23, 1+2*(ROW(B153)-ROW($B$23)),COLUMN(B153)-2)</f>
        <v>0</v>
      </c>
      <c r="C153">
        <v>1.53425E-3</v>
      </c>
    </row>
    <row r="154" spans="1:3" x14ac:dyDescent="0.2">
      <c r="A154" s="1" t="d">
        <v>2026-01-15</v>
      </c>
      <c r="B154">
        <f ca="1">OFFSET(daily_original_wrong!$B$23, 2*(ROW(B154)-ROW($B$23)),COLUMN(B154)-2)+OFFSET(daily_original_wrong!$B$23, 1+2*(ROW(B154)-ROW($B$23)),COLUMN(B154)-2)</f>
        <v>0</v>
      </c>
      <c r="C154">
        <v>1.53425E-3</v>
      </c>
    </row>
    <row r="155" spans="1:3" x14ac:dyDescent="0.2">
      <c r="A155" s="1" t="d">
        <v>2026-01-16</v>
      </c>
      <c r="B155">
        <f ca="1">OFFSET(daily_original_wrong!$B$23, 2*(ROW(B155)-ROW($B$23)),COLUMN(B155)-2)+OFFSET(daily_original_wrong!$B$23, 1+2*(ROW(B155)-ROW($B$23)),COLUMN(B155)-2)</f>
        <v>0</v>
      </c>
      <c r="C155">
        <v>1.53425E-3</v>
      </c>
    </row>
    <row r="156" spans="1:3" x14ac:dyDescent="0.2">
      <c r="A156" s="1" t="d">
        <v>2026-01-17</v>
      </c>
      <c r="B156">
        <f ca="1">OFFSET(daily_original_wrong!$B$23, 2*(ROW(B156)-ROW($B$23)),COLUMN(B156)-2)+OFFSET(daily_original_wrong!$B$23, 1+2*(ROW(B156)-ROW($B$23)),COLUMN(B156)-2)</f>
        <v>0</v>
      </c>
      <c r="C156">
        <v>1.182404E-3</v>
      </c>
    </row>
    <row r="157" spans="1:3" x14ac:dyDescent="0.2">
      <c r="A157" s="1" t="d">
        <v>2026-01-18</v>
      </c>
      <c r="B157">
        <f ca="1">OFFSET(daily_original_wrong!$B$23, 2*(ROW(B157)-ROW($B$23)),COLUMN(B157)-2)+OFFSET(daily_original_wrong!$B$23, 1+2*(ROW(B157)-ROW($B$23)),COLUMN(B157)-2)</f>
        <v>0</v>
      </c>
      <c r="C157">
        <v>1.182404E-3</v>
      </c>
    </row>
    <row r="158" spans="1:3" x14ac:dyDescent="0.2">
      <c r="A158" s="1" t="d">
        <v>2026-01-19</v>
      </c>
      <c r="B158">
        <f ca="1">OFFSET(daily_original_wrong!$B$23, 2*(ROW(B158)-ROW($B$23)),COLUMN(B158)-2)+OFFSET(daily_original_wrong!$B$23, 1+2*(ROW(B158)-ROW($B$23)),COLUMN(B158)-2)</f>
        <v>0</v>
      </c>
      <c r="C158">
        <v>1.182404E-3</v>
      </c>
    </row>
    <row r="159" spans="1:3" x14ac:dyDescent="0.2">
      <c r="A159" s="1" t="d">
        <v>2026-01-20</v>
      </c>
      <c r="B159">
        <f ca="1">OFFSET(daily_original_wrong!$B$23, 2*(ROW(B159)-ROW($B$23)),COLUMN(B159)-2)+OFFSET(daily_original_wrong!$B$23, 1+2*(ROW(B159)-ROW($B$23)),COLUMN(B159)-2)</f>
        <v>0</v>
      </c>
      <c r="C159">
        <v>1.182404E-3</v>
      </c>
    </row>
    <row r="160" spans="1:3" x14ac:dyDescent="0.2">
      <c r="A160" s="1" t="d">
        <v>2026-01-21</v>
      </c>
      <c r="B160">
        <f ca="1">OFFSET(daily_original_wrong!$B$23, 2*(ROW(B160)-ROW($B$23)),COLUMN(B160)-2)+OFFSET(daily_original_wrong!$B$23, 1+2*(ROW(B160)-ROW($B$23)),COLUMN(B160)-2)</f>
        <v>0</v>
      </c>
      <c r="C160">
        <v>1.182404E-3</v>
      </c>
    </row>
    <row r="161" spans="1:3" x14ac:dyDescent="0.2">
      <c r="A161" s="1" t="d">
        <v>2026-01-22</v>
      </c>
      <c r="B161">
        <f ca="1">OFFSET(daily_original_wrong!$B$23, 2*(ROW(B161)-ROW($B$23)),COLUMN(B161)-2)+OFFSET(daily_original_wrong!$B$23, 1+2*(ROW(B161)-ROW($B$23)),COLUMN(B161)-2)</f>
        <v>0</v>
      </c>
      <c r="C161">
        <v>1.182404E-3</v>
      </c>
    </row>
    <row r="162" spans="1:3" x14ac:dyDescent="0.2">
      <c r="A162" s="1" t="d">
        <v>2026-01-23</v>
      </c>
      <c r="B162">
        <f ca="1">OFFSET(daily_original_wrong!$B$23, 2*(ROW(B162)-ROW($B$23)),COLUMN(B162)-2)+OFFSET(daily_original_wrong!$B$23, 1+2*(ROW(B162)-ROW($B$23)),COLUMN(B162)-2)</f>
        <v>0</v>
      </c>
      <c r="C162">
        <v>1.182404E-3</v>
      </c>
    </row>
    <row r="163" spans="1:3" x14ac:dyDescent="0.2">
      <c r="A163" s="1" t="d">
        <v>2026-01-24</v>
      </c>
      <c r="B163">
        <f ca="1">OFFSET(daily_original_wrong!$B$23, 2*(ROW(B163)-ROW($B$23)),COLUMN(B163)-2)+OFFSET(daily_original_wrong!$B$23, 1+2*(ROW(B163)-ROW($B$23)),COLUMN(B163)-2)</f>
        <v>0.90704788649999912</v>
      </c>
      <c r="C163">
        <v>8.3138500000000002E-4</v>
      </c>
    </row>
    <row r="164" spans="1:3" x14ac:dyDescent="0.2">
      <c r="A164" s="1" t="d">
        <v>2026-01-25</v>
      </c>
      <c r="B164">
        <f ca="1">OFFSET(daily_original_wrong!$B$23, 2*(ROW(B164)-ROW($B$23)),COLUMN(B164)-2)+OFFSET(daily_original_wrong!$B$23, 1+2*(ROW(B164)-ROW($B$23)),COLUMN(B164)-2)</f>
        <v>0</v>
      </c>
      <c r="C164">
        <v>8.3138500000000002E-4</v>
      </c>
    </row>
    <row r="165" spans="1:3" x14ac:dyDescent="0.2">
      <c r="A165" s="1" t="d">
        <v>2026-01-26</v>
      </c>
      <c r="B165">
        <f ca="1">OFFSET(daily_original_wrong!$B$23, 2*(ROW(B165)-ROW($B$23)),COLUMN(B165)-2)+OFFSET(daily_original_wrong!$B$23, 1+2*(ROW(B165)-ROW($B$23)),COLUMN(B165)-2)</f>
        <v>0</v>
      </c>
      <c r="C165">
        <v>8.3138500000000002E-4</v>
      </c>
    </row>
    <row r="166" spans="1:3" x14ac:dyDescent="0.2">
      <c r="A166" s="1" t="d">
        <v>2026-01-27</v>
      </c>
      <c r="B166">
        <f ca="1">OFFSET(daily_original_wrong!$B$23, 2*(ROW(B166)-ROW($B$23)),COLUMN(B166)-2)+OFFSET(daily_original_wrong!$B$23, 1+2*(ROW(B166)-ROW($B$23)),COLUMN(B166)-2)</f>
        <v>0</v>
      </c>
      <c r="C166">
        <v>8.3138500000000002E-4</v>
      </c>
    </row>
    <row r="167" spans="1:3" x14ac:dyDescent="0.2">
      <c r="A167" s="1" t="d">
        <v>2026-01-28</v>
      </c>
      <c r="B167">
        <f ca="1">OFFSET(daily_original_wrong!$B$23, 2*(ROW(B167)-ROW($B$23)),COLUMN(B167)-2)+OFFSET(daily_original_wrong!$B$23, 1+2*(ROW(B167)-ROW($B$23)),COLUMN(B167)-2)</f>
        <v>0</v>
      </c>
      <c r="C167">
        <v>8.3138500000000002E-4</v>
      </c>
    </row>
    <row r="168" spans="1:3" x14ac:dyDescent="0.2">
      <c r="A168" s="1" t="d">
        <v>2026-01-29</v>
      </c>
      <c r="B168">
        <f ca="1">OFFSET(daily_original_wrong!$B$23, 2*(ROW(B168)-ROW($B$23)),COLUMN(B168)-2)+OFFSET(daily_original_wrong!$B$23, 1+2*(ROW(B168)-ROW($B$23)),COLUMN(B168)-2)</f>
        <v>0</v>
      </c>
      <c r="C168">
        <v>8.3138500000000002E-4</v>
      </c>
    </row>
    <row r="169" spans="1:3" x14ac:dyDescent="0.2">
      <c r="A169" s="1" t="d">
        <v>2026-01-30</v>
      </c>
      <c r="B169">
        <f ca="1">OFFSET(daily_original_wrong!$B$23, 2*(ROW(B169)-ROW($B$23)),COLUMN(B169)-2)+OFFSET(daily_original_wrong!$B$23, 1+2*(ROW(B169)-ROW($B$23)),COLUMN(B169)-2)</f>
        <v>0</v>
      </c>
      <c r="C169">
        <v>8.3138500000000002E-4</v>
      </c>
    </row>
    <row r="170" spans="1:3" x14ac:dyDescent="0.2">
      <c r="A170" s="1" t="d">
        <v>2026-01-31</v>
      </c>
      <c r="B170">
        <f ca="1">OFFSET(daily_original_wrong!$B$23, 2*(ROW(B170)-ROW($B$23)),COLUMN(B170)-2)+OFFSET(daily_original_wrong!$B$23, 1+2*(ROW(B170)-ROW($B$23)),COLUMN(B170)-2)</f>
        <v>0</v>
      </c>
      <c r="C170">
        <v>1.9653259999999999E-3</v>
      </c>
    </row>
    <row r="171" spans="1:3" x14ac:dyDescent="0.2">
      <c r="A171" s="1" t="d">
        <v>2026-02-01</v>
      </c>
      <c r="B171">
        <f ca="1">OFFSET(daily_original_wrong!$B$23, 2*(ROW(B171)-ROW($B$23)),COLUMN(B171)-2)+OFFSET(daily_original_wrong!$B$23, 1+2*(ROW(B171)-ROW($B$23)),COLUMN(B171)-2)</f>
        <v>0</v>
      </c>
      <c r="C171">
        <v>1.9653259999999999E-3</v>
      </c>
    </row>
    <row r="172" spans="1:3" x14ac:dyDescent="0.2">
      <c r="A172" s="1" t="d">
        <v>2026-02-02</v>
      </c>
      <c r="B172">
        <f ca="1">OFFSET(daily_original_wrong!$B$23, 2*(ROW(B172)-ROW($B$23)),COLUMN(B172)-2)+OFFSET(daily_original_wrong!$B$23, 1+2*(ROW(B172)-ROW($B$23)),COLUMN(B172)-2)</f>
        <v>0</v>
      </c>
      <c r="C172">
        <v>1.9653259999999999E-3</v>
      </c>
    </row>
    <row r="173" spans="1:3" x14ac:dyDescent="0.2">
      <c r="A173" s="1" t="d">
        <v>2026-02-03</v>
      </c>
      <c r="B173">
        <f ca="1">OFFSET(daily_original_wrong!$B$23, 2*(ROW(B173)-ROW($B$23)),COLUMN(B173)-2)+OFFSET(daily_original_wrong!$B$23, 1+2*(ROW(B173)-ROW($B$23)),COLUMN(B173)-2)</f>
        <v>0</v>
      </c>
      <c r="C173">
        <v>1.9653259999999999E-3</v>
      </c>
    </row>
    <row r="174" spans="1:3" x14ac:dyDescent="0.2">
      <c r="A174" s="1" t="d">
        <v>2026-02-04</v>
      </c>
      <c r="B174">
        <f ca="1">OFFSET(daily_original_wrong!$B$23, 2*(ROW(B174)-ROW($B$23)),COLUMN(B174)-2)+OFFSET(daily_original_wrong!$B$23, 1+2*(ROW(B174)-ROW($B$23)),COLUMN(B174)-2)</f>
        <v>0</v>
      </c>
      <c r="C174">
        <v>1.9653259999999999E-3</v>
      </c>
    </row>
    <row r="175" spans="1:3" x14ac:dyDescent="0.2">
      <c r="A175" s="1" t="d">
        <v>2026-02-05</v>
      </c>
      <c r="B175">
        <f ca="1">OFFSET(daily_original_wrong!$B$23, 2*(ROW(B175)-ROW($B$23)),COLUMN(B175)-2)+OFFSET(daily_original_wrong!$B$23, 1+2*(ROW(B175)-ROW($B$23)),COLUMN(B175)-2)</f>
        <v>0</v>
      </c>
      <c r="C175">
        <v>1.9653259999999999E-3</v>
      </c>
    </row>
    <row r="176" spans="1:3" x14ac:dyDescent="0.2">
      <c r="A176" s="1" t="d">
        <v>2026-02-06</v>
      </c>
      <c r="B176">
        <f ca="1">OFFSET(daily_original_wrong!$B$23, 2*(ROW(B176)-ROW($B$23)),COLUMN(B176)-2)+OFFSET(daily_original_wrong!$B$23, 1+2*(ROW(B176)-ROW($B$23)),COLUMN(B176)-2)</f>
        <v>0</v>
      </c>
      <c r="C176">
        <v>1.9653259999999999E-3</v>
      </c>
    </row>
    <row r="177" spans="1:3" x14ac:dyDescent="0.2">
      <c r="A177" s="1" t="d">
        <v>2026-02-07</v>
      </c>
      <c r="B177">
        <f ca="1">OFFSET(daily_original_wrong!$B$23, 2*(ROW(B177)-ROW($B$23)),COLUMN(B177)-2)+OFFSET(daily_original_wrong!$B$23, 1+2*(ROW(B177)-ROW($B$23)),COLUMN(B177)-2)</f>
        <v>0</v>
      </c>
      <c r="C177">
        <v>1.140339E-3</v>
      </c>
    </row>
    <row r="178" spans="1:3" x14ac:dyDescent="0.2">
      <c r="A178" s="1" t="d">
        <v>2026-02-08</v>
      </c>
      <c r="B178">
        <f ca="1">OFFSET(daily_original_wrong!$B$23, 2*(ROW(B178)-ROW($B$23)),COLUMN(B178)-2)+OFFSET(daily_original_wrong!$B$23, 1+2*(ROW(B178)-ROW($B$23)),COLUMN(B178)-2)</f>
        <v>0</v>
      </c>
      <c r="C178">
        <v>1.140339E-3</v>
      </c>
    </row>
    <row r="179" spans="1:3" x14ac:dyDescent="0.2">
      <c r="A179" s="1" t="d">
        <v>2026-02-09</v>
      </c>
      <c r="B179">
        <f ca="1">OFFSET(daily_original_wrong!$B$23, 2*(ROW(B179)-ROW($B$23)),COLUMN(B179)-2)+OFFSET(daily_original_wrong!$B$23, 1+2*(ROW(B179)-ROW($B$23)),COLUMN(B179)-2)</f>
        <v>0</v>
      </c>
      <c r="C179">
        <v>1.140339E-3</v>
      </c>
    </row>
    <row r="180" spans="1:3" x14ac:dyDescent="0.2">
      <c r="A180" s="1" t="d">
        <v>2026-02-10</v>
      </c>
      <c r="B180">
        <f ca="1">OFFSET(daily_original_wrong!$B$23, 2*(ROW(B180)-ROW($B$23)),COLUMN(B180)-2)+OFFSET(daily_original_wrong!$B$23, 1+2*(ROW(B180)-ROW($B$23)),COLUMN(B180)-2)</f>
        <v>0</v>
      </c>
      <c r="C180">
        <v>1.140339E-3</v>
      </c>
    </row>
    <row r="181" spans="1:3" x14ac:dyDescent="0.2">
      <c r="A181" s="1" t="d">
        <v>2026-02-11</v>
      </c>
      <c r="B181">
        <f ca="1">OFFSET(daily_original_wrong!$B$23, 2*(ROW(B181)-ROW($B$23)),COLUMN(B181)-2)+OFFSET(daily_original_wrong!$B$23, 1+2*(ROW(B181)-ROW($B$23)),COLUMN(B181)-2)</f>
        <v>0</v>
      </c>
      <c r="C181">
        <v>1.140339E-3</v>
      </c>
    </row>
    <row r="182" spans="1:3" x14ac:dyDescent="0.2">
      <c r="A182" s="1" t="d">
        <v>2026-02-12</v>
      </c>
      <c r="B182">
        <f ca="1">OFFSET(daily_original_wrong!$B$23, 2*(ROW(B182)-ROW($B$23)),COLUMN(B182)-2)+OFFSET(daily_original_wrong!$B$23, 1+2*(ROW(B182)-ROW($B$23)),COLUMN(B182)-2)</f>
        <v>0</v>
      </c>
      <c r="C182">
        <v>1.140339E-3</v>
      </c>
    </row>
    <row r="183" spans="1:3" x14ac:dyDescent="0.2">
      <c r="A183" s="1" t="d">
        <v>2026-02-13</v>
      </c>
      <c r="B183">
        <f ca="1">OFFSET(daily_original_wrong!$B$23, 2*(ROW(B183)-ROW($B$23)),COLUMN(B183)-2)+OFFSET(daily_original_wrong!$B$23, 1+2*(ROW(B183)-ROW($B$23)),COLUMN(B183)-2)</f>
        <v>0</v>
      </c>
      <c r="C183">
        <v>1.140339E-3</v>
      </c>
    </row>
    <row r="184" spans="1:3" x14ac:dyDescent="0.2">
      <c r="A184" s="1" t="d">
        <v>2026-02-14</v>
      </c>
      <c r="B184">
        <f ca="1">OFFSET(daily_original_wrong!$B$23, 2*(ROW(B184)-ROW($B$23)),COLUMN(B184)-2)+OFFSET(daily_original_wrong!$B$23, 1+2*(ROW(B184)-ROW($B$23)),COLUMN(B184)-2)</f>
        <v>0</v>
      </c>
      <c r="C184">
        <v>1.33136E-3</v>
      </c>
    </row>
    <row r="185" spans="1:3" x14ac:dyDescent="0.2">
      <c r="A185" s="1" t="d">
        <v>2026-02-15</v>
      </c>
      <c r="B185">
        <f ca="1">OFFSET(daily_original_wrong!$B$23, 2*(ROW(B185)-ROW($B$23)),COLUMN(B185)-2)+OFFSET(daily_original_wrong!$B$23, 1+2*(ROW(B185)-ROW($B$23)),COLUMN(B185)-2)</f>
        <v>0</v>
      </c>
      <c r="C185">
        <v>1.33136E-3</v>
      </c>
    </row>
    <row r="186" spans="1:3" x14ac:dyDescent="0.2">
      <c r="A186" s="1" t="d">
        <v>2026-02-16</v>
      </c>
      <c r="B186">
        <f ca="1">OFFSET(daily_original_wrong!$B$23, 2*(ROW(B186)-ROW($B$23)),COLUMN(B186)-2)+OFFSET(daily_original_wrong!$B$23, 1+2*(ROW(B186)-ROW($B$23)),COLUMN(B186)-2)</f>
        <v>0</v>
      </c>
      <c r="C186">
        <v>1.33136E-3</v>
      </c>
    </row>
    <row r="187" spans="1:3" x14ac:dyDescent="0.2">
      <c r="A187" s="1" t="d">
        <v>2026-02-17</v>
      </c>
      <c r="B187">
        <f ca="1">OFFSET(daily_original_wrong!$B$23, 2*(ROW(B187)-ROW($B$23)),COLUMN(B187)-2)+OFFSET(daily_original_wrong!$B$23, 1+2*(ROW(B187)-ROW($B$23)),COLUMN(B187)-2)</f>
        <v>0</v>
      </c>
      <c r="C187">
        <v>1.33136E-3</v>
      </c>
    </row>
    <row r="188" spans="1:3" x14ac:dyDescent="0.2">
      <c r="A188" s="1" t="d">
        <v>2026-02-18</v>
      </c>
      <c r="B188">
        <f ca="1">OFFSET(daily_original_wrong!$B$23, 2*(ROW(B188)-ROW($B$23)),COLUMN(B188)-2)+OFFSET(daily_original_wrong!$B$23, 1+2*(ROW(B188)-ROW($B$23)),COLUMN(B188)-2)</f>
        <v>0</v>
      </c>
      <c r="C188">
        <v>1.33136E-3</v>
      </c>
    </row>
    <row r="189" spans="1:3" x14ac:dyDescent="0.2">
      <c r="A189" s="1" t="d">
        <v>2026-02-19</v>
      </c>
      <c r="B189">
        <f ca="1">OFFSET(daily_original_wrong!$B$23, 2*(ROW(B189)-ROW($B$23)),COLUMN(B189)-2)+OFFSET(daily_original_wrong!$B$23, 1+2*(ROW(B189)-ROW($B$23)),COLUMN(B189)-2)</f>
        <v>0</v>
      </c>
      <c r="C189">
        <v>1.33136E-3</v>
      </c>
    </row>
    <row r="190" spans="1:3" x14ac:dyDescent="0.2">
      <c r="A190" s="1" t="d">
        <v>2026-02-20</v>
      </c>
      <c r="B190">
        <f ca="1">OFFSET(daily_original_wrong!$B$23, 2*(ROW(B190)-ROW($B$23)),COLUMN(B190)-2)+OFFSET(daily_original_wrong!$B$23, 1+2*(ROW(B190)-ROW($B$23)),COLUMN(B190)-2)</f>
        <v>0</v>
      </c>
      <c r="C190">
        <v>1.33136E-3</v>
      </c>
    </row>
    <row r="191" spans="1:3" x14ac:dyDescent="0.2">
      <c r="A191" s="1" t="d">
        <v>2026-02-21</v>
      </c>
      <c r="B191">
        <f ca="1">OFFSET(daily_original_wrong!$B$23, 2*(ROW(B191)-ROW($B$23)),COLUMN(B191)-2)+OFFSET(daily_original_wrong!$B$23, 1+2*(ROW(B191)-ROW($B$23)),COLUMN(B191)-2)</f>
        <v>0</v>
      </c>
      <c r="C191">
        <v>1.421924E-3</v>
      </c>
    </row>
    <row r="192" spans="1:3" x14ac:dyDescent="0.2">
      <c r="A192" s="1" t="d">
        <v>2026-02-22</v>
      </c>
      <c r="B192">
        <f ca="1">OFFSET(daily_original_wrong!$B$23, 2*(ROW(B192)-ROW($B$23)),COLUMN(B192)-2)+OFFSET(daily_original_wrong!$B$23, 1+2*(ROW(B192)-ROW($B$23)),COLUMN(B192)-2)</f>
        <v>0</v>
      </c>
      <c r="C192">
        <v>1.421924E-3</v>
      </c>
    </row>
    <row r="193" spans="1:3" x14ac:dyDescent="0.2">
      <c r="A193" s="1" t="d">
        <v>2026-02-23</v>
      </c>
      <c r="B193">
        <f ca="1">OFFSET(daily_original_wrong!$B$23, 2*(ROW(B193)-ROW($B$23)),COLUMN(B193)-2)+OFFSET(daily_original_wrong!$B$23, 1+2*(ROW(B193)-ROW($B$23)),COLUMN(B193)-2)</f>
        <v>0</v>
      </c>
      <c r="C193">
        <v>1.421924E-3</v>
      </c>
    </row>
    <row r="194" spans="1:3" x14ac:dyDescent="0.2">
      <c r="A194" s="1" t="d">
        <v>2026-02-24</v>
      </c>
      <c r="B194">
        <f ca="1">OFFSET(daily_original_wrong!$B$23, 2*(ROW(B194)-ROW($B$23)),COLUMN(B194)-2)+OFFSET(daily_original_wrong!$B$23, 1+2*(ROW(B194)-ROW($B$23)),COLUMN(B194)-2)</f>
        <v>0</v>
      </c>
      <c r="C194">
        <v>1.421924E-3</v>
      </c>
    </row>
    <row r="195" spans="1:3" x14ac:dyDescent="0.2">
      <c r="A195" s="1" t="d">
        <v>2026-02-25</v>
      </c>
      <c r="B195">
        <f ca="1">OFFSET(daily_original_wrong!$B$23, 2*(ROW(B195)-ROW($B$23)),COLUMN(B195)-2)+OFFSET(daily_original_wrong!$B$23, 1+2*(ROW(B195)-ROW($B$23)),COLUMN(B195)-2)</f>
        <v>0</v>
      </c>
      <c r="C195">
        <v>1.421924E-3</v>
      </c>
    </row>
    <row r="196" spans="1:3" x14ac:dyDescent="0.2">
      <c r="A196" s="1" t="d">
        <v>2026-02-26</v>
      </c>
      <c r="B196">
        <f ca="1">OFFSET(daily_original_wrong!$B$23, 2*(ROW(B196)-ROW($B$23)),COLUMN(B196)-2)+OFFSET(daily_original_wrong!$B$23, 1+2*(ROW(B196)-ROW($B$23)),COLUMN(B196)-2)</f>
        <v>0</v>
      </c>
      <c r="C196">
        <v>1.421924E-3</v>
      </c>
    </row>
    <row r="197" spans="1:3" x14ac:dyDescent="0.2">
      <c r="A197" s="1" t="d">
        <v>2026-02-27</v>
      </c>
      <c r="B197">
        <f ca="1">OFFSET(daily_original_wrong!$B$23, 2*(ROW(B197)-ROW($B$23)),COLUMN(B197)-2)+OFFSET(daily_original_wrong!$B$23, 1+2*(ROW(B197)-ROW($B$23)),COLUMN(B197)-2)</f>
        <v>0</v>
      </c>
      <c r="C197">
        <v>1.421924E-3</v>
      </c>
    </row>
    <row r="198" spans="1:3" x14ac:dyDescent="0.2">
      <c r="A198" s="1" t="d">
        <v>2026-02-28</v>
      </c>
      <c r="B198">
        <f ca="1">OFFSET(daily_original_wrong!$B$23, 2*(ROW(B198)-ROW($B$23)),COLUMN(B198)-2)+OFFSET(daily_original_wrong!$B$23, 1+2*(ROW(B198)-ROW($B$23)),COLUMN(B198)-2)</f>
        <v>0</v>
      </c>
      <c r="C198">
        <v>2.6495339999999998E-3</v>
      </c>
    </row>
    <row r="199" spans="1:3" x14ac:dyDescent="0.2">
      <c r="A199" s="1" t="d">
        <v>2026-03-01</v>
      </c>
      <c r="B199">
        <f ca="1">OFFSET(daily_original_wrong!$B$23, 2*(ROW(B199)-ROW($B$23)),COLUMN(B199)-2)+OFFSET(daily_original_wrong!$B$23, 1+2*(ROW(B199)-ROW($B$23)),COLUMN(B199)-2)</f>
        <v>0</v>
      </c>
      <c r="C199">
        <v>2.6495339999999998E-3</v>
      </c>
    </row>
    <row r="200" spans="1:3" x14ac:dyDescent="0.2">
      <c r="A200" s="1" t="d">
        <v>2026-03-02</v>
      </c>
      <c r="B200">
        <f ca="1">OFFSET(daily_original_wrong!$B$23, 2*(ROW(B200)-ROW($B$23)),COLUMN(B200)-2)+OFFSET(daily_original_wrong!$B$23, 1+2*(ROW(B200)-ROW($B$23)),COLUMN(B200)-2)</f>
        <v>0</v>
      </c>
      <c r="C200">
        <v>2.6495339999999998E-3</v>
      </c>
    </row>
    <row r="201" spans="1:3" x14ac:dyDescent="0.2">
      <c r="A201" s="1" t="d">
        <v>2026-03-03</v>
      </c>
      <c r="B201">
        <f ca="1">OFFSET(daily_original_wrong!$B$23, 2*(ROW(B201)-ROW($B$23)),COLUMN(B201)-2)+OFFSET(daily_original_wrong!$B$23, 1+2*(ROW(B201)-ROW($B$23)),COLUMN(B201)-2)</f>
        <v>0</v>
      </c>
      <c r="C201">
        <v>2.6495339999999998E-3</v>
      </c>
    </row>
    <row r="202" spans="1:3" x14ac:dyDescent="0.2">
      <c r="A202" s="1" t="d">
        <v>2026-03-04</v>
      </c>
      <c r="B202">
        <f ca="1">OFFSET(daily_original_wrong!$B$23, 2*(ROW(B202)-ROW($B$23)),COLUMN(B202)-2)+OFFSET(daily_original_wrong!$B$23, 1+2*(ROW(B202)-ROW($B$23)),COLUMN(B202)-2)</f>
        <v>0</v>
      </c>
      <c r="C202">
        <v>2.6495339999999998E-3</v>
      </c>
    </row>
    <row r="203" spans="1:3" x14ac:dyDescent="0.2">
      <c r="A203" s="1" t="d">
        <v>2026-03-05</v>
      </c>
      <c r="B203">
        <f ca="1">OFFSET(daily_original_wrong!$B$23, 2*(ROW(B203)-ROW($B$23)),COLUMN(B203)-2)+OFFSET(daily_original_wrong!$B$23, 1+2*(ROW(B203)-ROW($B$23)),COLUMN(B203)-2)</f>
        <v>0</v>
      </c>
      <c r="C203">
        <v>2.6495339999999998E-3</v>
      </c>
    </row>
    <row r="204" spans="1:3" x14ac:dyDescent="0.2">
      <c r="A204" s="1" t="d">
        <v>2026-03-06</v>
      </c>
      <c r="B204">
        <f ca="1">OFFSET(daily_original_wrong!$B$23, 2*(ROW(B204)-ROW($B$23)),COLUMN(B204)-2)+OFFSET(daily_original_wrong!$B$23, 1+2*(ROW(B204)-ROW($B$23)),COLUMN(B204)-2)</f>
        <v>0</v>
      </c>
      <c r="C204">
        <v>2.6495339999999998E-3</v>
      </c>
    </row>
    <row r="205" spans="1:3" x14ac:dyDescent="0.2">
      <c r="A205" s="1" t="d">
        <v>2026-03-07</v>
      </c>
      <c r="B205">
        <f ca="1">OFFSET(daily_original_wrong!$B$23, 2*(ROW(B205)-ROW($B$23)),COLUMN(B205)-2)+OFFSET(daily_original_wrong!$B$23, 1+2*(ROW(B205)-ROW($B$23)),COLUMN(B205)-2)</f>
        <v>0</v>
      </c>
      <c r="C205">
        <v>1.0272910000000001E-3</v>
      </c>
    </row>
    <row r="206" spans="1:3" x14ac:dyDescent="0.2">
      <c r="A206" s="1" t="d">
        <v>2026-03-08</v>
      </c>
      <c r="B206">
        <f ca="1">OFFSET(daily_original_wrong!$B$23, 2*(ROW(B206)-ROW($B$23)),COLUMN(B206)-2)+OFFSET(daily_original_wrong!$B$23, 1+2*(ROW(B206)-ROW($B$23)),COLUMN(B206)-2)</f>
        <v>0</v>
      </c>
      <c r="C206">
        <v>1.0272910000000001E-3</v>
      </c>
    </row>
    <row r="207" spans="1:3" x14ac:dyDescent="0.2">
      <c r="A207" s="1" t="d">
        <v>2026-03-09</v>
      </c>
      <c r="B207">
        <f ca="1">OFFSET(daily_original_wrong!$B$23, 2*(ROW(B207)-ROW($B$23)),COLUMN(B207)-2)+OFFSET(daily_original_wrong!$B$23, 1+2*(ROW(B207)-ROW($B$23)),COLUMN(B207)-2)</f>
        <v>0</v>
      </c>
      <c r="C207">
        <v>1.0272910000000001E-3</v>
      </c>
    </row>
    <row r="208" spans="1:3" x14ac:dyDescent="0.2">
      <c r="A208" s="1" t="d">
        <v>2026-03-10</v>
      </c>
      <c r="B208">
        <f ca="1">OFFSET(daily_original_wrong!$B$23, 2*(ROW(B208)-ROW($B$23)),COLUMN(B208)-2)+OFFSET(daily_original_wrong!$B$23, 1+2*(ROW(B208)-ROW($B$23)),COLUMN(B208)-2)</f>
        <v>0</v>
      </c>
      <c r="C208">
        <v>1.0272910000000001E-3</v>
      </c>
    </row>
    <row r="209" spans="1:3" x14ac:dyDescent="0.2">
      <c r="A209" s="1" t="d">
        <v>2026-03-11</v>
      </c>
      <c r="B209">
        <f ca="1">OFFSET(daily_original_wrong!$B$23, 2*(ROW(B209)-ROW($B$23)),COLUMN(B209)-2)+OFFSET(daily_original_wrong!$B$23, 1+2*(ROW(B209)-ROW($B$23)),COLUMN(B209)-2)</f>
        <v>0</v>
      </c>
      <c r="C209">
        <v>1.0272910000000001E-3</v>
      </c>
    </row>
    <row r="210" spans="1:3" x14ac:dyDescent="0.2">
      <c r="A210" s="1" t="d">
        <v>2026-03-12</v>
      </c>
      <c r="B210">
        <f ca="1">OFFSET(daily_original_wrong!$B$23, 2*(ROW(B210)-ROW($B$23)),COLUMN(B210)-2)+OFFSET(daily_original_wrong!$B$23, 1+2*(ROW(B210)-ROW($B$23)),COLUMN(B210)-2)</f>
        <v>0</v>
      </c>
      <c r="C210">
        <v>1.0272910000000001E-3</v>
      </c>
    </row>
    <row r="211" spans="1:3" x14ac:dyDescent="0.2">
      <c r="A211" s="1" t="d">
        <v>2026-03-13</v>
      </c>
      <c r="B211">
        <f ca="1">OFFSET(daily_original_wrong!$B$23, 2*(ROW(B211)-ROW($B$23)),COLUMN(B211)-2)+OFFSET(daily_original_wrong!$B$23, 1+2*(ROW(B211)-ROW($B$23)),COLUMN(B211)-2)</f>
        <v>0</v>
      </c>
      <c r="C211">
        <v>1.0272910000000001E-3</v>
      </c>
    </row>
    <row r="212" spans="1:3" x14ac:dyDescent="0.2">
      <c r="A212" s="1" t="d">
        <v>2026-03-14</v>
      </c>
      <c r="B212">
        <f ca="1">OFFSET(daily_original_wrong!$B$23, 2*(ROW(B212)-ROW($B$23)),COLUMN(B212)-2)+OFFSET(daily_original_wrong!$B$23, 1+2*(ROW(B212)-ROW($B$23)),COLUMN(B212)-2)</f>
        <v>0</v>
      </c>
      <c r="C212">
        <v>7.29679E-4</v>
      </c>
    </row>
    <row r="213" spans="1:3" x14ac:dyDescent="0.2">
      <c r="A213" s="1" t="d">
        <v>2026-03-15</v>
      </c>
      <c r="B213">
        <f ca="1">OFFSET(daily_original_wrong!$B$23, 2*(ROW(B213)-ROW($B$23)),COLUMN(B213)-2)+OFFSET(daily_original_wrong!$B$23, 1+2*(ROW(B213)-ROW($B$23)),COLUMN(B213)-2)</f>
        <v>0</v>
      </c>
      <c r="C213">
        <v>7.29679E-4</v>
      </c>
    </row>
    <row r="214" spans="1:3" x14ac:dyDescent="0.2">
      <c r="A214" s="1" t="d">
        <v>2026-03-16</v>
      </c>
      <c r="B214">
        <f ca="1">OFFSET(daily_original_wrong!$B$23, 2*(ROW(B214)-ROW($B$23)),COLUMN(B214)-2)+OFFSET(daily_original_wrong!$B$23, 1+2*(ROW(B214)-ROW($B$23)),COLUMN(B214)-2)</f>
        <v>0</v>
      </c>
      <c r="C214">
        <v>7.29679E-4</v>
      </c>
    </row>
    <row r="215" spans="1:3" x14ac:dyDescent="0.2">
      <c r="A215" s="1" t="d">
        <v>2026-03-17</v>
      </c>
      <c r="B215">
        <f ca="1">OFFSET(daily_original_wrong!$B$23, 2*(ROW(B215)-ROW($B$23)),COLUMN(B215)-2)+OFFSET(daily_original_wrong!$B$23, 1+2*(ROW(B215)-ROW($B$23)),COLUMN(B215)-2)</f>
        <v>0</v>
      </c>
      <c r="C215">
        <v>7.29679E-4</v>
      </c>
    </row>
    <row r="216" spans="1:3" x14ac:dyDescent="0.2">
      <c r="A216" s="1" t="d">
        <v>2026-03-18</v>
      </c>
      <c r="B216">
        <f ca="1">OFFSET(daily_original_wrong!$B$23, 2*(ROW(B216)-ROW($B$23)),COLUMN(B216)-2)+OFFSET(daily_original_wrong!$B$23, 1+2*(ROW(B216)-ROW($B$23)),COLUMN(B216)-2)</f>
        <v>0</v>
      </c>
      <c r="C216">
        <v>7.29679E-4</v>
      </c>
    </row>
    <row r="217" spans="1:3" x14ac:dyDescent="0.2">
      <c r="A217" s="1" t="d">
        <v>2026-03-19</v>
      </c>
      <c r="B217">
        <f ca="1">OFFSET(daily_original_wrong!$B$23, 2*(ROW(B217)-ROW($B$23)),COLUMN(B217)-2)+OFFSET(daily_original_wrong!$B$23, 1+2*(ROW(B217)-ROW($B$23)),COLUMN(B217)-2)</f>
        <v>0</v>
      </c>
      <c r="C217">
        <v>7.29679E-4</v>
      </c>
    </row>
    <row r="218" spans="1:3" x14ac:dyDescent="0.2">
      <c r="A218" s="1" t="d">
        <v>2026-03-20</v>
      </c>
      <c r="B218">
        <f ca="1">OFFSET(daily_original_wrong!$B$23, 2*(ROW(B218)-ROW($B$23)),COLUMN(B218)-2)+OFFSET(daily_original_wrong!$B$23, 1+2*(ROW(B218)-ROW($B$23)),COLUMN(B218)-2)</f>
        <v>0</v>
      </c>
      <c r="C218">
        <v>7.29679E-4</v>
      </c>
    </row>
    <row r="219" spans="1:3" x14ac:dyDescent="0.2">
      <c r="A219" s="1" t="d">
        <v>2026-03-21</v>
      </c>
      <c r="B219">
        <f ca="1">OFFSET(daily_original_wrong!$B$23, 2*(ROW(B219)-ROW($B$23)),COLUMN(B219)-2)+OFFSET(daily_original_wrong!$B$23, 1+2*(ROW(B219)-ROW($B$23)),COLUMN(B219)-2)</f>
        <v>0</v>
      </c>
      <c r="C219">
        <v>4.7813499999999997E-4</v>
      </c>
    </row>
    <row r="220" spans="1:3" x14ac:dyDescent="0.2">
      <c r="A220" s="1" t="d">
        <v>2026-03-22</v>
      </c>
      <c r="B220">
        <f ca="1">OFFSET(daily_original_wrong!$B$23, 2*(ROW(B220)-ROW($B$23)),COLUMN(B220)-2)+OFFSET(daily_original_wrong!$B$23, 1+2*(ROW(B220)-ROW($B$23)),COLUMN(B220)-2)</f>
        <v>0</v>
      </c>
      <c r="C220">
        <v>4.7813499999999997E-4</v>
      </c>
    </row>
    <row r="221" spans="1:3" x14ac:dyDescent="0.2">
      <c r="A221" s="1" t="d">
        <v>2026-03-23</v>
      </c>
      <c r="B221">
        <f ca="1">OFFSET(daily_original_wrong!$B$23, 2*(ROW(B221)-ROW($B$23)),COLUMN(B221)-2)+OFFSET(daily_original_wrong!$B$23, 1+2*(ROW(B221)-ROW($B$23)),COLUMN(B221)-2)</f>
        <v>0</v>
      </c>
      <c r="C221">
        <v>4.7813499999999997E-4</v>
      </c>
    </row>
    <row r="222" spans="1:3" x14ac:dyDescent="0.2">
      <c r="A222" s="1" t="d">
        <v>2026-03-24</v>
      </c>
      <c r="B222">
        <f ca="1">OFFSET(daily_original_wrong!$B$23, 2*(ROW(B222)-ROW($B$23)),COLUMN(B222)-2)+OFFSET(daily_original_wrong!$B$23, 1+2*(ROW(B222)-ROW($B$23)),COLUMN(B222)-2)</f>
        <v>0</v>
      </c>
      <c r="C222">
        <v>4.7813499999999997E-4</v>
      </c>
    </row>
    <row r="223" spans="1:3" x14ac:dyDescent="0.2">
      <c r="A223" s="1" t="d">
        <v>2026-03-25</v>
      </c>
      <c r="B223">
        <f ca="1">OFFSET(daily_original_wrong!$B$23, 2*(ROW(B223)-ROW($B$23)),COLUMN(B223)-2)+OFFSET(daily_original_wrong!$B$23, 1+2*(ROW(B223)-ROW($B$23)),COLUMN(B223)-2)</f>
        <v>0</v>
      </c>
      <c r="C223">
        <v>4.7813499999999997E-4</v>
      </c>
    </row>
    <row r="224" spans="1:3" x14ac:dyDescent="0.2">
      <c r="A224" s="1" t="d">
        <v>2026-03-26</v>
      </c>
      <c r="B224">
        <f ca="1">OFFSET(daily_original_wrong!$B$23, 2*(ROW(B224)-ROW($B$23)),COLUMN(B224)-2)+OFFSET(daily_original_wrong!$B$23, 1+2*(ROW(B224)-ROW($B$23)),COLUMN(B224)-2)</f>
        <v>0</v>
      </c>
      <c r="C224">
        <v>4.7813499999999997E-4</v>
      </c>
    </row>
    <row r="225" spans="1:3" x14ac:dyDescent="0.2">
      <c r="A225" s="1" t="d">
        <v>2026-03-27</v>
      </c>
      <c r="B225">
        <f ca="1">OFFSET(daily_original_wrong!$B$23, 2*(ROW(B225)-ROW($B$23)),COLUMN(B225)-2)+OFFSET(daily_original_wrong!$B$23, 1+2*(ROW(B225)-ROW($B$23)),COLUMN(B225)-2)</f>
        <v>0</v>
      </c>
      <c r="C225">
        <v>4.7813499999999997E-4</v>
      </c>
    </row>
    <row r="226" spans="1:3" x14ac:dyDescent="0.2">
      <c r="A226" s="1" t="d">
        <v>2026-03-28</v>
      </c>
      <c r="B226">
        <f ca="1">OFFSET(daily_original_wrong!$B$23, 2*(ROW(B226)-ROW($B$23)),COLUMN(B226)-2)+OFFSET(daily_original_wrong!$B$23, 1+2*(ROW(B226)-ROW($B$23)),COLUMN(B226)-2)</f>
        <v>0</v>
      </c>
      <c r="C226">
        <v>4.1743699999999999E-4</v>
      </c>
    </row>
    <row r="227" spans="1:3" x14ac:dyDescent="0.2">
      <c r="A227" s="1" t="d">
        <v>2026-03-29</v>
      </c>
      <c r="B227">
        <f ca="1">OFFSET(daily_original_wrong!$B$23, 2*(ROW(B227)-ROW($B$23)),COLUMN(B227)-2)+OFFSET(daily_original_wrong!$B$23, 1+2*(ROW(B227)-ROW($B$23)),COLUMN(B227)-2)</f>
        <v>0</v>
      </c>
      <c r="C227">
        <v>4.1743699999999999E-4</v>
      </c>
    </row>
    <row r="228" spans="1:3" x14ac:dyDescent="0.2">
      <c r="A228" s="1" t="d">
        <v>2026-03-30</v>
      </c>
      <c r="B228">
        <f ca="1">OFFSET(daily_original_wrong!$B$23, 2*(ROW(B228)-ROW($B$23)),COLUMN(B228)-2)+OFFSET(daily_original_wrong!$B$23, 1+2*(ROW(B228)-ROW($B$23)),COLUMN(B228)-2)</f>
        <v>0</v>
      </c>
      <c r="C228">
        <v>4.1743699999999999E-4</v>
      </c>
    </row>
    <row r="229" spans="1:3" x14ac:dyDescent="0.2">
      <c r="A229" s="1" t="d">
        <v>2026-03-31</v>
      </c>
      <c r="B229">
        <f ca="1">OFFSET(daily_original_wrong!$B$23, 2*(ROW(B229)-ROW($B$23)),COLUMN(B229)-2)+OFFSET(daily_original_wrong!$B$23, 1+2*(ROW(B229)-ROW($B$23)),COLUMN(B229)-2)</f>
        <v>0</v>
      </c>
      <c r="C229">
        <v>4.1743699999999999E-4</v>
      </c>
    </row>
    <row r="230" spans="1:3" x14ac:dyDescent="0.2">
      <c r="A230" s="1" t="d">
        <v>2026-04-01</v>
      </c>
      <c r="B230">
        <f ca="1">OFFSET(daily_original_wrong!$B$23, 2*(ROW(B230)-ROW($B$23)),COLUMN(B230)-2)+OFFSET(daily_original_wrong!$B$23, 1+2*(ROW(B230)-ROW($B$23)),COLUMN(B230)-2)</f>
        <v>0</v>
      </c>
      <c r="C230">
        <v>4.1743699999999999E-4</v>
      </c>
    </row>
    <row r="231" spans="1:3" x14ac:dyDescent="0.2">
      <c r="A231" s="1" t="d">
        <v>2026-04-02</v>
      </c>
      <c r="B231">
        <f ca="1">OFFSET(daily_original_wrong!$B$23, 2*(ROW(B231)-ROW($B$23)),COLUMN(B231)-2)+OFFSET(daily_original_wrong!$B$23, 1+2*(ROW(B231)-ROW($B$23)),COLUMN(B231)-2)</f>
        <v>0</v>
      </c>
      <c r="C231">
        <v>4.1743699999999999E-4</v>
      </c>
    </row>
    <row r="232" spans="1:3" x14ac:dyDescent="0.2">
      <c r="A232" s="1" t="d">
        <v>2026-04-03</v>
      </c>
      <c r="B232">
        <f ca="1">OFFSET(daily_original_wrong!$B$23, 2*(ROW(B232)-ROW($B$23)),COLUMN(B232)-2)+OFFSET(daily_original_wrong!$B$23, 1+2*(ROW(B232)-ROW($B$23)),COLUMN(B232)-2)</f>
        <v>0</v>
      </c>
      <c r="C232">
        <v>4.1743699999999999E-4</v>
      </c>
    </row>
    <row r="233" spans="1:3" x14ac:dyDescent="0.2">
      <c r="A233" s="1" t="d">
        <v>2026-04-04</v>
      </c>
      <c r="B233">
        <f ca="1">OFFSET(daily_original_wrong!$B$23, 2*(ROW(B233)-ROW($B$23)),COLUMN(B233)-2)+OFFSET(daily_original_wrong!$B$23, 1+2*(ROW(B233)-ROW($B$23)),COLUMN(B233)-2)</f>
        <v>0</v>
      </c>
      <c r="C233">
        <v>5.3283699999999998E-4</v>
      </c>
    </row>
    <row r="234" spans="1:3" x14ac:dyDescent="0.2">
      <c r="A234" s="1" t="d">
        <v>2026-04-05</v>
      </c>
      <c r="B234">
        <f ca="1">OFFSET(daily_original_wrong!$B$23, 2*(ROW(B234)-ROW($B$23)),COLUMN(B234)-2)+OFFSET(daily_original_wrong!$B$23, 1+2*(ROW(B234)-ROW($B$23)),COLUMN(B234)-2)</f>
        <v>0</v>
      </c>
      <c r="C234">
        <v>5.3283699999999998E-4</v>
      </c>
    </row>
    <row r="235" spans="1:3" x14ac:dyDescent="0.2">
      <c r="A235" s="1" t="d">
        <v>2026-04-06</v>
      </c>
      <c r="B235">
        <f ca="1">OFFSET(daily_original_wrong!$B$23, 2*(ROW(B235)-ROW($B$23)),COLUMN(B235)-2)+OFFSET(daily_original_wrong!$B$23, 1+2*(ROW(B235)-ROW($B$23)),COLUMN(B235)-2)</f>
        <v>0</v>
      </c>
      <c r="C235">
        <v>5.3283699999999998E-4</v>
      </c>
    </row>
    <row r="236" spans="1:3" x14ac:dyDescent="0.2">
      <c r="A236" s="1" t="d">
        <v>2026-04-07</v>
      </c>
      <c r="B236">
        <f ca="1">OFFSET(daily_original_wrong!$B$23, 2*(ROW(B236)-ROW($B$23)),COLUMN(B236)-2)+OFFSET(daily_original_wrong!$B$23, 1+2*(ROW(B236)-ROW($B$23)),COLUMN(B236)-2)</f>
        <v>0</v>
      </c>
      <c r="C236">
        <v>5.3283699999999998E-4</v>
      </c>
    </row>
    <row r="237" spans="1:3" x14ac:dyDescent="0.2">
      <c r="A237" s="1" t="d">
        <v>2026-04-08</v>
      </c>
      <c r="B237">
        <f ca="1">OFFSET(daily_original_wrong!$B$23, 2*(ROW(B237)-ROW($B$23)),COLUMN(B237)-2)+OFFSET(daily_original_wrong!$B$23, 1+2*(ROW(B237)-ROW($B$23)),COLUMN(B237)-2)</f>
        <v>0</v>
      </c>
      <c r="C237">
        <v>5.3283699999999998E-4</v>
      </c>
    </row>
    <row r="238" spans="1:3" x14ac:dyDescent="0.2">
      <c r="A238" s="1" t="d">
        <v>2026-04-09</v>
      </c>
      <c r="B238">
        <f ca="1">OFFSET(daily_original_wrong!$B$23, 2*(ROW(B238)-ROW($B$23)),COLUMN(B238)-2)+OFFSET(daily_original_wrong!$B$23, 1+2*(ROW(B238)-ROW($B$23)),COLUMN(B238)-2)</f>
        <v>0</v>
      </c>
      <c r="C238">
        <v>5.3283699999999998E-4</v>
      </c>
    </row>
    <row r="239" spans="1:3" x14ac:dyDescent="0.2">
      <c r="A239" s="1" t="d">
        <v>2026-04-10</v>
      </c>
      <c r="B239">
        <f ca="1">OFFSET(daily_original_wrong!$B$23, 2*(ROW(B239)-ROW($B$23)),COLUMN(B239)-2)+OFFSET(daily_original_wrong!$B$23, 1+2*(ROW(B239)-ROW($B$23)),COLUMN(B239)-2)</f>
        <v>0</v>
      </c>
      <c r="C239">
        <v>5.3283699999999998E-4</v>
      </c>
    </row>
    <row r="240" spans="1:3" x14ac:dyDescent="0.2">
      <c r="A240" s="1" t="d">
        <v>2026-04-11</v>
      </c>
      <c r="B240">
        <f ca="1">OFFSET(daily_original_wrong!$B$23, 2*(ROW(B240)-ROW($B$23)),COLUMN(B240)-2)+OFFSET(daily_original_wrong!$B$23, 1+2*(ROW(B240)-ROW($B$23)),COLUMN(B240)-2)</f>
        <v>0</v>
      </c>
      <c r="C240" s="2">
        <v>9.7007800000000003E-5</v>
      </c>
    </row>
    <row r="241" spans="1:3" x14ac:dyDescent="0.2">
      <c r="A241" s="1" t="d">
        <v>2026-04-12</v>
      </c>
      <c r="B241">
        <f ca="1">OFFSET(daily_original_wrong!$B$23, 2*(ROW(B241)-ROW($B$23)),COLUMN(B241)-2)+OFFSET(daily_original_wrong!$B$23, 1+2*(ROW(B241)-ROW($B$23)),COLUMN(B241)-2)</f>
        <v>0</v>
      </c>
      <c r="C241" s="2">
        <v>9.7007800000000003E-5</v>
      </c>
    </row>
    <row r="242" spans="1:3" x14ac:dyDescent="0.2">
      <c r="A242" s="1" t="d">
        <v>2026-04-13</v>
      </c>
      <c r="B242">
        <f ca="1">OFFSET(daily_original_wrong!$B$23, 2*(ROW(B242)-ROW($B$23)),COLUMN(B242)-2)+OFFSET(daily_original_wrong!$B$23, 1+2*(ROW(B242)-ROW($B$23)),COLUMN(B242)-2)</f>
        <v>0</v>
      </c>
      <c r="C242" s="2">
        <v>9.7007800000000003E-5</v>
      </c>
    </row>
    <row r="243" spans="1:3" x14ac:dyDescent="0.2">
      <c r="A243" s="1" t="d">
        <v>2026-04-14</v>
      </c>
      <c r="B243">
        <f ca="1">OFFSET(daily_original_wrong!$B$23, 2*(ROW(B243)-ROW($B$23)),COLUMN(B243)-2)+OFFSET(daily_original_wrong!$B$23, 1+2*(ROW(B243)-ROW($B$23)),COLUMN(B243)-2)</f>
        <v>0</v>
      </c>
      <c r="C243" s="2">
        <v>9.7007800000000003E-5</v>
      </c>
    </row>
    <row r="244" spans="1:3" x14ac:dyDescent="0.2">
      <c r="A244" s="1" t="d">
        <v>2026-04-15</v>
      </c>
      <c r="B244">
        <f ca="1">OFFSET(daily_original_wrong!$B$23, 2*(ROW(B244)-ROW($B$23)),COLUMN(B244)-2)+OFFSET(daily_original_wrong!$B$23, 1+2*(ROW(B244)-ROW($B$23)),COLUMN(B244)-2)</f>
        <v>0</v>
      </c>
      <c r="C244" s="2">
        <v>9.7007800000000003E-5</v>
      </c>
    </row>
    <row r="245" spans="1:3" x14ac:dyDescent="0.2">
      <c r="A245" s="1" t="d">
        <v>2026-04-16</v>
      </c>
      <c r="B245">
        <f ca="1">OFFSET(daily_original_wrong!$B$23, 2*(ROW(B245)-ROW($B$23)),COLUMN(B245)-2)+OFFSET(daily_original_wrong!$B$23, 1+2*(ROW(B245)-ROW($B$23)),COLUMN(B245)-2)</f>
        <v>0</v>
      </c>
      <c r="C245" s="2">
        <v>9.7007800000000003E-5</v>
      </c>
    </row>
    <row r="246" spans="1:3" x14ac:dyDescent="0.2">
      <c r="A246" s="1" t="d">
        <v>2026-04-17</v>
      </c>
      <c r="B246">
        <f ca="1">OFFSET(daily_original_wrong!$B$23, 2*(ROW(B246)-ROW($B$23)),COLUMN(B246)-2)+OFFSET(daily_original_wrong!$B$23, 1+2*(ROW(B246)-ROW($B$23)),COLUMN(B246)-2)</f>
        <v>0</v>
      </c>
      <c r="C246" s="2">
        <v>9.7007800000000003E-5</v>
      </c>
    </row>
    <row r="247" spans="1:3" x14ac:dyDescent="0.2">
      <c r="A247" s="1" t="d">
        <v>2026-04-18</v>
      </c>
      <c r="B247">
        <f ca="1">OFFSET(daily_original_wrong!$B$23, 2*(ROW(B247)-ROW($B$23)),COLUMN(B247)-2)+OFFSET(daily_original_wrong!$B$23, 1+2*(ROW(B247)-ROW($B$23)),COLUMN(B247)-2)</f>
        <v>0</v>
      </c>
      <c r="C247" s="2">
        <v>2.6043699999999999E-5</v>
      </c>
    </row>
    <row r="248" spans="1:3" x14ac:dyDescent="0.2">
      <c r="A248" s="1" t="d">
        <v>2026-04-19</v>
      </c>
      <c r="B248">
        <f ca="1">OFFSET(daily_original_wrong!$B$23, 2*(ROW(B248)-ROW($B$23)),COLUMN(B248)-2)+OFFSET(daily_original_wrong!$B$23, 1+2*(ROW(B248)-ROW($B$23)),COLUMN(B248)-2)</f>
        <v>0</v>
      </c>
      <c r="C248" s="2">
        <v>2.6043699999999999E-5</v>
      </c>
    </row>
    <row r="249" spans="1:3" x14ac:dyDescent="0.2">
      <c r="A249" s="1" t="d">
        <v>2026-04-20</v>
      </c>
      <c r="B249">
        <f ca="1">OFFSET(daily_original_wrong!$B$23, 2*(ROW(B249)-ROW($B$23)),COLUMN(B249)-2)+OFFSET(daily_original_wrong!$B$23, 1+2*(ROW(B249)-ROW($B$23)),COLUMN(B249)-2)</f>
        <v>0</v>
      </c>
      <c r="C249" s="2">
        <v>2.6043699999999999E-5</v>
      </c>
    </row>
    <row r="250" spans="1:3" x14ac:dyDescent="0.2">
      <c r="A250" s="1" t="d">
        <v>2026-04-21</v>
      </c>
      <c r="B250">
        <f ca="1">OFFSET(daily_original_wrong!$B$23, 2*(ROW(B250)-ROW($B$23)),COLUMN(B250)-2)+OFFSET(daily_original_wrong!$B$23, 1+2*(ROW(B250)-ROW($B$23)),COLUMN(B250)-2)</f>
        <v>0</v>
      </c>
      <c r="C250" s="2">
        <v>2.6043699999999999E-5</v>
      </c>
    </row>
    <row r="251" spans="1:3" x14ac:dyDescent="0.2">
      <c r="A251" s="1" t="d">
        <v>2026-04-22</v>
      </c>
      <c r="B251">
        <f ca="1">OFFSET(daily_original_wrong!$B$23, 2*(ROW(B251)-ROW($B$23)),COLUMN(B251)-2)+OFFSET(daily_original_wrong!$B$23, 1+2*(ROW(B251)-ROW($B$23)),COLUMN(B251)-2)</f>
        <v>0</v>
      </c>
      <c r="C251" s="2">
        <v>2.6043699999999999E-5</v>
      </c>
    </row>
    <row r="252" spans="1:3" x14ac:dyDescent="0.2">
      <c r="A252" s="1" t="d">
        <v>2026-04-23</v>
      </c>
      <c r="B252">
        <f ca="1">OFFSET(daily_original_wrong!$B$23, 2*(ROW(B252)-ROW($B$23)),COLUMN(B252)-2)+OFFSET(daily_original_wrong!$B$23, 1+2*(ROW(B252)-ROW($B$23)),COLUMN(B252)-2)</f>
        <v>0</v>
      </c>
      <c r="C252" s="2">
        <v>2.6043699999999999E-5</v>
      </c>
    </row>
    <row r="253" spans="1:3" x14ac:dyDescent="0.2">
      <c r="A253" s="1" t="d">
        <v>2026-04-24</v>
      </c>
      <c r="B253">
        <f ca="1">OFFSET(daily_original_wrong!$B$23, 2*(ROW(B253)-ROW($B$23)),COLUMN(B253)-2)+OFFSET(daily_original_wrong!$B$23, 1+2*(ROW(B253)-ROW($B$23)),COLUMN(B253)-2)</f>
        <v>0</v>
      </c>
      <c r="C253" s="2">
        <v>2.6043699999999999E-5</v>
      </c>
    </row>
    <row r="254" spans="1:3" x14ac:dyDescent="0.2">
      <c r="A254" s="1" t="d">
        <v>2026-04-25</v>
      </c>
      <c r="B254">
        <f ca="1">OFFSET(daily_original_wrong!$B$23, 2*(ROW(B254)-ROW($B$23)),COLUMN(B254)-2)+OFFSET(daily_original_wrong!$B$23, 1+2*(ROW(B254)-ROW($B$23)),COLUMN(B254)-2)</f>
        <v>0</v>
      </c>
      <c r="C254">
        <v>0</v>
      </c>
    </row>
    <row r="255" spans="1:3" x14ac:dyDescent="0.2">
      <c r="A255" s="1" t="d">
        <v>2026-04-26</v>
      </c>
      <c r="B255">
        <f ca="1">OFFSET(daily_original_wrong!$B$23, 2*(ROW(B255)-ROW($B$23)),COLUMN(B255)-2)+OFFSET(daily_original_wrong!$B$23, 1+2*(ROW(B255)-ROW($B$23)),COLUMN(B255)-2)</f>
        <v>0</v>
      </c>
      <c r="C255">
        <v>0</v>
      </c>
    </row>
    <row r="256" spans="1:3" x14ac:dyDescent="0.2">
      <c r="A256" s="1" t="d">
        <v>2026-04-27</v>
      </c>
      <c r="B256">
        <f ca="1">OFFSET(daily_original_wrong!$B$23, 2*(ROW(B256)-ROW($B$23)),COLUMN(B256)-2)+OFFSET(daily_original_wrong!$B$23, 1+2*(ROW(B256)-ROW($B$23)),COLUMN(B256)-2)</f>
        <v>0</v>
      </c>
      <c r="C256">
        <v>0</v>
      </c>
    </row>
    <row r="257" spans="1:3" x14ac:dyDescent="0.2">
      <c r="A257" s="1" t="d">
        <v>2026-04-28</v>
      </c>
      <c r="B257">
        <f ca="1">OFFSET(daily_original_wrong!$B$23, 2*(ROW(B257)-ROW($B$23)),COLUMN(B257)-2)+OFFSET(daily_original_wrong!$B$23, 1+2*(ROW(B257)-ROW($B$23)),COLUMN(B257)-2)</f>
        <v>0</v>
      </c>
      <c r="C257">
        <v>0</v>
      </c>
    </row>
    <row r="258" spans="1:3" x14ac:dyDescent="0.2">
      <c r="A258" s="1" t="d">
        <v>2026-04-29</v>
      </c>
      <c r="B258">
        <f ca="1">OFFSET(daily_original_wrong!$B$23, 2*(ROW(B258)-ROW($B$23)),COLUMN(B258)-2)+OFFSET(daily_original_wrong!$B$23, 1+2*(ROW(B258)-ROW($B$23)),COLUMN(B258)-2)</f>
        <v>0</v>
      </c>
      <c r="C258">
        <v>0</v>
      </c>
    </row>
    <row r="259" spans="1:3" x14ac:dyDescent="0.2">
      <c r="A259" s="1" t="d">
        <v>2026-04-30</v>
      </c>
      <c r="B259">
        <f ca="1">OFFSET(daily_original_wrong!$B$23, 2*(ROW(B259)-ROW($B$23)),COLUMN(B259)-2)+OFFSET(daily_original_wrong!$B$23, 1+2*(ROW(B259)-ROW($B$23)),COLUMN(B259)-2)</f>
        <v>0</v>
      </c>
      <c r="C259">
        <v>0</v>
      </c>
    </row>
    <row r="260" spans="1:3" x14ac:dyDescent="0.2">
      <c r="A260" s="1" t="d">
        <v>2026-05-01</v>
      </c>
      <c r="B260">
        <f ca="1">OFFSET(daily_original_wrong!$B$23, 2*(ROW(B260)-ROW($B$23)),COLUMN(B260)-2)+OFFSET(daily_original_wrong!$B$23, 1+2*(ROW(B260)-ROW($B$23)),COLUMN(B260)-2)</f>
        <v>0</v>
      </c>
      <c r="C260">
        <v>0</v>
      </c>
    </row>
    <row r="261" spans="1:3" x14ac:dyDescent="0.2">
      <c r="A261" s="1" t="d">
        <v>2026-05-02</v>
      </c>
      <c r="B261">
        <f ca="1">OFFSET(daily_original_wrong!$B$23, 2*(ROW(B261)-ROW($B$23)),COLUMN(B261)-2)+OFFSET(daily_original_wrong!$B$23, 1+2*(ROW(B261)-ROW($B$23)),COLUMN(B261)-2)</f>
        <v>0</v>
      </c>
      <c r="C261">
        <v>0</v>
      </c>
    </row>
    <row r="262" spans="1:3" x14ac:dyDescent="0.2">
      <c r="A262" s="1" t="d">
        <v>2026-05-03</v>
      </c>
      <c r="B262">
        <f ca="1">OFFSET(daily_original_wrong!$B$23, 2*(ROW(B262)-ROW($B$23)),COLUMN(B262)-2)+OFFSET(daily_original_wrong!$B$23, 1+2*(ROW(B262)-ROW($B$23)),COLUMN(B262)-2)</f>
        <v>0</v>
      </c>
      <c r="C262">
        <v>0</v>
      </c>
    </row>
    <row r="263" spans="1:3" x14ac:dyDescent="0.2">
      <c r="A263" s="1" t="d">
        <v>2026-05-04</v>
      </c>
      <c r="B263">
        <f ca="1">OFFSET(daily_original_wrong!$B$23, 2*(ROW(B263)-ROW($B$23)),COLUMN(B263)-2)+OFFSET(daily_original_wrong!$B$23, 1+2*(ROW(B263)-ROW($B$23)),COLUMN(B263)-2)</f>
        <v>0</v>
      </c>
      <c r="C263">
        <v>0</v>
      </c>
    </row>
    <row r="264" spans="1:3" x14ac:dyDescent="0.2">
      <c r="A264" s="1" t="d">
        <v>2026-05-05</v>
      </c>
      <c r="B264">
        <f ca="1">OFFSET(daily_original_wrong!$B$23, 2*(ROW(B264)-ROW($B$23)),COLUMN(B264)-2)+OFFSET(daily_original_wrong!$B$23, 1+2*(ROW(B264)-ROW($B$23)),COLUMN(B264)-2)</f>
        <v>0</v>
      </c>
      <c r="C264">
        <v>0</v>
      </c>
    </row>
    <row r="265" spans="1:3" x14ac:dyDescent="0.2">
      <c r="A265" s="1" t="d">
        <v>2026-05-06</v>
      </c>
      <c r="B265">
        <f ca="1">OFFSET(daily_original_wrong!$B$23, 2*(ROW(B265)-ROW($B$23)),COLUMN(B265)-2)+OFFSET(daily_original_wrong!$B$23, 1+2*(ROW(B265)-ROW($B$23)),COLUMN(B265)-2)</f>
        <v>0</v>
      </c>
      <c r="C265">
        <v>0</v>
      </c>
    </row>
    <row r="266" spans="1:3" x14ac:dyDescent="0.2">
      <c r="A266" s="1" t="d">
        <v>2026-05-07</v>
      </c>
      <c r="B266">
        <f ca="1">OFFSET(daily_original_wrong!$B$23, 2*(ROW(B266)-ROW($B$23)),COLUMN(B266)-2)+OFFSET(daily_original_wrong!$B$23, 1+2*(ROW(B266)-ROW($B$23)),COLUMN(B266)-2)</f>
        <v>0</v>
      </c>
      <c r="C266">
        <v>0</v>
      </c>
    </row>
    <row r="267" spans="1:3" x14ac:dyDescent="0.2">
      <c r="A267" s="1" t="d">
        <v>2026-05-08</v>
      </c>
      <c r="B267">
        <f ca="1">OFFSET(daily_original_wrong!$B$23, 2*(ROW(B267)-ROW($B$23)),COLUMN(B267)-2)+OFFSET(daily_original_wrong!$B$23, 1+2*(ROW(B267)-ROW($B$23)),COLUMN(B267)-2)</f>
        <v>0</v>
      </c>
      <c r="C267">
        <v>0</v>
      </c>
    </row>
    <row r="268" spans="1:3" x14ac:dyDescent="0.2">
      <c r="A268" s="1" t="d">
        <v>2026-05-09</v>
      </c>
      <c r="B268">
        <f ca="1">OFFSET(daily_original_wrong!$B$23, 2*(ROW(B268)-ROW($B$23)),COLUMN(B268)-2)+OFFSET(daily_original_wrong!$B$23, 1+2*(ROW(B268)-ROW($B$23)),COLUMN(B268)-2)</f>
        <v>0</v>
      </c>
      <c r="C268">
        <v>0</v>
      </c>
    </row>
    <row r="269" spans="1:3" x14ac:dyDescent="0.2">
      <c r="A269" s="1" t="d">
        <v>2026-05-10</v>
      </c>
      <c r="B269">
        <f ca="1">OFFSET(daily_original_wrong!$B$23, 2*(ROW(B269)-ROW($B$23)),COLUMN(B269)-2)+OFFSET(daily_original_wrong!$B$23, 1+2*(ROW(B269)-ROW($B$23)),COLUMN(B269)-2)</f>
        <v>0</v>
      </c>
      <c r="C269">
        <v>0</v>
      </c>
    </row>
    <row r="270" spans="1:3" x14ac:dyDescent="0.2">
      <c r="A270" s="1" t="d">
        <v>2026-05-11</v>
      </c>
      <c r="B270">
        <f ca="1">OFFSET(daily_original_wrong!$B$23, 2*(ROW(B270)-ROW($B$23)),COLUMN(B270)-2)+OFFSET(daily_original_wrong!$B$23, 1+2*(ROW(B270)-ROW($B$23)),COLUMN(B270)-2)</f>
        <v>0</v>
      </c>
      <c r="C270">
        <v>0</v>
      </c>
    </row>
    <row r="271" spans="1:3" x14ac:dyDescent="0.2">
      <c r="A271" s="1" t="d">
        <v>2026-05-12</v>
      </c>
      <c r="B271">
        <f ca="1">OFFSET(daily_original_wrong!$B$23, 2*(ROW(B271)-ROW($B$23)),COLUMN(B271)-2)+OFFSET(daily_original_wrong!$B$23, 1+2*(ROW(B271)-ROW($B$23)),COLUMN(B271)-2)</f>
        <v>0</v>
      </c>
      <c r="C271">
        <v>0</v>
      </c>
    </row>
    <row r="272" spans="1:3" x14ac:dyDescent="0.2">
      <c r="A272" s="1" t="d">
        <v>2026-05-13</v>
      </c>
      <c r="B272">
        <f ca="1">OFFSET(daily_original_wrong!$B$23, 2*(ROW(B272)-ROW($B$23)),COLUMN(B272)-2)+OFFSET(daily_original_wrong!$B$23, 1+2*(ROW(B272)-ROW($B$23)),COLUMN(B272)-2)</f>
        <v>0</v>
      </c>
      <c r="C272">
        <v>0</v>
      </c>
    </row>
    <row r="273" spans="1:3" x14ac:dyDescent="0.2">
      <c r="A273" s="1" t="d">
        <v>2026-05-14</v>
      </c>
      <c r="B273">
        <f ca="1">OFFSET(daily_original_wrong!$B$23, 2*(ROW(B273)-ROW($B$23)),COLUMN(B273)-2)+OFFSET(daily_original_wrong!$B$23, 1+2*(ROW(B273)-ROW($B$23)),COLUMN(B273)-2)</f>
        <v>0</v>
      </c>
      <c r="C273">
        <v>0</v>
      </c>
    </row>
    <row r="274" spans="1:3" x14ac:dyDescent="0.2">
      <c r="A274" s="1" t="d">
        <v>2026-05-15</v>
      </c>
      <c r="B274">
        <f ca="1">OFFSET(daily_original_wrong!$B$23, 2*(ROW(B274)-ROW($B$23)),COLUMN(B274)-2)+OFFSET(daily_original_wrong!$B$23, 1+2*(ROW(B274)-ROW($B$23)),COLUMN(B274)-2)</f>
        <v>0</v>
      </c>
      <c r="C274">
        <v>0</v>
      </c>
    </row>
    <row r="275" spans="1:3" x14ac:dyDescent="0.2">
      <c r="A275" s="1" t="d">
        <v>2026-05-16</v>
      </c>
      <c r="B275">
        <f ca="1">OFFSET(daily_original_wrong!$B$23, 2*(ROW(B275)-ROW($B$23)),COLUMN(B275)-2)+OFFSET(daily_original_wrong!$B$23, 1+2*(ROW(B275)-ROW($B$23)),COLUMN(B275)-2)</f>
        <v>0</v>
      </c>
      <c r="C275">
        <v>0</v>
      </c>
    </row>
    <row r="276" spans="1:3" x14ac:dyDescent="0.2">
      <c r="A276" s="1" t="d">
        <v>2026-05-17</v>
      </c>
      <c r="B276">
        <f ca="1">OFFSET(daily_original_wrong!$B$23, 2*(ROW(B276)-ROW($B$23)),COLUMN(B276)-2)+OFFSET(daily_original_wrong!$B$23, 1+2*(ROW(B276)-ROW($B$23)),COLUMN(B276)-2)</f>
        <v>0</v>
      </c>
      <c r="C276">
        <v>0</v>
      </c>
    </row>
    <row r="277" spans="1:3" x14ac:dyDescent="0.2">
      <c r="A277" s="1" t="d">
        <v>2026-05-18</v>
      </c>
      <c r="B277">
        <f ca="1">OFFSET(daily_original_wrong!$B$23, 2*(ROW(B277)-ROW($B$23)),COLUMN(B277)-2)+OFFSET(daily_original_wrong!$B$23, 1+2*(ROW(B277)-ROW($B$23)),COLUMN(B277)-2)</f>
        <v>0</v>
      </c>
      <c r="C277">
        <v>0</v>
      </c>
    </row>
    <row r="278" spans="1:3" x14ac:dyDescent="0.2">
      <c r="A278" s="1" t="d">
        <v>2026-05-19</v>
      </c>
      <c r="B278">
        <f ca="1">OFFSET(daily_original_wrong!$B$23, 2*(ROW(B278)-ROW($B$23)),COLUMN(B278)-2)+OFFSET(daily_original_wrong!$B$23, 1+2*(ROW(B278)-ROW($B$23)),COLUMN(B278)-2)</f>
        <v>0</v>
      </c>
      <c r="C278">
        <v>0</v>
      </c>
    </row>
    <row r="279" spans="1:3" x14ac:dyDescent="0.2">
      <c r="A279" s="1" t="d">
        <v>2026-05-20</v>
      </c>
      <c r="B279">
        <f ca="1">OFFSET(daily_original_wrong!$B$23, 2*(ROW(B279)-ROW($B$23)),COLUMN(B279)-2)+OFFSET(daily_original_wrong!$B$23, 1+2*(ROW(B279)-ROW($B$23)),COLUMN(B279)-2)</f>
        <v>0</v>
      </c>
      <c r="C279">
        <v>0</v>
      </c>
    </row>
    <row r="280" spans="1:3" x14ac:dyDescent="0.2">
      <c r="A280" s="1" t="d">
        <v>2026-05-21</v>
      </c>
      <c r="B280">
        <f ca="1">OFFSET(daily_original_wrong!$B$23, 2*(ROW(B280)-ROW($B$23)),COLUMN(B280)-2)+OFFSET(daily_original_wrong!$B$23, 1+2*(ROW(B280)-ROW($B$23)),COLUMN(B280)-2)</f>
        <v>0</v>
      </c>
      <c r="C280">
        <v>0</v>
      </c>
    </row>
    <row r="281" spans="1:3" x14ac:dyDescent="0.2">
      <c r="A281" s="1" t="d">
        <v>2026-05-22</v>
      </c>
      <c r="B281">
        <f ca="1">OFFSET(daily_original_wrong!$B$23, 2*(ROW(B281)-ROW($B$23)),COLUMN(B281)-2)+OFFSET(daily_original_wrong!$B$23, 1+2*(ROW(B281)-ROW($B$23)),COLUMN(B281)-2)</f>
        <v>0</v>
      </c>
      <c r="C281">
        <v>0</v>
      </c>
    </row>
    <row r="282" spans="1:3" x14ac:dyDescent="0.2">
      <c r="A282" s="1" t="d">
        <v>2026-05-23</v>
      </c>
      <c r="B282">
        <f ca="1">OFFSET(daily_original_wrong!$B$23, 2*(ROW(B282)-ROW($B$23)),COLUMN(B282)-2)+OFFSET(daily_original_wrong!$B$23, 1+2*(ROW(B282)-ROW($B$23)),COLUMN(B282)-2)</f>
        <v>0</v>
      </c>
      <c r="C282">
        <v>0</v>
      </c>
    </row>
    <row r="283" spans="1:3" x14ac:dyDescent="0.2">
      <c r="A283" s="1" t="d">
        <v>2026-05-24</v>
      </c>
      <c r="B283">
        <f ca="1">OFFSET(daily_original_wrong!$B$23, 2*(ROW(B283)-ROW($B$23)),COLUMN(B283)-2)+OFFSET(daily_original_wrong!$B$23, 1+2*(ROW(B283)-ROW($B$23)),COLUMN(B283)-2)</f>
        <v>0</v>
      </c>
      <c r="C283">
        <v>0</v>
      </c>
    </row>
    <row r="284" spans="1:3" x14ac:dyDescent="0.2">
      <c r="A284" s="1" t="d">
        <v>2026-05-25</v>
      </c>
      <c r="B284">
        <f ca="1">OFFSET(daily_original_wrong!$B$23, 2*(ROW(B284)-ROW($B$23)),COLUMN(B284)-2)+OFFSET(daily_original_wrong!$B$23, 1+2*(ROW(B284)-ROW($B$23)),COLUMN(B284)-2)</f>
        <v>0</v>
      </c>
      <c r="C284">
        <v>0</v>
      </c>
    </row>
    <row r="285" spans="1:3" x14ac:dyDescent="0.2">
      <c r="A285" s="1" t="d">
        <v>2026-05-26</v>
      </c>
      <c r="B285">
        <f ca="1">OFFSET(daily_original_wrong!$B$23, 2*(ROW(B285)-ROW($B$23)),COLUMN(B285)-2)+OFFSET(daily_original_wrong!$B$23, 1+2*(ROW(B285)-ROW($B$23)),COLUMN(B285)-2)</f>
        <v>0</v>
      </c>
      <c r="C285">
        <v>0</v>
      </c>
    </row>
    <row r="286" spans="1:3" x14ac:dyDescent="0.2">
      <c r="A286" s="1" t="d">
        <v>2026-05-27</v>
      </c>
      <c r="B286">
        <f ca="1">OFFSET(daily_original_wrong!$B$23, 2*(ROW(B286)-ROW($B$23)),COLUMN(B286)-2)+OFFSET(daily_original_wrong!$B$23, 1+2*(ROW(B286)-ROW($B$23)),COLUMN(B286)-2)</f>
        <v>0</v>
      </c>
      <c r="C286">
        <v>0</v>
      </c>
    </row>
    <row r="287" spans="1:3" x14ac:dyDescent="0.2">
      <c r="A287" s="1" t="d">
        <v>2026-05-28</v>
      </c>
      <c r="B287">
        <f ca="1">OFFSET(daily_original_wrong!$B$23, 2*(ROW(B287)-ROW($B$23)),COLUMN(B287)-2)+OFFSET(daily_original_wrong!$B$23, 1+2*(ROW(B287)-ROW($B$23)),COLUMN(B287)-2)</f>
        <v>0</v>
      </c>
      <c r="C287">
        <v>0</v>
      </c>
    </row>
    <row r="288" spans="1:3" x14ac:dyDescent="0.2">
      <c r="A288" s="1" t="d">
        <v>2026-05-29</v>
      </c>
      <c r="B288">
        <f ca="1">OFFSET(daily_original_wrong!$B$23, 2*(ROW(B288)-ROW($B$23)),COLUMN(B288)-2)+OFFSET(daily_original_wrong!$B$23, 1+2*(ROW(B288)-ROW($B$23)),COLUMN(B288)-2)</f>
        <v>0</v>
      </c>
      <c r="C288">
        <v>0</v>
      </c>
    </row>
    <row r="289" spans="1:3" x14ac:dyDescent="0.2">
      <c r="A289" s="1" t="d">
        <v>2026-05-30</v>
      </c>
      <c r="B289">
        <f ca="1">OFFSET(daily_original_wrong!$B$23, 2*(ROW(B289)-ROW($B$23)),COLUMN(B289)-2)+OFFSET(daily_original_wrong!$B$23, 1+2*(ROW(B289)-ROW($B$23)),COLUMN(B289)-2)</f>
        <v>0</v>
      </c>
      <c r="C289">
        <v>0</v>
      </c>
    </row>
    <row r="290" spans="1:3" x14ac:dyDescent="0.2">
      <c r="A290" s="1" t="d">
        <v>2026-05-31</v>
      </c>
      <c r="B290">
        <f ca="1">OFFSET(daily_original_wrong!$B$23, 2*(ROW(B290)-ROW($B$23)),COLUMN(B290)-2)+OFFSET(daily_original_wrong!$B$23, 1+2*(ROW(B290)-ROW($B$23)),COLUMN(B290)-2)</f>
        <v>0</v>
      </c>
      <c r="C290">
        <v>0</v>
      </c>
    </row>
    <row r="291" spans="1:3" x14ac:dyDescent="0.2">
      <c r="A291" s="1" t="d">
        <v>2026-06-01</v>
      </c>
      <c r="B291">
        <f ca="1">OFFSET(daily_original_wrong!$B$23, 2*(ROW(B291)-ROW($B$23)),COLUMN(B291)-2)+OFFSET(daily_original_wrong!$B$23, 1+2*(ROW(B291)-ROW($B$23)),COLUMN(B291)-2)</f>
        <v>0</v>
      </c>
      <c r="C291">
        <v>0</v>
      </c>
    </row>
    <row r="292" spans="1:3" x14ac:dyDescent="0.2">
      <c r="A292" s="1" t="d">
        <v>2026-06-02</v>
      </c>
      <c r="B292">
        <f ca="1">OFFSET(daily_original_wrong!$B$23, 2*(ROW(B292)-ROW($B$23)),COLUMN(B292)-2)+OFFSET(daily_original_wrong!$B$23, 1+2*(ROW(B292)-ROW($B$23)),COLUMN(B292)-2)</f>
        <v>0</v>
      </c>
      <c r="C292">
        <v>0</v>
      </c>
    </row>
    <row r="293" spans="1:3" x14ac:dyDescent="0.2">
      <c r="A293" s="1" t="d">
        <v>2026-06-03</v>
      </c>
      <c r="B293">
        <f ca="1">OFFSET(daily_original_wrong!$B$23, 2*(ROW(B293)-ROW($B$23)),COLUMN(B293)-2)+OFFSET(daily_original_wrong!$B$23, 1+2*(ROW(B293)-ROW($B$23)),COLUMN(B293)-2)</f>
        <v>0</v>
      </c>
      <c r="C293">
        <v>0</v>
      </c>
    </row>
    <row r="294" spans="1:3" x14ac:dyDescent="0.2">
      <c r="A294" s="1" t="d">
        <v>2026-06-04</v>
      </c>
      <c r="B294">
        <f ca="1">OFFSET(daily_original_wrong!$B$23, 2*(ROW(B294)-ROW($B$23)),COLUMN(B294)-2)+OFFSET(daily_original_wrong!$B$23, 1+2*(ROW(B294)-ROW($B$23)),COLUMN(B294)-2)</f>
        <v>0</v>
      </c>
      <c r="C294">
        <v>0</v>
      </c>
    </row>
    <row r="295" spans="1:3" x14ac:dyDescent="0.2">
      <c r="A295" s="1" t="d">
        <v>2026-06-05</v>
      </c>
      <c r="B295">
        <f ca="1">OFFSET(daily_original_wrong!$B$23, 2*(ROW(B295)-ROW($B$23)),COLUMN(B295)-2)+OFFSET(daily_original_wrong!$B$23, 1+2*(ROW(B295)-ROW($B$23)),COLUMN(B295)-2)</f>
        <v>0</v>
      </c>
      <c r="C295">
        <v>0</v>
      </c>
    </row>
    <row r="296" spans="1:3" x14ac:dyDescent="0.2">
      <c r="A296" s="1" t="d">
        <v>2026-06-06</v>
      </c>
      <c r="B296">
        <f ca="1">OFFSET(daily_original_wrong!$B$23, 2*(ROW(B296)-ROW($B$23)),COLUMN(B296)-2)+OFFSET(daily_original_wrong!$B$23, 1+2*(ROW(B296)-ROW($B$23)),COLUMN(B296)-2)</f>
        <v>0</v>
      </c>
      <c r="C296">
        <v>0</v>
      </c>
    </row>
    <row r="297" spans="1:3" x14ac:dyDescent="0.2">
      <c r="A297" s="1" t="d">
        <v>2026-06-07</v>
      </c>
      <c r="B297">
        <f ca="1">OFFSET(daily_original_wrong!$B$23, 2*(ROW(B297)-ROW($B$23)),COLUMN(B297)-2)+OFFSET(daily_original_wrong!$B$23, 1+2*(ROW(B297)-ROW($B$23)),COLUMN(B297)-2)</f>
        <v>0</v>
      </c>
      <c r="C297">
        <v>0</v>
      </c>
    </row>
    <row r="298" spans="1:3" x14ac:dyDescent="0.2">
      <c r="A298" s="1" t="d">
        <v>2026-06-08</v>
      </c>
      <c r="B298">
        <f ca="1">OFFSET(daily_original_wrong!$B$23, 2*(ROW(B298)-ROW($B$23)),COLUMN(B298)-2)+OFFSET(daily_original_wrong!$B$23, 1+2*(ROW(B298)-ROW($B$23)),COLUMN(B298)-2)</f>
        <v>0</v>
      </c>
      <c r="C298">
        <v>0</v>
      </c>
    </row>
    <row r="299" spans="1:3" x14ac:dyDescent="0.2">
      <c r="A299" s="1" t="d">
        <v>2026-06-09</v>
      </c>
      <c r="B299">
        <f ca="1">OFFSET(daily_original_wrong!$B$23, 2*(ROW(B299)-ROW($B$23)),COLUMN(B299)-2)+OFFSET(daily_original_wrong!$B$23, 1+2*(ROW(B299)-ROW($B$23)),COLUMN(B299)-2)</f>
        <v>0</v>
      </c>
      <c r="C299">
        <v>0</v>
      </c>
    </row>
    <row r="300" spans="1:3" x14ac:dyDescent="0.2">
      <c r="A300" s="1" t="d">
        <v>2026-06-10</v>
      </c>
      <c r="B300">
        <f ca="1">OFFSET(daily_original_wrong!$B$23, 2*(ROW(B300)-ROW($B$23)),COLUMN(B300)-2)+OFFSET(daily_original_wrong!$B$23, 1+2*(ROW(B300)-ROW($B$23)),COLUMN(B300)-2)</f>
        <v>0</v>
      </c>
      <c r="C300">
        <v>0</v>
      </c>
    </row>
    <row r="301" spans="1:3" x14ac:dyDescent="0.2">
      <c r="A301" s="1" t="d">
        <v>2026-06-11</v>
      </c>
      <c r="B301">
        <f ca="1">OFFSET(daily_original_wrong!$B$23, 2*(ROW(B301)-ROW($B$23)),COLUMN(B301)-2)+OFFSET(daily_original_wrong!$B$23, 1+2*(ROW(B301)-ROW($B$23)),COLUMN(B301)-2)</f>
        <v>0</v>
      </c>
      <c r="C301">
        <v>0</v>
      </c>
    </row>
    <row r="302" spans="1:3" x14ac:dyDescent="0.2">
      <c r="A302" s="1" t="d">
        <v>2026-06-12</v>
      </c>
      <c r="B302">
        <f ca="1">OFFSET(daily_original_wrong!$B$23, 2*(ROW(B302)-ROW($B$23)),COLUMN(B302)-2)+OFFSET(daily_original_wrong!$B$23, 1+2*(ROW(B302)-ROW($B$23)),COLUMN(B302)-2)</f>
        <v>0</v>
      </c>
      <c r="C302">
        <v>0</v>
      </c>
    </row>
  </sheetData>
  <pageMargins left="0.7" right="0.7" top="0.75" bottom="0.75" header="0.3" footer="0.3"/>
  <headerFooter alignWithMargins="0"/>
  <drawing r:id="rId1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88F01-A147-FB40-8EB0-777067598DE3}">
  <dimension ref="A1:B14"/>
  <sheetViews>
    <sheetView workbookViewId="0">
      <selection activeCell="A7" sqref="A7:B14"/>
    </sheetView>
  </sheetViews>
  <sheetFormatPr baseColWidth="10" defaultRowHeight="16" x14ac:dyDescent="0.2"/>
  <sheetData>
    <row r="1" spans="1:2" x14ac:dyDescent="0.2">
      <c r="A1" t="s">
        <v>10</v>
      </c>
    </row>
    <row r="2" spans="1:2" x14ac:dyDescent="0.2">
      <c r="A2" t="s">
        <v>11</v>
      </c>
    </row>
    <row r="3" spans="1:2" x14ac:dyDescent="0.2">
      <c r="A3" t="s">
        <v>12</v>
      </c>
    </row>
    <row r="4" spans="1:2" x14ac:dyDescent="0.2">
      <c r="A4" t="s">
        <v>13</v>
      </c>
    </row>
    <row r="7" spans="1:2" x14ac:dyDescent="0.2">
      <c r="A7" t="s">
        <v>19</v>
      </c>
      <c r="B7" t="s">
        <v>20</v>
      </c>
    </row>
    <row r="8" spans="1:2" x14ac:dyDescent="0.2">
      <c r="A8" t="s">
        <v>14</v>
      </c>
      <c r="B8" s="3">
        <v>0.48299999999999998</v>
      </c>
    </row>
    <row r="9" spans="1:2" x14ac:dyDescent="0.2">
      <c r="A9" t="s">
        <v>15</v>
      </c>
      <c r="B9" s="3">
        <v>0.36899999999999999</v>
      </c>
    </row>
    <row r="10" spans="1:2" x14ac:dyDescent="0.2">
      <c r="A10" t="s">
        <v>16</v>
      </c>
      <c r="B10" s="3">
        <v>0.252</v>
      </c>
    </row>
    <row r="11" spans="1:2" x14ac:dyDescent="0.2">
      <c r="A11" t="s">
        <v>17</v>
      </c>
      <c r="B11" s="3">
        <v>0.307</v>
      </c>
    </row>
    <row r="12" spans="1:2" x14ac:dyDescent="0.2">
      <c r="A12" t="s">
        <v>6</v>
      </c>
      <c r="B12" s="3">
        <v>0.38400000000000001</v>
      </c>
    </row>
    <row r="13" spans="1:2" x14ac:dyDescent="0.2">
      <c r="A13" t="s">
        <v>21</v>
      </c>
      <c r="B13" s="3">
        <v>0.61</v>
      </c>
    </row>
    <row r="14" spans="1:2" x14ac:dyDescent="0.2">
      <c r="A14" t="s">
        <v>18</v>
      </c>
      <c r="B14" s="3">
        <v>0.624</v>
      </c>
    </row>
  </sheetData>
  <pageMargins left="0.7" right="0.7" top="0.75" bottom="0.75" header="0.3" footer="0.3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34D29-A869-A948-B03F-4DAE3C3FD20B}">
  <dimension ref="A1:T102"/>
  <sheetViews>
    <sheetView tabSelected="1" workbookViewId="0">
      <selection activeCell="I21" sqref="I21"/>
    </sheetView>
  </sheetViews>
  <sheetFormatPr baseColWidth="10" defaultRowHeight="16" x14ac:dyDescent="0.2"/>
  <cols>
    <col min="2" max="2" width="11.5" bestFit="1" customWidth="1"/>
    <col min="3" max="6" width="13" bestFit="1" customWidth="1"/>
    <col min="7" max="8" width="11.5" bestFit="1" customWidth="1"/>
    <col min="10" max="10" width="12" bestFit="1" customWidth="1"/>
    <col min="17" max="17" width="15" bestFit="1" customWidth="1"/>
  </cols>
  <sheetData>
    <row r="1" spans="1:20" x14ac:dyDescent="0.2">
      <c r="A1" t="s">
        <v>23</v>
      </c>
    </row>
    <row r="2" spans="1:20" x14ac:dyDescent="0.2">
      <c r="B2">
        <v>0</v>
      </c>
      <c r="C2">
        <v>5</v>
      </c>
      <c r="D2">
        <v>20</v>
      </c>
      <c r="E2">
        <v>35</v>
      </c>
      <c r="F2">
        <v>50</v>
      </c>
      <c r="G2">
        <v>65</v>
      </c>
      <c r="H2">
        <v>80</v>
      </c>
      <c r="I2">
        <v>100</v>
      </c>
      <c r="K2">
        <v>18</v>
      </c>
      <c r="P2" t="s">
        <v>25</v>
      </c>
      <c r="Q2" t="s">
        <v>26</v>
      </c>
      <c r="R2" t="s">
        <v>27</v>
      </c>
      <c r="S2" t="s">
        <v>28</v>
      </c>
      <c r="T2" t="s">
        <v>29</v>
      </c>
    </row>
    <row r="3" spans="1:20" x14ac:dyDescent="0.2">
      <c r="B3">
        <f>C2-1</f>
        <v>4</v>
      </c>
      <c r="C3">
        <f>D2-1</f>
        <v>19</v>
      </c>
      <c r="D3">
        <f>E2-1</f>
        <v>34</v>
      </c>
      <c r="E3">
        <f t="shared" ref="E3:H3" si="0">F2-1</f>
        <v>49</v>
      </c>
      <c r="F3">
        <f t="shared" si="0"/>
        <v>64</v>
      </c>
      <c r="G3">
        <f t="shared" si="0"/>
        <v>79</v>
      </c>
      <c r="H3">
        <f t="shared" si="0"/>
        <v>99</v>
      </c>
      <c r="K3">
        <v>19</v>
      </c>
      <c r="P3" t="s">
        <v>30</v>
      </c>
      <c r="Q3">
        <v>70067</v>
      </c>
      <c r="R3">
        <v>0</v>
      </c>
      <c r="S3">
        <v>0</v>
      </c>
      <c r="T3" t="s">
        <v>1</v>
      </c>
    </row>
    <row r="4" spans="1:20" x14ac:dyDescent="0.2">
      <c r="A4" t="s">
        <v>19</v>
      </c>
      <c r="B4" t="s">
        <v>14</v>
      </c>
      <c r="C4" t="s">
        <v>15</v>
      </c>
      <c r="D4" t="s">
        <v>16</v>
      </c>
      <c r="E4" t="s">
        <v>17</v>
      </c>
      <c r="F4" t="s">
        <v>6</v>
      </c>
      <c r="G4" t="s">
        <v>21</v>
      </c>
      <c r="H4" t="s">
        <v>18</v>
      </c>
      <c r="K4" t="s">
        <v>120</v>
      </c>
      <c r="L4" t="str">
        <f t="shared" ref="L4:M6" si="1">D4</f>
        <v>20_34</v>
      </c>
      <c r="M4" t="str">
        <f t="shared" si="1"/>
        <v>35_49</v>
      </c>
      <c r="P4" t="s">
        <v>30</v>
      </c>
      <c r="Q4">
        <v>70067</v>
      </c>
      <c r="R4">
        <v>1</v>
      </c>
      <c r="S4">
        <v>1</v>
      </c>
      <c r="T4" t="s">
        <v>31</v>
      </c>
    </row>
    <row r="5" spans="1:20" x14ac:dyDescent="0.2">
      <c r="A5" t="s">
        <v>20</v>
      </c>
      <c r="B5" s="3">
        <v>0.48299999999999998</v>
      </c>
      <c r="C5" s="3">
        <v>0.36899999999999999</v>
      </c>
      <c r="D5" s="3">
        <v>0.252</v>
      </c>
      <c r="E5" s="3">
        <v>0.307</v>
      </c>
      <c r="F5" s="3">
        <v>0.38400000000000001</v>
      </c>
      <c r="G5" s="3">
        <v>0.61</v>
      </c>
      <c r="H5" s="3">
        <v>0.624</v>
      </c>
      <c r="K5" s="3">
        <f>C5</f>
        <v>0.36899999999999999</v>
      </c>
      <c r="L5">
        <f t="shared" si="1"/>
        <v>0.252</v>
      </c>
      <c r="M5">
        <f t="shared" si="1"/>
        <v>0.307</v>
      </c>
      <c r="P5" t="s">
        <v>30</v>
      </c>
      <c r="Q5">
        <v>70067</v>
      </c>
      <c r="R5">
        <v>2</v>
      </c>
      <c r="S5">
        <v>2</v>
      </c>
      <c r="T5" t="s">
        <v>32</v>
      </c>
    </row>
    <row r="6" spans="1:20" x14ac:dyDescent="0.2">
      <c r="A6" t="s">
        <v>24</v>
      </c>
      <c r="B6" s="5">
        <f t="shared" ref="B6:H6" si="2">SUMIFS($Q:$Q,$R:$R,"&gt;="&amp;B2,$S:$S,"&lt;="&amp;B3)</f>
        <v>350335</v>
      </c>
      <c r="C6" s="5">
        <f t="shared" si="2"/>
        <v>1222843.9999999995</v>
      </c>
      <c r="D6" s="5">
        <f t="shared" si="2"/>
        <v>1457737.9999999995</v>
      </c>
      <c r="E6" s="5">
        <f t="shared" si="2"/>
        <v>1315695.0000000002</v>
      </c>
      <c r="F6" s="5">
        <f t="shared" si="2"/>
        <v>1424433.9999999998</v>
      </c>
      <c r="G6" s="5">
        <f t="shared" si="2"/>
        <v>932460.00000000023</v>
      </c>
      <c r="H6" s="5">
        <f t="shared" si="2"/>
        <v>288889</v>
      </c>
      <c r="K6" s="5">
        <f>SUMIFS($Q:$Q,$R:$R,"&gt;="&amp;K2,$S:$S,"&lt;="&amp;K3)</f>
        <v>204771</v>
      </c>
      <c r="L6">
        <f t="shared" si="1"/>
        <v>1457737.9999999995</v>
      </c>
      <c r="M6">
        <f t="shared" si="1"/>
        <v>1315695.0000000002</v>
      </c>
      <c r="P6" t="s">
        <v>30</v>
      </c>
      <c r="Q6">
        <v>70067</v>
      </c>
      <c r="R6">
        <v>3</v>
      </c>
      <c r="S6">
        <v>3</v>
      </c>
      <c r="T6" t="s">
        <v>33</v>
      </c>
    </row>
    <row r="7" spans="1:20" x14ac:dyDescent="0.2">
      <c r="B7" s="5"/>
      <c r="C7" s="5"/>
      <c r="D7" s="5"/>
      <c r="E7" s="5"/>
      <c r="F7" s="5"/>
      <c r="G7" s="5"/>
      <c r="H7" s="5"/>
      <c r="P7" t="s">
        <v>30</v>
      </c>
      <c r="Q7">
        <v>70067</v>
      </c>
      <c r="R7">
        <v>4</v>
      </c>
      <c r="S7">
        <v>4</v>
      </c>
      <c r="T7" t="s">
        <v>34</v>
      </c>
    </row>
    <row r="8" spans="1:20" x14ac:dyDescent="0.2">
      <c r="B8" s="5"/>
      <c r="C8" s="5"/>
      <c r="D8" s="5"/>
      <c r="E8" s="5"/>
      <c r="F8" s="5"/>
      <c r="G8" s="5"/>
      <c r="H8" s="5"/>
      <c r="P8" t="s">
        <v>30</v>
      </c>
      <c r="Q8">
        <v>73268</v>
      </c>
      <c r="R8">
        <v>5</v>
      </c>
      <c r="S8">
        <v>5</v>
      </c>
      <c r="T8" t="s">
        <v>35</v>
      </c>
    </row>
    <row r="9" spans="1:20" x14ac:dyDescent="0.2">
      <c r="B9">
        <v>0</v>
      </c>
      <c r="C9">
        <v>1</v>
      </c>
      <c r="D9">
        <v>5</v>
      </c>
      <c r="E9">
        <v>13</v>
      </c>
      <c r="F9">
        <v>18</v>
      </c>
      <c r="G9">
        <v>50</v>
      </c>
      <c r="H9">
        <v>65</v>
      </c>
      <c r="I9">
        <v>100</v>
      </c>
      <c r="P9" t="s">
        <v>30</v>
      </c>
      <c r="Q9">
        <v>73268</v>
      </c>
      <c r="R9">
        <v>6</v>
      </c>
      <c r="S9">
        <v>6</v>
      </c>
      <c r="T9" t="s">
        <v>36</v>
      </c>
    </row>
    <row r="10" spans="1:20" x14ac:dyDescent="0.2">
      <c r="A10" t="s">
        <v>22</v>
      </c>
      <c r="B10">
        <f>C9-1</f>
        <v>0</v>
      </c>
      <c r="C10">
        <f t="shared" ref="C10:H10" si="3">D9-1</f>
        <v>4</v>
      </c>
      <c r="D10">
        <f t="shared" si="3"/>
        <v>12</v>
      </c>
      <c r="E10">
        <f t="shared" si="3"/>
        <v>17</v>
      </c>
      <c r="F10">
        <f t="shared" si="3"/>
        <v>49</v>
      </c>
      <c r="G10">
        <f t="shared" si="3"/>
        <v>64</v>
      </c>
      <c r="H10">
        <f t="shared" si="3"/>
        <v>99</v>
      </c>
      <c r="P10" t="s">
        <v>30</v>
      </c>
      <c r="Q10">
        <v>73268</v>
      </c>
      <c r="R10">
        <v>7</v>
      </c>
      <c r="S10">
        <v>7</v>
      </c>
      <c r="T10" t="s">
        <v>37</v>
      </c>
    </row>
    <row r="11" spans="1:20" x14ac:dyDescent="0.2">
      <c r="A11" t="s">
        <v>19</v>
      </c>
      <c r="B11" t="s">
        <v>1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7</v>
      </c>
      <c r="P11" t="s">
        <v>30</v>
      </c>
      <c r="Q11">
        <v>73268</v>
      </c>
      <c r="R11">
        <v>8</v>
      </c>
      <c r="S11">
        <v>8</v>
      </c>
      <c r="T11" t="s">
        <v>38</v>
      </c>
    </row>
    <row r="12" spans="1:20" x14ac:dyDescent="0.2">
      <c r="A12" t="s">
        <v>20</v>
      </c>
      <c r="B12">
        <f>B5/2</f>
        <v>0.24149999999999999</v>
      </c>
      <c r="C12" s="3">
        <f>B5</f>
        <v>0.48299999999999998</v>
      </c>
      <c r="D12" s="3">
        <f>C5</f>
        <v>0.36899999999999999</v>
      </c>
      <c r="E12" s="3">
        <f>C5</f>
        <v>0.36899999999999999</v>
      </c>
      <c r="F12" s="6">
        <f>SUMPRODUCT(K5:M5,K6:M6)/SUM(K6:M6)</f>
        <v>0.28434212028457417</v>
      </c>
      <c r="G12" s="3">
        <f>F5</f>
        <v>0.38400000000000001</v>
      </c>
      <c r="H12" s="6">
        <f>SUMPRODUCT(G5:H5,G6:H6)/SUM(G6:H6)</f>
        <v>0.61331145806808696</v>
      </c>
      <c r="J12" s="8">
        <f>SUMPRODUCT(B12:H12,B13:H13)/SUM(B13:H13)</f>
        <v>0.38196331779025644</v>
      </c>
      <c r="P12" t="s">
        <v>30</v>
      </c>
      <c r="Q12">
        <v>73268</v>
      </c>
      <c r="R12">
        <v>9</v>
      </c>
      <c r="S12">
        <v>9</v>
      </c>
      <c r="T12" t="s">
        <v>39</v>
      </c>
    </row>
    <row r="13" spans="1:20" x14ac:dyDescent="0.2">
      <c r="A13" t="s">
        <v>24</v>
      </c>
      <c r="B13" s="5">
        <f>SUMIFS($Q:$Q,$R:$R,"&gt;="&amp;B9,$S:$S,"&lt;="&amp;B10)</f>
        <v>70067</v>
      </c>
      <c r="C13" s="5">
        <f t="shared" ref="C13:H13" si="4">SUMIFS($Q:$Q,$R:$R,"&gt;="&amp;C9,$S:$S,"&lt;="&amp;C10)</f>
        <v>280268</v>
      </c>
      <c r="D13" s="5">
        <f t="shared" si="4"/>
        <v>606290.79999999993</v>
      </c>
      <c r="E13" s="5">
        <f t="shared" si="4"/>
        <v>411782.19999999995</v>
      </c>
      <c r="F13" s="5">
        <f t="shared" si="4"/>
        <v>2978203.9999999986</v>
      </c>
      <c r="G13" s="5">
        <f t="shared" si="4"/>
        <v>1424433.9999999998</v>
      </c>
      <c r="H13" s="5">
        <f t="shared" si="4"/>
        <v>1221348.9999999998</v>
      </c>
      <c r="P13" t="s">
        <v>30</v>
      </c>
      <c r="Q13">
        <v>79983.600000000006</v>
      </c>
      <c r="R13">
        <v>10</v>
      </c>
      <c r="S13">
        <v>10</v>
      </c>
      <c r="T13" t="s">
        <v>40</v>
      </c>
    </row>
    <row r="14" spans="1:20" x14ac:dyDescent="0.2">
      <c r="P14" t="s">
        <v>30</v>
      </c>
      <c r="Q14">
        <v>79983.600000000006</v>
      </c>
      <c r="R14">
        <v>11</v>
      </c>
      <c r="S14">
        <v>11</v>
      </c>
      <c r="T14" t="s">
        <v>41</v>
      </c>
    </row>
    <row r="15" spans="1:20" x14ac:dyDescent="0.2">
      <c r="B15" s="7"/>
      <c r="C15" s="7"/>
      <c r="D15" s="7"/>
      <c r="E15" s="7"/>
      <c r="F15" s="7"/>
      <c r="G15" s="7"/>
      <c r="H15" s="7"/>
      <c r="P15" t="s">
        <v>30</v>
      </c>
      <c r="Q15">
        <v>79983.600000000006</v>
      </c>
      <c r="R15">
        <v>12</v>
      </c>
      <c r="S15">
        <v>12</v>
      </c>
      <c r="T15" t="s">
        <v>42</v>
      </c>
    </row>
    <row r="16" spans="1:20" x14ac:dyDescent="0.2">
      <c r="P16" t="s">
        <v>30</v>
      </c>
      <c r="Q16">
        <v>79983.600000000006</v>
      </c>
      <c r="R16">
        <v>13</v>
      </c>
      <c r="S16">
        <v>13</v>
      </c>
      <c r="T16" t="s">
        <v>43</v>
      </c>
    </row>
    <row r="17" spans="1:20" x14ac:dyDescent="0.2">
      <c r="A17" t="s">
        <v>122</v>
      </c>
      <c r="P17" t="s">
        <v>30</v>
      </c>
      <c r="Q17">
        <v>79983.600000000006</v>
      </c>
      <c r="R17">
        <v>14</v>
      </c>
      <c r="S17">
        <v>14</v>
      </c>
      <c r="T17" t="s">
        <v>44</v>
      </c>
    </row>
    <row r="18" spans="1:20" x14ac:dyDescent="0.2">
      <c r="A18" t="str">
        <f>A11</f>
        <v>Age Group</v>
      </c>
      <c r="B18" t="str">
        <f>daily_original_wrong!B1</f>
        <v>0_0</v>
      </c>
      <c r="C18" t="str">
        <f>daily_original_wrong!C1</f>
        <v>1_4</v>
      </c>
      <c r="D18" t="str">
        <f>daily_original_wrong!D1</f>
        <v>5_12</v>
      </c>
      <c r="E18" t="str">
        <f>daily_original_wrong!E1</f>
        <v>13_17</v>
      </c>
      <c r="F18" t="str">
        <f>daily_original_wrong!F1</f>
        <v>18_49</v>
      </c>
      <c r="G18" t="str">
        <f>daily_original_wrong!G1</f>
        <v>50_64</v>
      </c>
      <c r="H18" t="str">
        <f>daily_original_wrong!H1</f>
        <v>65_99</v>
      </c>
      <c r="P18" t="s">
        <v>30</v>
      </c>
      <c r="Q18">
        <v>83938.333333333299</v>
      </c>
      <c r="R18">
        <v>15</v>
      </c>
      <c r="S18">
        <v>15</v>
      </c>
      <c r="T18" t="s">
        <v>45</v>
      </c>
    </row>
    <row r="19" spans="1:20" x14ac:dyDescent="0.2">
      <c r="A19" t="str">
        <f>A12</f>
        <v>Vax rate</v>
      </c>
      <c r="B19">
        <f>daily_original_wrong!B304</f>
        <v>0.90704788649999912</v>
      </c>
      <c r="C19">
        <f>daily_original_wrong!C304</f>
        <v>0.90704788649999912</v>
      </c>
      <c r="D19">
        <f>daily_original_wrong!D304</f>
        <v>0.72735368299999914</v>
      </c>
      <c r="E19">
        <f>daily_original_wrong!E304</f>
        <v>0.55942221649999946</v>
      </c>
      <c r="F19">
        <f>daily_original_wrong!F304</f>
        <v>0.41005907039999984</v>
      </c>
      <c r="G19">
        <f>daily_original_wrong!G304</f>
        <v>0.60679674167000131</v>
      </c>
      <c r="H19">
        <f>daily_original_wrong!H304</f>
        <v>0.7409139479000012</v>
      </c>
      <c r="P19" t="s">
        <v>30</v>
      </c>
      <c r="Q19">
        <v>83938.333333333299</v>
      </c>
      <c r="R19">
        <v>16</v>
      </c>
      <c r="S19">
        <v>16</v>
      </c>
      <c r="T19" t="s">
        <v>46</v>
      </c>
    </row>
    <row r="20" spans="1:20" x14ac:dyDescent="0.2">
      <c r="P20" t="s">
        <v>30</v>
      </c>
      <c r="Q20">
        <v>83938.333333333299</v>
      </c>
      <c r="R20">
        <v>17</v>
      </c>
      <c r="S20">
        <v>17</v>
      </c>
      <c r="T20" t="s">
        <v>47</v>
      </c>
    </row>
    <row r="21" spans="1:20" x14ac:dyDescent="0.2">
      <c r="P21" t="s">
        <v>30</v>
      </c>
      <c r="Q21">
        <v>102385.5</v>
      </c>
      <c r="R21">
        <v>18</v>
      </c>
      <c r="S21">
        <v>18</v>
      </c>
      <c r="T21" t="s">
        <v>48</v>
      </c>
    </row>
    <row r="22" spans="1:20" x14ac:dyDescent="0.2">
      <c r="A22" t="s">
        <v>123</v>
      </c>
      <c r="P22" t="s">
        <v>30</v>
      </c>
      <c r="Q22">
        <v>102385.5</v>
      </c>
      <c r="R22">
        <v>19</v>
      </c>
      <c r="S22">
        <v>19</v>
      </c>
      <c r="T22" t="s">
        <v>49</v>
      </c>
    </row>
    <row r="23" spans="1:20" x14ac:dyDescent="0.2">
      <c r="A23" t="str">
        <f>A18</f>
        <v>Age Group</v>
      </c>
      <c r="B23" t="str">
        <f>B18</f>
        <v>0_0</v>
      </c>
      <c r="P23" t="s">
        <v>30</v>
      </c>
      <c r="Q23">
        <v>96042</v>
      </c>
      <c r="R23">
        <v>20</v>
      </c>
      <c r="S23">
        <v>20</v>
      </c>
      <c r="T23" t="s">
        <v>50</v>
      </c>
    </row>
    <row r="24" spans="1:20" x14ac:dyDescent="0.2">
      <c r="A24" t="s">
        <v>124</v>
      </c>
      <c r="B24">
        <f>B12/B19</f>
        <v>0.26624834652541823</v>
      </c>
      <c r="C24">
        <f t="shared" ref="C24:H24" si="5">C12/C19</f>
        <v>0.53249669305083647</v>
      </c>
      <c r="D24">
        <f t="shared" si="5"/>
        <v>0.50731852828192858</v>
      </c>
      <c r="E24">
        <f t="shared" si="5"/>
        <v>0.6596091272681881</v>
      </c>
      <c r="F24">
        <f t="shared" si="5"/>
        <v>0.69341746301869944</v>
      </c>
      <c r="G24">
        <f t="shared" si="5"/>
        <v>0.63283134801147878</v>
      </c>
      <c r="H24">
        <f t="shared" si="5"/>
        <v>0.82777690959445083</v>
      </c>
      <c r="P24" t="s">
        <v>30</v>
      </c>
      <c r="Q24">
        <v>94676</v>
      </c>
      <c r="R24">
        <v>21</v>
      </c>
      <c r="S24">
        <v>21</v>
      </c>
      <c r="T24" t="s">
        <v>51</v>
      </c>
    </row>
    <row r="25" spans="1:20" x14ac:dyDescent="0.2">
      <c r="P25" t="s">
        <v>30</v>
      </c>
      <c r="Q25">
        <v>94289.333333333299</v>
      </c>
      <c r="R25">
        <v>22</v>
      </c>
      <c r="S25">
        <v>22</v>
      </c>
      <c r="T25" t="s">
        <v>52</v>
      </c>
    </row>
    <row r="26" spans="1:20" x14ac:dyDescent="0.2">
      <c r="P26" t="s">
        <v>30</v>
      </c>
      <c r="Q26">
        <v>94289.333333333299</v>
      </c>
      <c r="R26">
        <v>23</v>
      </c>
      <c r="S26">
        <v>23</v>
      </c>
      <c r="T26" t="s">
        <v>53</v>
      </c>
    </row>
    <row r="27" spans="1:20" x14ac:dyDescent="0.2">
      <c r="P27" t="s">
        <v>30</v>
      </c>
      <c r="Q27">
        <v>94289.333333333299</v>
      </c>
      <c r="R27">
        <v>24</v>
      </c>
      <c r="S27">
        <v>24</v>
      </c>
      <c r="T27" t="s">
        <v>54</v>
      </c>
    </row>
    <row r="28" spans="1:20" x14ac:dyDescent="0.2">
      <c r="P28" t="s">
        <v>30</v>
      </c>
      <c r="Q28">
        <v>97627</v>
      </c>
      <c r="R28">
        <v>25</v>
      </c>
      <c r="S28">
        <v>25</v>
      </c>
      <c r="T28" t="s">
        <v>55</v>
      </c>
    </row>
    <row r="29" spans="1:20" x14ac:dyDescent="0.2">
      <c r="P29" t="s">
        <v>30</v>
      </c>
      <c r="Q29">
        <v>97627</v>
      </c>
      <c r="R29">
        <v>26</v>
      </c>
      <c r="S29">
        <v>26</v>
      </c>
      <c r="T29" t="s">
        <v>56</v>
      </c>
    </row>
    <row r="30" spans="1:20" x14ac:dyDescent="0.2">
      <c r="P30" t="s">
        <v>30</v>
      </c>
      <c r="Q30">
        <v>97627</v>
      </c>
      <c r="R30">
        <v>27</v>
      </c>
      <c r="S30">
        <v>27</v>
      </c>
      <c r="T30" t="s">
        <v>57</v>
      </c>
    </row>
    <row r="31" spans="1:20" x14ac:dyDescent="0.2">
      <c r="P31" t="s">
        <v>30</v>
      </c>
      <c r="Q31">
        <v>97627</v>
      </c>
      <c r="R31">
        <v>28</v>
      </c>
      <c r="S31">
        <v>28</v>
      </c>
      <c r="T31" t="s">
        <v>58</v>
      </c>
    </row>
    <row r="32" spans="1:20" x14ac:dyDescent="0.2">
      <c r="P32" t="s">
        <v>30</v>
      </c>
      <c r="Q32">
        <v>97627</v>
      </c>
      <c r="R32">
        <v>29</v>
      </c>
      <c r="S32">
        <v>29</v>
      </c>
      <c r="T32" t="s">
        <v>59</v>
      </c>
    </row>
    <row r="33" spans="16:20" x14ac:dyDescent="0.2">
      <c r="P33" t="s">
        <v>30</v>
      </c>
      <c r="Q33">
        <v>99203.4</v>
      </c>
      <c r="R33">
        <v>30</v>
      </c>
      <c r="S33">
        <v>30</v>
      </c>
      <c r="T33" t="s">
        <v>60</v>
      </c>
    </row>
    <row r="34" spans="16:20" x14ac:dyDescent="0.2">
      <c r="P34" t="s">
        <v>30</v>
      </c>
      <c r="Q34">
        <v>99203.4</v>
      </c>
      <c r="R34">
        <v>31</v>
      </c>
      <c r="S34">
        <v>31</v>
      </c>
      <c r="T34" t="s">
        <v>61</v>
      </c>
    </row>
    <row r="35" spans="16:20" x14ac:dyDescent="0.2">
      <c r="P35" t="s">
        <v>30</v>
      </c>
      <c r="Q35">
        <v>99203.4</v>
      </c>
      <c r="R35">
        <v>32</v>
      </c>
      <c r="S35">
        <v>32</v>
      </c>
      <c r="T35" t="s">
        <v>62</v>
      </c>
    </row>
    <row r="36" spans="16:20" x14ac:dyDescent="0.2">
      <c r="P36" t="s">
        <v>30</v>
      </c>
      <c r="Q36">
        <v>99203.4</v>
      </c>
      <c r="R36">
        <v>33</v>
      </c>
      <c r="S36">
        <v>33</v>
      </c>
      <c r="T36" t="s">
        <v>63</v>
      </c>
    </row>
    <row r="37" spans="16:20" x14ac:dyDescent="0.2">
      <c r="P37" t="s">
        <v>30</v>
      </c>
      <c r="Q37">
        <v>99203.4</v>
      </c>
      <c r="R37">
        <v>34</v>
      </c>
      <c r="S37">
        <v>34</v>
      </c>
      <c r="T37" t="s">
        <v>64</v>
      </c>
    </row>
    <row r="38" spans="16:20" x14ac:dyDescent="0.2">
      <c r="P38" t="s">
        <v>30</v>
      </c>
      <c r="Q38">
        <v>92963.199999999997</v>
      </c>
      <c r="R38">
        <v>35</v>
      </c>
      <c r="S38">
        <v>35</v>
      </c>
      <c r="T38" t="s">
        <v>65</v>
      </c>
    </row>
    <row r="39" spans="16:20" x14ac:dyDescent="0.2">
      <c r="P39" t="s">
        <v>30</v>
      </c>
      <c r="Q39">
        <v>92963.199999999997</v>
      </c>
      <c r="R39">
        <v>36</v>
      </c>
      <c r="S39">
        <v>36</v>
      </c>
      <c r="T39" t="s">
        <v>66</v>
      </c>
    </row>
    <row r="40" spans="16:20" x14ac:dyDescent="0.2">
      <c r="P40" t="s">
        <v>30</v>
      </c>
      <c r="Q40">
        <v>92963.199999999997</v>
      </c>
      <c r="R40">
        <v>37</v>
      </c>
      <c r="S40">
        <v>37</v>
      </c>
      <c r="T40" t="s">
        <v>67</v>
      </c>
    </row>
    <row r="41" spans="16:20" x14ac:dyDescent="0.2">
      <c r="P41" t="s">
        <v>30</v>
      </c>
      <c r="Q41">
        <v>92963.199999999997</v>
      </c>
      <c r="R41">
        <v>38</v>
      </c>
      <c r="S41">
        <v>38</v>
      </c>
      <c r="T41" t="s">
        <v>68</v>
      </c>
    </row>
    <row r="42" spans="16:20" x14ac:dyDescent="0.2">
      <c r="P42" t="s">
        <v>30</v>
      </c>
      <c r="Q42">
        <v>92963.199999999997</v>
      </c>
      <c r="R42">
        <v>39</v>
      </c>
      <c r="S42">
        <v>39</v>
      </c>
      <c r="T42" t="s">
        <v>69</v>
      </c>
    </row>
    <row r="43" spans="16:20" x14ac:dyDescent="0.2">
      <c r="P43" t="s">
        <v>30</v>
      </c>
      <c r="Q43">
        <v>86752</v>
      </c>
      <c r="R43">
        <v>40</v>
      </c>
      <c r="S43">
        <v>40</v>
      </c>
      <c r="T43" t="s">
        <v>70</v>
      </c>
    </row>
    <row r="44" spans="16:20" x14ac:dyDescent="0.2">
      <c r="P44" t="s">
        <v>30</v>
      </c>
      <c r="Q44">
        <v>86752</v>
      </c>
      <c r="R44">
        <v>41</v>
      </c>
      <c r="S44">
        <v>41</v>
      </c>
      <c r="T44" t="s">
        <v>71</v>
      </c>
    </row>
    <row r="45" spans="16:20" x14ac:dyDescent="0.2">
      <c r="P45" t="s">
        <v>30</v>
      </c>
      <c r="Q45">
        <v>86752</v>
      </c>
      <c r="R45">
        <v>42</v>
      </c>
      <c r="S45">
        <v>42</v>
      </c>
      <c r="T45" t="s">
        <v>72</v>
      </c>
    </row>
    <row r="46" spans="16:20" x14ac:dyDescent="0.2">
      <c r="P46" t="s">
        <v>30</v>
      </c>
      <c r="Q46">
        <v>86752</v>
      </c>
      <c r="R46">
        <v>43</v>
      </c>
      <c r="S46">
        <v>43</v>
      </c>
      <c r="T46" t="s">
        <v>73</v>
      </c>
    </row>
    <row r="47" spans="16:20" x14ac:dyDescent="0.2">
      <c r="P47" t="s">
        <v>30</v>
      </c>
      <c r="Q47">
        <v>86752</v>
      </c>
      <c r="R47">
        <v>44</v>
      </c>
      <c r="S47">
        <v>44</v>
      </c>
      <c r="T47" t="s">
        <v>74</v>
      </c>
    </row>
    <row r="48" spans="16:20" x14ac:dyDescent="0.2">
      <c r="P48" t="s">
        <v>30</v>
      </c>
      <c r="Q48">
        <v>83423.8</v>
      </c>
      <c r="R48">
        <v>45</v>
      </c>
      <c r="S48">
        <v>45</v>
      </c>
      <c r="T48" t="s">
        <v>75</v>
      </c>
    </row>
    <row r="49" spans="16:20" x14ac:dyDescent="0.2">
      <c r="P49" t="s">
        <v>30</v>
      </c>
      <c r="Q49">
        <v>83423.8</v>
      </c>
      <c r="R49">
        <v>46</v>
      </c>
      <c r="S49">
        <v>46</v>
      </c>
      <c r="T49" t="s">
        <v>76</v>
      </c>
    </row>
    <row r="50" spans="16:20" x14ac:dyDescent="0.2">
      <c r="P50" t="s">
        <v>30</v>
      </c>
      <c r="Q50">
        <v>83423.8</v>
      </c>
      <c r="R50">
        <v>47</v>
      </c>
      <c r="S50">
        <v>47</v>
      </c>
      <c r="T50" t="s">
        <v>77</v>
      </c>
    </row>
    <row r="51" spans="16:20" x14ac:dyDescent="0.2">
      <c r="P51" t="s">
        <v>30</v>
      </c>
      <c r="Q51">
        <v>83423.8</v>
      </c>
      <c r="R51">
        <v>48</v>
      </c>
      <c r="S51">
        <v>48</v>
      </c>
      <c r="T51" t="s">
        <v>78</v>
      </c>
    </row>
    <row r="52" spans="16:20" x14ac:dyDescent="0.2">
      <c r="P52" t="s">
        <v>30</v>
      </c>
      <c r="Q52">
        <v>83423.8</v>
      </c>
      <c r="R52">
        <v>49</v>
      </c>
      <c r="S52">
        <v>49</v>
      </c>
      <c r="T52" t="s">
        <v>79</v>
      </c>
    </row>
    <row r="53" spans="16:20" x14ac:dyDescent="0.2">
      <c r="P53" t="s">
        <v>30</v>
      </c>
      <c r="Q53">
        <v>92411.199999999997</v>
      </c>
      <c r="R53">
        <v>50</v>
      </c>
      <c r="S53">
        <v>50</v>
      </c>
      <c r="T53" t="s">
        <v>80</v>
      </c>
    </row>
    <row r="54" spans="16:20" x14ac:dyDescent="0.2">
      <c r="P54" t="s">
        <v>30</v>
      </c>
      <c r="Q54">
        <v>92411.199999999997</v>
      </c>
      <c r="R54">
        <v>51</v>
      </c>
      <c r="S54">
        <v>51</v>
      </c>
      <c r="T54" t="s">
        <v>81</v>
      </c>
    </row>
    <row r="55" spans="16:20" x14ac:dyDescent="0.2">
      <c r="P55" t="s">
        <v>30</v>
      </c>
      <c r="Q55">
        <v>92411.199999999997</v>
      </c>
      <c r="R55">
        <v>52</v>
      </c>
      <c r="S55">
        <v>52</v>
      </c>
      <c r="T55" t="s">
        <v>82</v>
      </c>
    </row>
    <row r="56" spans="16:20" x14ac:dyDescent="0.2">
      <c r="P56" t="s">
        <v>30</v>
      </c>
      <c r="Q56">
        <v>92411.199999999997</v>
      </c>
      <c r="R56">
        <v>53</v>
      </c>
      <c r="S56">
        <v>53</v>
      </c>
      <c r="T56" t="s">
        <v>83</v>
      </c>
    </row>
    <row r="57" spans="16:20" x14ac:dyDescent="0.2">
      <c r="P57" t="s">
        <v>30</v>
      </c>
      <c r="Q57">
        <v>92411.199999999997</v>
      </c>
      <c r="R57">
        <v>54</v>
      </c>
      <c r="S57">
        <v>54</v>
      </c>
      <c r="T57" t="s">
        <v>84</v>
      </c>
    </row>
    <row r="58" spans="16:20" x14ac:dyDescent="0.2">
      <c r="P58" t="s">
        <v>30</v>
      </c>
      <c r="Q58">
        <v>97550.399999999994</v>
      </c>
      <c r="R58">
        <v>55</v>
      </c>
      <c r="S58">
        <v>55</v>
      </c>
      <c r="T58" t="s">
        <v>85</v>
      </c>
    </row>
    <row r="59" spans="16:20" x14ac:dyDescent="0.2">
      <c r="P59" t="s">
        <v>30</v>
      </c>
      <c r="Q59">
        <v>97550.399999999994</v>
      </c>
      <c r="R59">
        <v>56</v>
      </c>
      <c r="S59">
        <v>56</v>
      </c>
      <c r="T59" t="s">
        <v>86</v>
      </c>
    </row>
    <row r="60" spans="16:20" x14ac:dyDescent="0.2">
      <c r="P60" t="s">
        <v>30</v>
      </c>
      <c r="Q60">
        <v>97550.399999999994</v>
      </c>
      <c r="R60">
        <v>57</v>
      </c>
      <c r="S60">
        <v>57</v>
      </c>
      <c r="T60" t="s">
        <v>87</v>
      </c>
    </row>
    <row r="61" spans="16:20" x14ac:dyDescent="0.2">
      <c r="P61" t="s">
        <v>30</v>
      </c>
      <c r="Q61">
        <v>97550.399999999994</v>
      </c>
      <c r="R61">
        <v>58</v>
      </c>
      <c r="S61">
        <v>58</v>
      </c>
      <c r="T61" t="s">
        <v>88</v>
      </c>
    </row>
    <row r="62" spans="16:20" x14ac:dyDescent="0.2">
      <c r="P62" t="s">
        <v>30</v>
      </c>
      <c r="Q62">
        <v>97550.399999999994</v>
      </c>
      <c r="R62">
        <v>59</v>
      </c>
      <c r="S62">
        <v>59</v>
      </c>
      <c r="T62" t="s">
        <v>89</v>
      </c>
    </row>
    <row r="63" spans="16:20" x14ac:dyDescent="0.2">
      <c r="P63" t="s">
        <v>30</v>
      </c>
      <c r="Q63">
        <v>95486</v>
      </c>
      <c r="R63">
        <v>60</v>
      </c>
      <c r="S63">
        <v>60</v>
      </c>
      <c r="T63" t="s">
        <v>90</v>
      </c>
    </row>
    <row r="64" spans="16:20" x14ac:dyDescent="0.2">
      <c r="P64" t="s">
        <v>30</v>
      </c>
      <c r="Q64">
        <v>95486</v>
      </c>
      <c r="R64">
        <v>61</v>
      </c>
      <c r="S64">
        <v>61</v>
      </c>
      <c r="T64" t="s">
        <v>91</v>
      </c>
    </row>
    <row r="65" spans="16:20" x14ac:dyDescent="0.2">
      <c r="P65" t="s">
        <v>30</v>
      </c>
      <c r="Q65">
        <v>94551.333333333299</v>
      </c>
      <c r="R65">
        <v>62</v>
      </c>
      <c r="S65">
        <v>62</v>
      </c>
      <c r="T65" t="s">
        <v>92</v>
      </c>
    </row>
    <row r="66" spans="16:20" x14ac:dyDescent="0.2">
      <c r="P66" t="s">
        <v>30</v>
      </c>
      <c r="Q66">
        <v>94551.333333333299</v>
      </c>
      <c r="R66">
        <v>63</v>
      </c>
      <c r="S66">
        <v>63</v>
      </c>
      <c r="T66" t="s">
        <v>93</v>
      </c>
    </row>
    <row r="67" spans="16:20" x14ac:dyDescent="0.2">
      <c r="P67" t="s">
        <v>30</v>
      </c>
      <c r="Q67">
        <v>94551.333333333299</v>
      </c>
      <c r="R67">
        <v>64</v>
      </c>
      <c r="S67">
        <v>64</v>
      </c>
      <c r="T67" t="s">
        <v>94</v>
      </c>
    </row>
    <row r="68" spans="16:20" x14ac:dyDescent="0.2">
      <c r="P68" t="s">
        <v>30</v>
      </c>
      <c r="Q68">
        <v>84255.5</v>
      </c>
      <c r="R68">
        <v>65</v>
      </c>
      <c r="S68">
        <v>65</v>
      </c>
      <c r="T68" t="s">
        <v>95</v>
      </c>
    </row>
    <row r="69" spans="16:20" x14ac:dyDescent="0.2">
      <c r="P69" t="s">
        <v>30</v>
      </c>
      <c r="Q69">
        <v>84255.5</v>
      </c>
      <c r="R69">
        <v>66</v>
      </c>
      <c r="S69">
        <v>66</v>
      </c>
      <c r="T69" t="s">
        <v>96</v>
      </c>
    </row>
    <row r="70" spans="16:20" x14ac:dyDescent="0.2">
      <c r="P70" t="s">
        <v>30</v>
      </c>
      <c r="Q70">
        <v>76885</v>
      </c>
      <c r="R70">
        <v>67</v>
      </c>
      <c r="S70">
        <v>67</v>
      </c>
      <c r="T70" t="s">
        <v>97</v>
      </c>
    </row>
    <row r="71" spans="16:20" x14ac:dyDescent="0.2">
      <c r="P71" t="s">
        <v>30</v>
      </c>
      <c r="Q71">
        <v>76885</v>
      </c>
      <c r="R71">
        <v>68</v>
      </c>
      <c r="S71">
        <v>68</v>
      </c>
      <c r="T71" t="s">
        <v>98</v>
      </c>
    </row>
    <row r="72" spans="16:20" x14ac:dyDescent="0.2">
      <c r="P72" t="s">
        <v>30</v>
      </c>
      <c r="Q72">
        <v>76885</v>
      </c>
      <c r="R72">
        <v>69</v>
      </c>
      <c r="S72">
        <v>69</v>
      </c>
      <c r="T72" t="s">
        <v>99</v>
      </c>
    </row>
    <row r="73" spans="16:20" x14ac:dyDescent="0.2">
      <c r="P73" t="s">
        <v>30</v>
      </c>
      <c r="Q73">
        <v>64454.400000000001</v>
      </c>
      <c r="R73">
        <v>70</v>
      </c>
      <c r="S73">
        <v>70</v>
      </c>
      <c r="T73" t="s">
        <v>100</v>
      </c>
    </row>
    <row r="74" spans="16:20" x14ac:dyDescent="0.2">
      <c r="P74" t="s">
        <v>30</v>
      </c>
      <c r="Q74">
        <v>64454.400000000001</v>
      </c>
      <c r="R74">
        <v>71</v>
      </c>
      <c r="S74">
        <v>71</v>
      </c>
      <c r="T74" t="s">
        <v>101</v>
      </c>
    </row>
    <row r="75" spans="16:20" x14ac:dyDescent="0.2">
      <c r="P75" t="s">
        <v>30</v>
      </c>
      <c r="Q75">
        <v>64454.400000000001</v>
      </c>
      <c r="R75">
        <v>72</v>
      </c>
      <c r="S75">
        <v>72</v>
      </c>
      <c r="T75" t="s">
        <v>102</v>
      </c>
    </row>
    <row r="76" spans="16:20" x14ac:dyDescent="0.2">
      <c r="P76" t="s">
        <v>30</v>
      </c>
      <c r="Q76">
        <v>64454.400000000001</v>
      </c>
      <c r="R76">
        <v>73</v>
      </c>
      <c r="S76">
        <v>73</v>
      </c>
      <c r="T76" t="s">
        <v>103</v>
      </c>
    </row>
    <row r="77" spans="16:20" x14ac:dyDescent="0.2">
      <c r="P77" t="s">
        <v>30</v>
      </c>
      <c r="Q77">
        <v>64454.400000000001</v>
      </c>
      <c r="R77">
        <v>74</v>
      </c>
      <c r="S77">
        <v>74</v>
      </c>
      <c r="T77" t="s">
        <v>104</v>
      </c>
    </row>
    <row r="78" spans="16:20" x14ac:dyDescent="0.2">
      <c r="P78" t="s">
        <v>30</v>
      </c>
      <c r="Q78">
        <v>42204.4</v>
      </c>
      <c r="R78">
        <v>75</v>
      </c>
      <c r="S78">
        <v>75</v>
      </c>
      <c r="T78" t="s">
        <v>105</v>
      </c>
    </row>
    <row r="79" spans="16:20" x14ac:dyDescent="0.2">
      <c r="P79" t="s">
        <v>30</v>
      </c>
      <c r="Q79">
        <v>42204.4</v>
      </c>
      <c r="R79">
        <v>76</v>
      </c>
      <c r="S79">
        <v>76</v>
      </c>
      <c r="T79" t="s">
        <v>106</v>
      </c>
    </row>
    <row r="80" spans="16:20" x14ac:dyDescent="0.2">
      <c r="P80" t="s">
        <v>30</v>
      </c>
      <c r="Q80">
        <v>42204.4</v>
      </c>
      <c r="R80">
        <v>77</v>
      </c>
      <c r="S80">
        <v>77</v>
      </c>
      <c r="T80" t="s">
        <v>107</v>
      </c>
    </row>
    <row r="81" spans="16:20" x14ac:dyDescent="0.2">
      <c r="P81" t="s">
        <v>30</v>
      </c>
      <c r="Q81">
        <v>42204.4</v>
      </c>
      <c r="R81">
        <v>78</v>
      </c>
      <c r="S81">
        <v>78</v>
      </c>
      <c r="T81" t="s">
        <v>108</v>
      </c>
    </row>
    <row r="82" spans="16:20" x14ac:dyDescent="0.2">
      <c r="P82" t="s">
        <v>30</v>
      </c>
      <c r="Q82">
        <v>42204.4</v>
      </c>
      <c r="R82">
        <v>79</v>
      </c>
      <c r="S82">
        <v>79</v>
      </c>
      <c r="T82" t="s">
        <v>109</v>
      </c>
    </row>
    <row r="83" spans="16:20" x14ac:dyDescent="0.2">
      <c r="P83" t="s">
        <v>30</v>
      </c>
      <c r="Q83">
        <v>26831.4</v>
      </c>
      <c r="R83">
        <v>80</v>
      </c>
      <c r="S83">
        <v>80</v>
      </c>
      <c r="T83" t="s">
        <v>110</v>
      </c>
    </row>
    <row r="84" spans="16:20" x14ac:dyDescent="0.2">
      <c r="P84" t="s">
        <v>30</v>
      </c>
      <c r="Q84">
        <v>26831.4</v>
      </c>
      <c r="R84">
        <v>81</v>
      </c>
      <c r="S84">
        <v>81</v>
      </c>
      <c r="T84" t="s">
        <v>111</v>
      </c>
    </row>
    <row r="85" spans="16:20" x14ac:dyDescent="0.2">
      <c r="P85" t="s">
        <v>30</v>
      </c>
      <c r="Q85">
        <v>26831.4</v>
      </c>
      <c r="R85">
        <v>82</v>
      </c>
      <c r="S85">
        <v>82</v>
      </c>
      <c r="T85" t="s">
        <v>112</v>
      </c>
    </row>
    <row r="86" spans="16:20" x14ac:dyDescent="0.2">
      <c r="P86" t="s">
        <v>30</v>
      </c>
      <c r="Q86">
        <v>26831.4</v>
      </c>
      <c r="R86">
        <v>83</v>
      </c>
      <c r="S86">
        <v>83</v>
      </c>
      <c r="T86" t="s">
        <v>113</v>
      </c>
    </row>
    <row r="87" spans="16:20" x14ac:dyDescent="0.2">
      <c r="P87" t="s">
        <v>30</v>
      </c>
      <c r="Q87">
        <v>26831.4</v>
      </c>
      <c r="R87">
        <v>84</v>
      </c>
      <c r="S87">
        <v>84</v>
      </c>
      <c r="T87" t="s">
        <v>114</v>
      </c>
    </row>
    <row r="88" spans="16:20" x14ac:dyDescent="0.2">
      <c r="P88" t="s">
        <v>30</v>
      </c>
      <c r="Q88">
        <v>30946.400000000001</v>
      </c>
      <c r="R88">
        <v>85</v>
      </c>
      <c r="S88">
        <v>85</v>
      </c>
      <c r="T88" t="s">
        <v>115</v>
      </c>
    </row>
    <row r="89" spans="16:20" x14ac:dyDescent="0.2">
      <c r="P89" t="s">
        <v>30</v>
      </c>
      <c r="Q89">
        <v>30946.400000000001</v>
      </c>
      <c r="R89">
        <v>86</v>
      </c>
      <c r="S89">
        <v>86</v>
      </c>
      <c r="T89" t="s">
        <v>116</v>
      </c>
    </row>
    <row r="90" spans="16:20" x14ac:dyDescent="0.2">
      <c r="P90" t="s">
        <v>30</v>
      </c>
      <c r="Q90">
        <v>30946.400000000001</v>
      </c>
      <c r="R90">
        <v>87</v>
      </c>
      <c r="S90">
        <v>87</v>
      </c>
      <c r="T90" t="s">
        <v>117</v>
      </c>
    </row>
    <row r="91" spans="16:20" x14ac:dyDescent="0.2">
      <c r="P91" t="s">
        <v>30</v>
      </c>
      <c r="Q91">
        <v>30946.400000000001</v>
      </c>
      <c r="R91">
        <v>88</v>
      </c>
      <c r="S91">
        <v>88</v>
      </c>
      <c r="T91" t="s">
        <v>118</v>
      </c>
    </row>
    <row r="92" spans="16:20" x14ac:dyDescent="0.2">
      <c r="P92" t="s">
        <v>30</v>
      </c>
      <c r="Q92">
        <v>30946.400000000001</v>
      </c>
      <c r="R92">
        <v>89</v>
      </c>
      <c r="S92">
        <v>89</v>
      </c>
      <c r="T92" t="s">
        <v>119</v>
      </c>
    </row>
    <row r="102" spans="17:17" x14ac:dyDescent="0.2">
      <c r="Q102" s="4">
        <f>SUM(Q3:Q92)</f>
        <v>6992395.0000000084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daily_scaled</vt:lpstr>
      <vt:lpstr>daily_original_wrong</vt:lpstr>
      <vt:lpstr>faster_schedule</vt:lpstr>
      <vt:lpstr>faster_comparison</vt:lpstr>
      <vt:lpstr>source</vt:lpstr>
      <vt:lpstr>total_from_MA_dashboard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Remy Pasco</cp:lastModifiedBy>
  <dcterms:created xsi:type="dcterms:W3CDTF">2026-07-30T15:40:36Z</dcterms:created>
  <dcterms:modified xsi:type="dcterms:W3CDTF">2026-09-21T18:15:42Z</dcterms:modified>
</cp:coreProperties>
</file>