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fp437/Work/CityLevelTransmission/CLT_BaseModel/generic_core/examples/MA_vax/archive/2026-08-high-vax-rates/"/>
    </mc:Choice>
  </mc:AlternateContent>
  <xr:revisionPtr revIDLastSave="0" documentId="13_ncr:1_{D05EA91A-1E11-DF4E-BC70-BF266E9B1F99}" xr6:coauthVersionLast="47" xr6:coauthVersionMax="47" xr10:uidLastSave="{00000000-0000-0000-0000-000000000000}"/>
  <bookViews>
    <workbookView xWindow="0" yWindow="880" windowWidth="36000" windowHeight="21220" xr2:uid="{60BFEFDB-4574-6847-B010-A5E5773742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2" i="1" l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31" i="1"/>
  <c r="D50" i="1"/>
  <c r="D49" i="1"/>
  <c r="D48" i="1"/>
  <c r="D47" i="1"/>
  <c r="D42" i="1"/>
  <c r="D41" i="1"/>
  <c r="D40" i="1"/>
  <c r="D39" i="1"/>
  <c r="D34" i="1"/>
  <c r="D33" i="1"/>
  <c r="D32" i="1"/>
  <c r="D31" i="1"/>
  <c r="C21" i="1"/>
  <c r="C20" i="1"/>
  <c r="C19" i="1"/>
  <c r="C18" i="1"/>
  <c r="C13" i="1"/>
  <c r="C12" i="1"/>
  <c r="C11" i="1"/>
  <c r="C10" i="1"/>
  <c r="C5" i="1"/>
  <c r="C4" i="1"/>
  <c r="C3" i="1"/>
  <c r="C2" i="1"/>
</calcChain>
</file>

<file path=xl/sharedStrings.xml><?xml version="1.0" encoding="utf-8"?>
<sst xmlns="http://schemas.openxmlformats.org/spreadsheetml/2006/main" count="206" uniqueCount="122">
  <si>
    <t>347.6 [276.8 – 409.4]</t>
  </si>
  <si>
    <t>194.3 [154.7 – 228.8]</t>
  </si>
  <si>
    <t>69.1% [64.1% – 72.5%]</t>
  </si>
  <si>
    <t>13,584 [10,817 – 15,997]</t>
  </si>
  <si>
    <t>All</t>
  </si>
  <si>
    <t>no vaccination → full baseline</t>
  </si>
  <si>
    <t>Total</t>
  </si>
  <si>
    <t>1060.4 [848.8 – 1266.8]</t>
  </si>
  <si>
    <t>776.3 [621.4 – 927.4]</t>
  </si>
  <si>
    <t>69.7% [64.8% – 72.9%]</t>
  </si>
  <si>
    <t>9,481 [7,589 – 11,327]</t>
  </si>
  <si>
    <t>65+</t>
  </si>
  <si>
    <t>173.5 [123.6 – 229.7]</t>
  </si>
  <si>
    <t>104.7 [74.6 – 138.6]</t>
  </si>
  <si>
    <t>66.6% [60.9% – 70.5%]</t>
  </si>
  <si>
    <t>1,492 [1,063 – 1,975]</t>
  </si>
  <si>
    <t>50-64</t>
  </si>
  <si>
    <t>111.7 [80.0 – 147.7]</t>
  </si>
  <si>
    <t>45.3 [32.4 – 59.9]</t>
  </si>
  <si>
    <t>64.8% [58.6% – 69.0%]</t>
  </si>
  <si>
    <t>1,348 [965 – 1,783]</t>
  </si>
  <si>
    <t>18-49</t>
  </si>
  <si>
    <t>91.3 [61.3 – 134.0]</t>
  </si>
  <si>
    <t>50.5 [33.9 – 74.1]</t>
  </si>
  <si>
    <t>70.0% [64.1% – 74.0%]</t>
  </si>
  <si>
    <t>208 [140 – 305]</t>
  </si>
  <si>
    <t>99.8 [67.4 – 134.1]</t>
  </si>
  <si>
    <t>71.3 [48.1 – 95.8]</t>
  </si>
  <si>
    <t>72.8% [67.4% – 76.5%]</t>
  </si>
  <si>
    <t>432 [292 – 581]</t>
  </si>
  <si>
    <t>188.8 [140.6 – 228.1]</t>
  </si>
  <si>
    <t>171.2 [127.5 – 206.9]</t>
  </si>
  <si>
    <t>75.8% [71.5% – 78.8%]</t>
  </si>
  <si>
    <t>480 [357 – 580]</t>
  </si>
  <si>
    <t>259.9 [167.7 – 339.5]</t>
  </si>
  <si>
    <t>117.9 [76.0 – 154.0]</t>
  </si>
  <si>
    <t>69.6% [64.6% – 73.0%]</t>
  </si>
  <si>
    <t>83 [53 – 108]</t>
  </si>
  <si>
    <t>24.9 [22.7 – 26.9]</t>
  </si>
  <si>
    <t>13.9 [12.7 – 15.0]</t>
  </si>
  <si>
    <t>4.9% [4.4% – 5.8%]</t>
  </si>
  <si>
    <t>971 [886 – 1,052]</t>
  </si>
  <si>
    <t>infection-protection-only → full baseline</t>
  </si>
  <si>
    <t>101.6 [92.2 – 110.8]</t>
  </si>
  <si>
    <t>74.4 [67.5 – 81.1]</t>
  </si>
  <si>
    <t>6.7% [6.0% – 7.7%]</t>
  </si>
  <si>
    <t>909 [825 – 990]</t>
  </si>
  <si>
    <t>3.2 [2.5 – 3.9]</t>
  </si>
  <si>
    <t>1.9 [1.5 – 2.3]</t>
  </si>
  <si>
    <t>1.2% [1.1% – 1.4%]</t>
  </si>
  <si>
    <t>27 [22 – 33]</t>
  </si>
  <si>
    <t>1.4 [1.1 – 1.7]</t>
  </si>
  <si>
    <t>0.6 [0.5 – 0.7]</t>
  </si>
  <si>
    <t>0.8% [0.7% – 0.9%]</t>
  </si>
  <si>
    <t>17 [14 – 20]</t>
  </si>
  <si>
    <t>1.1 [0.8 – 1.6]</t>
  </si>
  <si>
    <t>0.6 [0.4 – 0.9]</t>
  </si>
  <si>
    <t>0.9% [0.7% – 1.0%]</t>
  </si>
  <si>
    <t>3 [2 – 4]</t>
  </si>
  <si>
    <t>1.4 [1.0 – 1.8]</t>
  </si>
  <si>
    <t>1.0 [0.7 – 1.3]</t>
  </si>
  <si>
    <t>1.0% [0.9% – 1.2%]</t>
  </si>
  <si>
    <t>6 [4 – 8]</t>
  </si>
  <si>
    <t>3.2 [2.2 – 4.3]</t>
  </si>
  <si>
    <t>2.9 [2.0 – 3.9]</t>
  </si>
  <si>
    <t>1.3% [1.1% – 1.5%]</t>
  </si>
  <si>
    <t>8 [6 – 11]</t>
  </si>
  <si>
    <t>2.4 [1.6 – 3.4]</t>
  </si>
  <si>
    <t>1.1 [0.7 – 1.6]</t>
  </si>
  <si>
    <t>0.6% [0.6% – 0.8%]</t>
  </si>
  <si>
    <t>1 [1 – 1]</t>
  </si>
  <si>
    <t>322.7 [252.6 – 383.8]</t>
  </si>
  <si>
    <t>180.3 [141.2 – 214.5]</t>
  </si>
  <si>
    <t>64.1% [58.4% – 68.1%]</t>
  </si>
  <si>
    <t>12,608 [9,872 – 14,997]</t>
  </si>
  <si>
    <t>no vax → infection-protection-only</t>
  </si>
  <si>
    <t>Infection protection only</t>
  </si>
  <si>
    <t>958.4 [740.9 – 1163.9]</t>
  </si>
  <si>
    <t>701.6 [542.4 – 852.1]</t>
  </si>
  <si>
    <t>63.0% [57.1% – 67.0%]</t>
  </si>
  <si>
    <t>8,569 [6,624 – 10,407]</t>
  </si>
  <si>
    <t>170.3 [120.7 – 225.9]</t>
  </si>
  <si>
    <t>102.8 [72.9 – 136.3]</t>
  </si>
  <si>
    <t>65.4% [59.5% – 69.4%]</t>
  </si>
  <si>
    <t>1,464 [1,038 – 1,942]</t>
  </si>
  <si>
    <t>110.4 [78.7 – 146.2]</t>
  </si>
  <si>
    <t>44.7 [31.9 – 59.3]</t>
  </si>
  <si>
    <t>64.0% [57.6% – 68.3%]</t>
  </si>
  <si>
    <t>1,332 [949 – 1,765]</t>
  </si>
  <si>
    <t>90.2 [60.4 – 132.5]</t>
  </si>
  <si>
    <t>49.9 [33.4 – 73.3]</t>
  </si>
  <si>
    <t>69.1% [63.0% – 73.2%]</t>
  </si>
  <si>
    <t>206 [138 – 302]</t>
  </si>
  <si>
    <t>98.4 [66.1 – 132.2]</t>
  </si>
  <si>
    <t>70.3 [47.2 – 94.5]</t>
  </si>
  <si>
    <t>71.8% [66.2% – 75.6%]</t>
  </si>
  <si>
    <t>426 [286 – 573]</t>
  </si>
  <si>
    <t>185.7 [138.1 – 223.7]</t>
  </si>
  <si>
    <t>168.4 [125.3 – 203.0]</t>
  </si>
  <si>
    <t>74.5% [70.0% – 77.6%]</t>
  </si>
  <si>
    <t>472 [351 – 569]</t>
  </si>
  <si>
    <t>257.6 [165.6 – 336.5]</t>
  </si>
  <si>
    <t>116.8 [75.1 – 152.6]</t>
  </si>
  <si>
    <t>69.0% [63.8% – 72.5%]</t>
  </si>
  <si>
    <t>82 [53 – 107]</t>
  </si>
  <si>
    <t>Averted per 100,000 Doses</t>
  </si>
  <si>
    <t>Averted per 100,000 Population</t>
  </si>
  <si>
    <t>% Hospitalizations Averted</t>
  </si>
  <si>
    <t>Hospitalizations Averted</t>
  </si>
  <si>
    <t>Age group</t>
  </si>
  <si>
    <t>Scenario diff</t>
  </si>
  <si>
    <t>Scenario</t>
  </si>
  <si>
    <t>p_lo</t>
  </si>
  <si>
    <t>p_hi</t>
  </si>
  <si>
    <t>baseline</t>
  </si>
  <si>
    <t>no vax</t>
  </si>
  <si>
    <t>Measure</t>
  </si>
  <si>
    <t>Hospitalization protection only</t>
  </si>
  <si>
    <t>Age Group</t>
  </si>
  <si>
    <t>Total hospitalizations</t>
  </si>
  <si>
    <t>Hospitalizations</t>
  </si>
  <si>
    <t>Cumulative hospitalizations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</si>
</sst>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65" fontId="0" fillId="0" borderId="0" xfId="1" applyNumberFormat="1" applyFont="1"/>
    <xf numFmtId="0" fontId="2" fillId="2" borderId="1" xfId="0" applyFont="1" applyFill="1" applyBorder="1"/>
    <xf numFmtId="0" fontId="0" fillId="3" borderId="0" xfId="0" applyFill="1"/>
    <xf numFmtId="16" fontId="0" fillId="3" borderId="0" xfId="0" applyNumberFormat="1" applyFill="1"/>
    <xf numFmtId="0" fontId="0" fillId="3" borderId="1" xfId="0" applyFill="1" applyBorder="1"/>
    <xf numFmtId="16" fontId="0" fillId="3" borderId="1" xfId="0" applyNumberFormat="1" applyFill="1" applyBorder="1"/>
    <xf numFmtId="0" fontId="2" fillId="2" borderId="0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BCFA6-0284-E34E-96CC-5EE3072A5099}">
  <dimension ref="A1:I54"/>
  <sheetViews>
    <sheetView showGridLines="0" tabSelected="1" zoomScale="116" zoomScaleNormal="150" workbookViewId="0">
      <selection activeCell="B26" sqref="B26"/>
    </sheetView>
  </sheetViews>
  <sheetFormatPr baseColWidth="10" defaultRowHeight="16" x14ac:dyDescent="0.2"/>
  <cols>
    <col min="1" max="1" width="33.33203125" bestFit="1" customWidth="1"/>
    <col min="2" max="2" width="33.33203125" customWidth="1"/>
    <col min="3" max="3" width="24.5" bestFit="1" customWidth="1"/>
    <col min="4" max="4" width="21.1640625" bestFit="1" customWidth="1"/>
    <col min="5" max="5" width="23" bestFit="1" customWidth="1"/>
  </cols>
  <sheetData>
    <row r="1" spans="1:7" x14ac:dyDescent="0.2">
      <c r="A1" t="s">
        <v>110</v>
      </c>
      <c r="B1" s="2" t="s">
        <v>116</v>
      </c>
      <c r="C1" s="2" t="s">
        <v>109</v>
      </c>
      <c r="D1" s="2" t="s">
        <v>108</v>
      </c>
      <c r="E1" s="2" t="s">
        <v>107</v>
      </c>
      <c r="F1" t="s">
        <v>106</v>
      </c>
      <c r="G1" t="s">
        <v>105</v>
      </c>
    </row>
    <row r="2" spans="1:7" x14ac:dyDescent="0.2">
      <c r="A2" t="s">
        <v>75</v>
      </c>
      <c r="B2" t="s">
        <v>76</v>
      </c>
      <c r="C2" t="str">
        <f>"0"</f>
        <v>0</v>
      </c>
      <c r="D2" t="s">
        <v>104</v>
      </c>
      <c r="E2" t="s">
        <v>103</v>
      </c>
      <c r="F2" t="s">
        <v>102</v>
      </c>
      <c r="G2" t="s">
        <v>101</v>
      </c>
    </row>
    <row r="3" spans="1:7" x14ac:dyDescent="0.2">
      <c r="A3" t="s">
        <v>75</v>
      </c>
      <c r="B3" s="3" t="s">
        <v>76</v>
      </c>
      <c r="C3" s="4" t="str">
        <f>"1-4"</f>
        <v>1-4</v>
      </c>
      <c r="D3" s="3" t="s">
        <v>100</v>
      </c>
      <c r="E3" s="3" t="s">
        <v>99</v>
      </c>
      <c r="F3" t="s">
        <v>98</v>
      </c>
      <c r="G3" t="s">
        <v>97</v>
      </c>
    </row>
    <row r="4" spans="1:7" x14ac:dyDescent="0.2">
      <c r="A4" t="s">
        <v>75</v>
      </c>
      <c r="B4" t="s">
        <v>76</v>
      </c>
      <c r="C4" t="str">
        <f>"5-12"</f>
        <v>5-12</v>
      </c>
      <c r="D4" t="s">
        <v>96</v>
      </c>
      <c r="E4" t="s">
        <v>95</v>
      </c>
      <c r="F4" t="s">
        <v>94</v>
      </c>
      <c r="G4" t="s">
        <v>93</v>
      </c>
    </row>
    <row r="5" spans="1:7" x14ac:dyDescent="0.2">
      <c r="A5" t="s">
        <v>75</v>
      </c>
      <c r="B5" s="3" t="s">
        <v>76</v>
      </c>
      <c r="C5" s="4" t="str">
        <f>"13-17"</f>
        <v>13-17</v>
      </c>
      <c r="D5" s="3" t="s">
        <v>92</v>
      </c>
      <c r="E5" s="3" t="s">
        <v>91</v>
      </c>
      <c r="F5" t="s">
        <v>90</v>
      </c>
      <c r="G5" t="s">
        <v>89</v>
      </c>
    </row>
    <row r="6" spans="1:7" x14ac:dyDescent="0.2">
      <c r="A6" t="s">
        <v>75</v>
      </c>
      <c r="B6" t="s">
        <v>76</v>
      </c>
      <c r="C6" t="s">
        <v>21</v>
      </c>
      <c r="D6" t="s">
        <v>88</v>
      </c>
      <c r="E6" t="s">
        <v>87</v>
      </c>
      <c r="F6" t="s">
        <v>86</v>
      </c>
      <c r="G6" t="s">
        <v>85</v>
      </c>
    </row>
    <row r="7" spans="1:7" x14ac:dyDescent="0.2">
      <c r="A7" t="s">
        <v>75</v>
      </c>
      <c r="B7" s="3" t="s">
        <v>76</v>
      </c>
      <c r="C7" s="4" t="s">
        <v>16</v>
      </c>
      <c r="D7" s="3" t="s">
        <v>84</v>
      </c>
      <c r="E7" s="3" t="s">
        <v>83</v>
      </c>
      <c r="F7" t="s">
        <v>82</v>
      </c>
      <c r="G7" t="s">
        <v>81</v>
      </c>
    </row>
    <row r="8" spans="1:7" x14ac:dyDescent="0.2">
      <c r="A8" t="s">
        <v>75</v>
      </c>
      <c r="B8" t="s">
        <v>76</v>
      </c>
      <c r="C8" t="s">
        <v>11</v>
      </c>
      <c r="D8" t="s">
        <v>80</v>
      </c>
      <c r="E8" t="s">
        <v>79</v>
      </c>
      <c r="F8" t="s">
        <v>78</v>
      </c>
      <c r="G8" t="s">
        <v>77</v>
      </c>
    </row>
    <row r="9" spans="1:7" x14ac:dyDescent="0.2">
      <c r="A9" t="s">
        <v>75</v>
      </c>
      <c r="B9" s="5" t="s">
        <v>76</v>
      </c>
      <c r="C9" s="6" t="s">
        <v>4</v>
      </c>
      <c r="D9" s="5" t="s">
        <v>74</v>
      </c>
      <c r="E9" s="5" t="s">
        <v>73</v>
      </c>
      <c r="F9" t="s">
        <v>72</v>
      </c>
      <c r="G9" t="s">
        <v>71</v>
      </c>
    </row>
    <row r="10" spans="1:7" x14ac:dyDescent="0.2">
      <c r="A10" t="s">
        <v>42</v>
      </c>
      <c r="B10" t="s">
        <v>117</v>
      </c>
      <c r="C10" t="str">
        <f>"0"</f>
        <v>0</v>
      </c>
      <c r="D10" t="s">
        <v>70</v>
      </c>
      <c r="E10" t="s">
        <v>69</v>
      </c>
      <c r="F10" t="s">
        <v>68</v>
      </c>
      <c r="G10" t="s">
        <v>67</v>
      </c>
    </row>
    <row r="11" spans="1:7" x14ac:dyDescent="0.2">
      <c r="A11" t="s">
        <v>42</v>
      </c>
      <c r="B11" s="3" t="s">
        <v>117</v>
      </c>
      <c r="C11" s="4" t="str">
        <f>"1-4"</f>
        <v>1-4</v>
      </c>
      <c r="D11" s="3" t="s">
        <v>66</v>
      </c>
      <c r="E11" s="3" t="s">
        <v>65</v>
      </c>
      <c r="F11" t="s">
        <v>64</v>
      </c>
      <c r="G11" t="s">
        <v>63</v>
      </c>
    </row>
    <row r="12" spans="1:7" x14ac:dyDescent="0.2">
      <c r="A12" t="s">
        <v>42</v>
      </c>
      <c r="B12" t="s">
        <v>117</v>
      </c>
      <c r="C12" t="str">
        <f>"5-12"</f>
        <v>5-12</v>
      </c>
      <c r="D12" t="s">
        <v>62</v>
      </c>
      <c r="E12" t="s">
        <v>61</v>
      </c>
      <c r="F12" t="s">
        <v>60</v>
      </c>
      <c r="G12" t="s">
        <v>59</v>
      </c>
    </row>
    <row r="13" spans="1:7" x14ac:dyDescent="0.2">
      <c r="A13" t="s">
        <v>42</v>
      </c>
      <c r="B13" s="3" t="s">
        <v>117</v>
      </c>
      <c r="C13" s="4" t="str">
        <f>"13-17"</f>
        <v>13-17</v>
      </c>
      <c r="D13" s="3" t="s">
        <v>58</v>
      </c>
      <c r="E13" s="3" t="s">
        <v>57</v>
      </c>
      <c r="F13" t="s">
        <v>56</v>
      </c>
      <c r="G13" t="s">
        <v>55</v>
      </c>
    </row>
    <row r="14" spans="1:7" x14ac:dyDescent="0.2">
      <c r="A14" t="s">
        <v>42</v>
      </c>
      <c r="B14" t="s">
        <v>117</v>
      </c>
      <c r="C14" t="s">
        <v>21</v>
      </c>
      <c r="D14" t="s">
        <v>54</v>
      </c>
      <c r="E14" t="s">
        <v>53</v>
      </c>
      <c r="F14" t="s">
        <v>52</v>
      </c>
      <c r="G14" t="s">
        <v>51</v>
      </c>
    </row>
    <row r="15" spans="1:7" x14ac:dyDescent="0.2">
      <c r="A15" t="s">
        <v>42</v>
      </c>
      <c r="B15" s="3" t="s">
        <v>117</v>
      </c>
      <c r="C15" s="4" t="s">
        <v>16</v>
      </c>
      <c r="D15" s="3" t="s">
        <v>50</v>
      </c>
      <c r="E15" s="3" t="s">
        <v>49</v>
      </c>
      <c r="F15" t="s">
        <v>48</v>
      </c>
      <c r="G15" t="s">
        <v>47</v>
      </c>
    </row>
    <row r="16" spans="1:7" x14ac:dyDescent="0.2">
      <c r="A16" t="s">
        <v>42</v>
      </c>
      <c r="B16" t="s">
        <v>117</v>
      </c>
      <c r="C16" t="s">
        <v>11</v>
      </c>
      <c r="D16" t="s">
        <v>46</v>
      </c>
      <c r="E16" t="s">
        <v>45</v>
      </c>
      <c r="F16" t="s">
        <v>44</v>
      </c>
      <c r="G16" t="s">
        <v>43</v>
      </c>
    </row>
    <row r="17" spans="1:9" x14ac:dyDescent="0.2">
      <c r="A17" t="s">
        <v>42</v>
      </c>
      <c r="B17" s="5" t="s">
        <v>117</v>
      </c>
      <c r="C17" s="6" t="s">
        <v>4</v>
      </c>
      <c r="D17" s="5" t="s">
        <v>41</v>
      </c>
      <c r="E17" s="5" t="s">
        <v>40</v>
      </c>
      <c r="F17" t="s">
        <v>39</v>
      </c>
      <c r="G17" t="s">
        <v>38</v>
      </c>
    </row>
    <row r="18" spans="1:9" x14ac:dyDescent="0.2">
      <c r="A18" t="s">
        <v>5</v>
      </c>
      <c r="B18" t="s">
        <v>6</v>
      </c>
      <c r="C18" t="str">
        <f>"0"</f>
        <v>0</v>
      </c>
      <c r="D18" t="s">
        <v>37</v>
      </c>
      <c r="E18" t="s">
        <v>36</v>
      </c>
      <c r="F18" t="s">
        <v>35</v>
      </c>
      <c r="G18" t="s">
        <v>34</v>
      </c>
    </row>
    <row r="19" spans="1:9" x14ac:dyDescent="0.2">
      <c r="A19" t="s">
        <v>5</v>
      </c>
      <c r="B19" s="3" t="s">
        <v>6</v>
      </c>
      <c r="C19" s="4" t="str">
        <f>"1-4"</f>
        <v>1-4</v>
      </c>
      <c r="D19" s="3" t="s">
        <v>33</v>
      </c>
      <c r="E19" s="3" t="s">
        <v>32</v>
      </c>
      <c r="F19" t="s">
        <v>31</v>
      </c>
      <c r="G19" t="s">
        <v>30</v>
      </c>
    </row>
    <row r="20" spans="1:9" x14ac:dyDescent="0.2">
      <c r="A20" t="s">
        <v>5</v>
      </c>
      <c r="B20" t="s">
        <v>6</v>
      </c>
      <c r="C20" t="str">
        <f>"5-12"</f>
        <v>5-12</v>
      </c>
      <c r="D20" t="s">
        <v>29</v>
      </c>
      <c r="E20" t="s">
        <v>28</v>
      </c>
      <c r="F20" t="s">
        <v>27</v>
      </c>
      <c r="G20" t="s">
        <v>26</v>
      </c>
    </row>
    <row r="21" spans="1:9" x14ac:dyDescent="0.2">
      <c r="A21" t="s">
        <v>5</v>
      </c>
      <c r="B21" s="3" t="s">
        <v>6</v>
      </c>
      <c r="C21" s="4" t="str">
        <f>"13-17"</f>
        <v>13-17</v>
      </c>
      <c r="D21" s="3" t="s">
        <v>25</v>
      </c>
      <c r="E21" s="3" t="s">
        <v>24</v>
      </c>
      <c r="F21" t="s">
        <v>23</v>
      </c>
      <c r="G21" t="s">
        <v>22</v>
      </c>
    </row>
    <row r="22" spans="1:9" x14ac:dyDescent="0.2">
      <c r="A22" t="s">
        <v>5</v>
      </c>
      <c r="B22" t="s">
        <v>6</v>
      </c>
      <c r="C22" t="s">
        <v>21</v>
      </c>
      <c r="D22" t="s">
        <v>20</v>
      </c>
      <c r="E22" t="s">
        <v>19</v>
      </c>
      <c r="F22" t="s">
        <v>18</v>
      </c>
      <c r="G22" t="s">
        <v>17</v>
      </c>
    </row>
    <row r="23" spans="1:9" x14ac:dyDescent="0.2">
      <c r="A23" t="s">
        <v>5</v>
      </c>
      <c r="B23" s="3" t="s">
        <v>6</v>
      </c>
      <c r="C23" s="4" t="s">
        <v>16</v>
      </c>
      <c r="D23" s="3" t="s">
        <v>15</v>
      </c>
      <c r="E23" s="3" t="s">
        <v>14</v>
      </c>
      <c r="F23" t="s">
        <v>13</v>
      </c>
      <c r="G23" t="s">
        <v>12</v>
      </c>
    </row>
    <row r="24" spans="1:9" x14ac:dyDescent="0.2">
      <c r="A24" t="s">
        <v>5</v>
      </c>
      <c r="B24" t="s">
        <v>6</v>
      </c>
      <c r="C24" t="s">
        <v>11</v>
      </c>
      <c r="D24" t="s">
        <v>10</v>
      </c>
      <c r="E24" t="s">
        <v>9</v>
      </c>
      <c r="F24" t="s">
        <v>8</v>
      </c>
      <c r="G24" t="s">
        <v>7</v>
      </c>
    </row>
    <row r="25" spans="1:9" x14ac:dyDescent="0.2">
      <c r="A25" t="s">
        <v>5</v>
      </c>
      <c r="B25" s="3" t="s">
        <v>6</v>
      </c>
      <c r="C25" s="4" t="s">
        <v>4</v>
      </c>
      <c r="D25" s="3" t="s">
        <v>3</v>
      </c>
      <c r="E25" s="3" t="s">
        <v>2</v>
      </c>
      <c r="F25" t="s">
        <v>1</v>
      </c>
      <c r="G25" t="s">
        <v>0</v>
      </c>
    </row>
    <row r="29" spans="1:9" x14ac:dyDescent="0.2">
      <c r="C29" s="7" t="s">
        <v>121</v>
      </c>
      <c r="D29" s="7"/>
      <c r="E29" s="7"/>
    </row>
    <row r="30" spans="1:9" x14ac:dyDescent="0.2">
      <c r="C30" s="2" t="s">
        <v>111</v>
      </c>
      <c r="D30" s="2" t="s">
        <v>118</v>
      </c>
      <c r="E30" s="2" t="s">
        <v>120</v>
      </c>
      <c r="G30" t="s">
        <v>119</v>
      </c>
      <c r="H30" t="s">
        <v>112</v>
      </c>
      <c r="I30" t="s">
        <v>113</v>
      </c>
    </row>
    <row r="31" spans="1:9" x14ac:dyDescent="0.2">
      <c r="C31" t="s">
        <v>114</v>
      </c>
      <c r="D31" t="str">
        <f>"0"</f>
        <v>0</v>
      </c>
      <c r="E31" t="str">
        <f>ROUND(G31,0)&amp;" ["&amp;ROUND(H31,0)&amp;" - "&amp;ROUND(I31,0)&amp;"]"</f>
        <v>36 [24 - 50]</v>
      </c>
      <c r="G31" s="1">
        <v>36.0285299830444</v>
      </c>
      <c r="H31" s="1">
        <v>23.525873340092101</v>
      </c>
      <c r="I31" s="1">
        <v>50.469433077574898</v>
      </c>
    </row>
    <row r="32" spans="1:9" x14ac:dyDescent="0.2">
      <c r="C32" s="3" t="s">
        <v>114</v>
      </c>
      <c r="D32" s="4" t="str">
        <f>"1-4"</f>
        <v>1-4</v>
      </c>
      <c r="E32" s="3" t="str">
        <f t="shared" ref="E32:E54" si="0">ROUND(G32,0)&amp;" ["&amp;ROUND(H32,0)&amp;" - "&amp;ROUND(I32,0)&amp;"]"</f>
        <v>155 [108 - 203]</v>
      </c>
      <c r="G32" s="1">
        <v>155.20629671889</v>
      </c>
      <c r="H32" s="1">
        <v>107.73357263580399</v>
      </c>
      <c r="I32" s="1">
        <v>202.85572905203699</v>
      </c>
    </row>
    <row r="33" spans="3:9" x14ac:dyDescent="0.2">
      <c r="C33" t="s">
        <v>114</v>
      </c>
      <c r="D33" t="str">
        <f>"5-12"</f>
        <v>5-12</v>
      </c>
      <c r="E33" t="str">
        <f t="shared" si="0"/>
        <v>162 [118 - 212]</v>
      </c>
      <c r="G33" s="1">
        <v>162.47133570105001</v>
      </c>
      <c r="H33" s="1">
        <v>118.490102785467</v>
      </c>
      <c r="I33" s="1">
        <v>211.72989598742001</v>
      </c>
    </row>
    <row r="34" spans="3:9" x14ac:dyDescent="0.2">
      <c r="C34" s="3" t="s">
        <v>114</v>
      </c>
      <c r="D34" s="4" t="str">
        <f>"13-17"</f>
        <v>13-17</v>
      </c>
      <c r="E34" s="3" t="str">
        <f t="shared" si="0"/>
        <v>91 [63 - 124]</v>
      </c>
      <c r="G34" s="1">
        <v>90.790945484891196</v>
      </c>
      <c r="H34" s="1">
        <v>63.3251128052854</v>
      </c>
      <c r="I34" s="1">
        <v>123.65297093667</v>
      </c>
    </row>
    <row r="35" spans="3:9" x14ac:dyDescent="0.2">
      <c r="C35" t="s">
        <v>114</v>
      </c>
      <c r="D35" t="s">
        <v>21</v>
      </c>
      <c r="E35" t="str">
        <f t="shared" si="0"/>
        <v>740 [596 - 903]</v>
      </c>
      <c r="G35" s="1">
        <v>739.94493493320704</v>
      </c>
      <c r="H35" s="1">
        <v>596.31557134718696</v>
      </c>
      <c r="I35" s="1">
        <v>902.62803496176298</v>
      </c>
    </row>
    <row r="36" spans="3:9" x14ac:dyDescent="0.2">
      <c r="C36" s="3" t="s">
        <v>114</v>
      </c>
      <c r="D36" s="4" t="s">
        <v>16</v>
      </c>
      <c r="E36" s="3" t="str">
        <f t="shared" si="0"/>
        <v>753 [600 - 913]</v>
      </c>
      <c r="G36" s="1">
        <v>752.98303061317597</v>
      </c>
      <c r="H36" s="1">
        <v>600.08367717452802</v>
      </c>
      <c r="I36" s="1">
        <v>912.98643137545605</v>
      </c>
    </row>
    <row r="37" spans="3:9" x14ac:dyDescent="0.2">
      <c r="C37" t="s">
        <v>114</v>
      </c>
      <c r="D37" t="s">
        <v>11</v>
      </c>
      <c r="E37" t="str">
        <f t="shared" si="0"/>
        <v>4144 [3748 - 4506]</v>
      </c>
      <c r="G37" s="1">
        <v>4144.0840055922499</v>
      </c>
      <c r="H37" s="1">
        <v>3748.4814859006801</v>
      </c>
      <c r="I37" s="1">
        <v>4506.1245779770497</v>
      </c>
    </row>
    <row r="38" spans="3:9" x14ac:dyDescent="0.2">
      <c r="C38" s="5" t="s">
        <v>114</v>
      </c>
      <c r="D38" s="6" t="s">
        <v>4</v>
      </c>
      <c r="E38" s="5" t="str">
        <f t="shared" si="0"/>
        <v>6068 [5628 - 6525]</v>
      </c>
      <c r="G38" s="1">
        <v>6067.7631389091403</v>
      </c>
      <c r="H38" s="1">
        <v>5628.4370652727703</v>
      </c>
      <c r="I38" s="1">
        <v>6525.0267151067401</v>
      </c>
    </row>
    <row r="39" spans="3:9" x14ac:dyDescent="0.2">
      <c r="C39" t="s">
        <v>76</v>
      </c>
      <c r="D39" t="str">
        <f>"0"</f>
        <v>0</v>
      </c>
      <c r="E39" t="str">
        <f t="shared" si="0"/>
        <v>37 [24 - 52]</v>
      </c>
      <c r="G39" s="1">
        <v>36.795525105526202</v>
      </c>
      <c r="H39" s="1">
        <v>24.025387043753</v>
      </c>
      <c r="I39" s="1">
        <v>51.549069913865601</v>
      </c>
    </row>
    <row r="40" spans="3:9" x14ac:dyDescent="0.2">
      <c r="C40" s="3" t="s">
        <v>76</v>
      </c>
      <c r="D40" s="4" t="str">
        <f>"1-4"</f>
        <v>1-4</v>
      </c>
      <c r="E40" s="3" t="str">
        <f t="shared" si="0"/>
        <v>163 [113 - 214]</v>
      </c>
      <c r="G40" s="1">
        <v>163.449464199202</v>
      </c>
      <c r="H40" s="1">
        <v>113.494261589367</v>
      </c>
      <c r="I40" s="1">
        <v>213.67549391185099</v>
      </c>
    </row>
    <row r="41" spans="3:9" x14ac:dyDescent="0.2">
      <c r="C41" t="s">
        <v>76</v>
      </c>
      <c r="D41" t="str">
        <f>"5-12"</f>
        <v>5-12</v>
      </c>
      <c r="E41" t="str">
        <f t="shared" si="0"/>
        <v>168 [123 - 220]</v>
      </c>
      <c r="G41" s="1">
        <v>168.436103865181</v>
      </c>
      <c r="H41" s="1">
        <v>122.854973715577</v>
      </c>
      <c r="I41" s="1">
        <v>219.58725889006601</v>
      </c>
    </row>
    <row r="42" spans="3:9" x14ac:dyDescent="0.2">
      <c r="C42" s="3" t="s">
        <v>76</v>
      </c>
      <c r="D42" s="4" t="str">
        <f>"13-17"</f>
        <v>13-17</v>
      </c>
      <c r="E42" s="3" t="str">
        <f t="shared" si="0"/>
        <v>93 [65 - 127]</v>
      </c>
      <c r="G42" s="1">
        <v>93.373691713895695</v>
      </c>
      <c r="H42" s="1">
        <v>65.155258698022806</v>
      </c>
      <c r="I42" s="1">
        <v>127.168192256729</v>
      </c>
    </row>
    <row r="43" spans="3:9" x14ac:dyDescent="0.2">
      <c r="C43" t="s">
        <v>76</v>
      </c>
      <c r="D43" t="s">
        <v>21</v>
      </c>
      <c r="E43" t="str">
        <f t="shared" si="0"/>
        <v>757 [610 - 923]</v>
      </c>
      <c r="G43" s="1">
        <v>756.86162266115196</v>
      </c>
      <c r="H43" s="1">
        <v>610.01422432294805</v>
      </c>
      <c r="I43" s="1">
        <v>923.09667658685203</v>
      </c>
    </row>
    <row r="44" spans="3:9" x14ac:dyDescent="0.2">
      <c r="C44" s="3" t="s">
        <v>76</v>
      </c>
      <c r="D44" s="4" t="s">
        <v>16</v>
      </c>
      <c r="E44" s="3" t="str">
        <f t="shared" si="0"/>
        <v>780 [622 - 946]</v>
      </c>
      <c r="G44" s="1">
        <v>780.47230643875002</v>
      </c>
      <c r="H44" s="1">
        <v>621.93587504111701</v>
      </c>
      <c r="I44" s="1">
        <v>946.40320692074499</v>
      </c>
    </row>
    <row r="45" spans="3:9" x14ac:dyDescent="0.2">
      <c r="C45" t="s">
        <v>76</v>
      </c>
      <c r="D45" t="s">
        <v>11</v>
      </c>
      <c r="E45" t="str">
        <f t="shared" si="0"/>
        <v>5054 [4581 - 5497]</v>
      </c>
      <c r="G45" s="1">
        <v>5053.6578825444203</v>
      </c>
      <c r="H45" s="1">
        <v>4580.6564590880398</v>
      </c>
      <c r="I45" s="1">
        <v>5496.9005136530404</v>
      </c>
    </row>
    <row r="46" spans="3:9" x14ac:dyDescent="0.2">
      <c r="C46" s="5" t="s">
        <v>76</v>
      </c>
      <c r="D46" s="6" t="s">
        <v>4</v>
      </c>
      <c r="E46" s="5" t="str">
        <f t="shared" si="0"/>
        <v>7042 [6518 - 7570]</v>
      </c>
      <c r="G46" s="1">
        <v>7041.63521262428</v>
      </c>
      <c r="H46" s="1">
        <v>6517.92759613211</v>
      </c>
      <c r="I46" s="1">
        <v>7570.2181824811396</v>
      </c>
    </row>
    <row r="47" spans="3:9" x14ac:dyDescent="0.2">
      <c r="C47" t="s">
        <v>115</v>
      </c>
      <c r="D47" t="str">
        <f>"0"</f>
        <v>0</v>
      </c>
      <c r="E47" t="str">
        <f t="shared" si="0"/>
        <v>118 [77 - 156]</v>
      </c>
      <c r="G47" s="1">
        <v>118.48834699487399</v>
      </c>
      <c r="H47" s="1">
        <v>77.299398455220597</v>
      </c>
      <c r="I47" s="1">
        <v>156.12796370503699</v>
      </c>
    </row>
    <row r="48" spans="3:9" x14ac:dyDescent="0.2">
      <c r="C48" s="3" t="s">
        <v>115</v>
      </c>
      <c r="D48" s="4" t="str">
        <f>"1-4"</f>
        <v>1-4</v>
      </c>
      <c r="E48" s="3" t="str">
        <f t="shared" si="0"/>
        <v>636 [476 - 773]</v>
      </c>
      <c r="G48" s="1">
        <v>636.36266376723097</v>
      </c>
      <c r="H48" s="1">
        <v>475.66840947326199</v>
      </c>
      <c r="I48" s="1">
        <v>772.51187919985205</v>
      </c>
    </row>
    <row r="49" spans="3:9" x14ac:dyDescent="0.2">
      <c r="C49" t="s">
        <v>115</v>
      </c>
      <c r="D49" t="str">
        <f>"5-12"</f>
        <v>5-12</v>
      </c>
      <c r="E49" t="str">
        <f t="shared" si="0"/>
        <v>593 [422 - 785]</v>
      </c>
      <c r="G49" s="1">
        <v>593.435540198794</v>
      </c>
      <c r="H49" s="1">
        <v>422.21797084050098</v>
      </c>
      <c r="I49" s="1">
        <v>785.09815330890797</v>
      </c>
    </row>
    <row r="50" spans="3:9" x14ac:dyDescent="0.2">
      <c r="C50" s="3" t="s">
        <v>115</v>
      </c>
      <c r="D50" s="4" t="str">
        <f>"13-17"</f>
        <v>13-17</v>
      </c>
      <c r="E50" s="3" t="str">
        <f t="shared" si="0"/>
        <v>299 [209 - 422]</v>
      </c>
      <c r="G50" s="1">
        <v>299.11258827267801</v>
      </c>
      <c r="H50" s="1">
        <v>208.68990292744701</v>
      </c>
      <c r="I50" s="1">
        <v>421.51670173526497</v>
      </c>
    </row>
    <row r="51" spans="3:9" x14ac:dyDescent="0.2">
      <c r="C51" t="s">
        <v>115</v>
      </c>
      <c r="D51" t="s">
        <v>21</v>
      </c>
      <c r="E51" t="str">
        <f t="shared" si="0"/>
        <v>2080 [1610 - 2642]</v>
      </c>
      <c r="G51" s="1">
        <v>2079.5862195681102</v>
      </c>
      <c r="H51" s="1">
        <v>1609.83264385078</v>
      </c>
      <c r="I51" s="1">
        <v>2641.8833241205398</v>
      </c>
    </row>
    <row r="52" spans="3:9" x14ac:dyDescent="0.2">
      <c r="C52" s="3" t="s">
        <v>115</v>
      </c>
      <c r="D52" s="4" t="s">
        <v>16</v>
      </c>
      <c r="E52" s="3" t="str">
        <f t="shared" si="0"/>
        <v>2233 [1680 - 2871]</v>
      </c>
      <c r="G52" s="1">
        <v>2232.7925274689701</v>
      </c>
      <c r="H52" s="1">
        <v>1679.5158419413401</v>
      </c>
      <c r="I52" s="1">
        <v>2871.1621099182498</v>
      </c>
    </row>
    <row r="53" spans="3:9" x14ac:dyDescent="0.2">
      <c r="C53" t="s">
        <v>115</v>
      </c>
      <c r="D53" t="s">
        <v>11</v>
      </c>
      <c r="E53" t="str">
        <f t="shared" si="0"/>
        <v>13591 [11519 - 15562]</v>
      </c>
      <c r="G53" s="1">
        <v>13591.166628048501</v>
      </c>
      <c r="H53" s="1">
        <v>11519.2822393319</v>
      </c>
      <c r="I53" s="1">
        <v>15561.561832531301</v>
      </c>
    </row>
    <row r="54" spans="3:9" x14ac:dyDescent="0.2">
      <c r="C54" s="3" t="s">
        <v>115</v>
      </c>
      <c r="D54" s="4" t="s">
        <v>4</v>
      </c>
      <c r="E54" s="3" t="str">
        <f t="shared" si="0"/>
        <v>19615 [16830 - 22221]</v>
      </c>
      <c r="G54" s="1">
        <v>19615.4331073127</v>
      </c>
      <c r="H54" s="1">
        <v>16830.463299530598</v>
      </c>
      <c r="I54" s="1">
        <v>22220.764054712901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Remy Pasco</dc:creator>
  <cp:lastModifiedBy>Remy Pasco</cp:lastModifiedBy>
  <dcterms:created xsi:type="dcterms:W3CDTF">2026-09-23T21:02:06Z</dcterms:created>
  <dcterms:modified xsi:type="dcterms:W3CDTF">2026-09-23T21:50:50Z</dcterms:modified>
</cp:coreProperties>
</file>